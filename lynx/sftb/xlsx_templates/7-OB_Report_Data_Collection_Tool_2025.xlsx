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66925"/>
  <mc:AlternateContent xmlns:mc="http://schemas.openxmlformats.org/markup-compatibility/2006">
    <mc:Choice Requires="x15">
      <x15ac:absPath xmlns:x15ac="http://schemas.microsoft.com/office/spreadsheetml/2010/11/ac" url="C:\Users\jrharris\OneDrive - California Department of Rehabilitation\My Documents\Shared OIB\Templates and instructions\Quarterly report templates\"/>
    </mc:Choice>
  </mc:AlternateContent>
  <xr:revisionPtr revIDLastSave="30" documentId="13_ncr:1_{36F6FE24-FF9C-49BE-AA66-37C59AC0D389}" xr6:coauthVersionLast="47" xr6:coauthVersionMax="47" xr10:uidLastSave="{DF81A5A9-483C-4795-8610-5CEA26B0024B}"/>
  <workbookProtection workbookAlgorithmName="SHA-512" workbookHashValue="QxjkMttu3D6h1G06HrUZXXS2/oStHazXBHa4DbIA8J2zPZ/OgQbcTrp6WF1lHwiTbcd7o9g1ZI+KiWEZ/8Tc7A==" workbookSaltValue="OS8JgQyzJQm5dp0ITPU2VQ==" workbookSpinCount="100000" lockStructure="1"/>
  <bookViews>
    <workbookView xWindow="-108" yWindow="-108" windowWidth="23256" windowHeight="13896" tabRatio="798" firstSheet="2" activeTab="2" xr2:uid="{00000000-000D-0000-FFFF-FFFF00000000}"/>
  </bookViews>
  <sheets>
    <sheet name="7-OB Report" sheetId="7" r:id="rId1"/>
    <sheet name="Instructions" sheetId="6" r:id="rId2"/>
    <sheet name="PART II-PROGRAM STAFFING" sheetId="5" r:id="rId3"/>
    <sheet name="PART III-DEMOGRAPHICS" sheetId="1" r:id="rId4"/>
    <sheet name="PART IV-V-SERVICES AND OUTCOMES" sheetId="2" r:id="rId5"/>
    <sheet name="Counties" sheetId="8" r:id="rId6"/>
    <sheet name="Data" sheetId="9" state="hidden" r:id="rId7"/>
  </sheets>
  <definedNames>
    <definedName name="_xlnm.Print_Area" localSheetId="0">'7-OB Report'!$A$1:$B$206</definedName>
    <definedName name="_xlnm.Print_Area" localSheetId="2">'PART II-PROGRAM STAFFING'!$A$1:$L$2000</definedName>
    <definedName name="_xlnm.Print_Area" localSheetId="4">'PART IV-V-SERVICES AND OUTCOMES'!$A$1:$O$27</definedName>
    <definedName name="TitleCounties..BA70">Counties!$A$2</definedName>
    <definedName name="TitleDatacounties..BZ70">Data!$A$50</definedName>
    <definedName name="TitleFTE..K2000">'PART II-PROGRAM STAFFING'!$A$6</definedName>
    <definedName name="TitleReport..E300">'7-OB Report'!$A$9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4" i="7" l="1"/>
  <c r="C192" i="7"/>
  <c r="C188" i="7"/>
  <c r="C182" i="7"/>
  <c r="C176" i="7"/>
  <c r="D10" i="5"/>
  <c r="B7" i="5"/>
  <c r="AP4" i="9"/>
  <c r="AP3" i="9"/>
  <c r="AP2" i="9"/>
  <c r="A17" i="2"/>
  <c r="A16" i="2"/>
  <c r="A15" i="2"/>
  <c r="R17" i="1"/>
  <c r="R18" i="1"/>
  <c r="R19" i="1"/>
  <c r="R20" i="1"/>
  <c r="R21" i="1"/>
  <c r="R22" i="1"/>
  <c r="R23" i="1"/>
  <c r="R24" i="1"/>
  <c r="R25" i="1"/>
  <c r="R26" i="1"/>
  <c r="R27" i="1"/>
  <c r="R28" i="1"/>
  <c r="R29" i="1"/>
  <c r="R30" i="1"/>
  <c r="R31" i="1"/>
  <c r="R32" i="1"/>
  <c r="R33" i="1"/>
  <c r="R34" i="1"/>
  <c r="R35" i="1"/>
  <c r="R36" i="1"/>
  <c r="R37" i="1"/>
  <c r="R38"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50" i="1"/>
  <c r="R49" i="1"/>
  <c r="R48" i="1"/>
  <c r="R47" i="1"/>
  <c r="R46" i="1"/>
  <c r="R45" i="1"/>
  <c r="R44" i="1"/>
  <c r="R43" i="1"/>
  <c r="R42" i="1"/>
  <c r="R41" i="1"/>
  <c r="R40" i="1"/>
  <c r="R39" i="1"/>
  <c r="C4" i="8" a="1"/>
  <c r="C4" i="8" s="1"/>
  <c r="D4" i="8" s="1"/>
  <c r="C5" i="8" a="1"/>
  <c r="C5" i="8" s="1"/>
  <c r="D5" i="8" s="1"/>
  <c r="C6" i="8" a="1"/>
  <c r="C6" i="8" s="1"/>
  <c r="D6" i="8" s="1"/>
  <c r="C7" i="8" a="1"/>
  <c r="C7" i="8" s="1"/>
  <c r="D7" i="8" s="1"/>
  <c r="C8" i="8" a="1"/>
  <c r="C8" i="8" s="1"/>
  <c r="D8" i="8" s="1"/>
  <c r="C9" i="8" a="1"/>
  <c r="C9" i="8" s="1"/>
  <c r="D9" i="8" s="1"/>
  <c r="C10" i="8" a="1"/>
  <c r="C10" i="8" s="1"/>
  <c r="D10" i="8" s="1"/>
  <c r="C11" i="8" a="1"/>
  <c r="C11" i="8" s="1"/>
  <c r="D11" i="8" s="1"/>
  <c r="C12" i="8" a="1"/>
  <c r="C12" i="8" s="1"/>
  <c r="D12" i="8" s="1"/>
  <c r="C13" i="8" a="1"/>
  <c r="C13" i="8" s="1"/>
  <c r="D13" i="8" s="1"/>
  <c r="C14" i="8" a="1"/>
  <c r="C14" i="8" s="1"/>
  <c r="D14" i="8" s="1"/>
  <c r="C15" i="8" a="1"/>
  <c r="C15" i="8" s="1"/>
  <c r="D15" i="8" s="1"/>
  <c r="C16" i="8" a="1"/>
  <c r="C16" i="8" s="1"/>
  <c r="D16" i="8" s="1"/>
  <c r="C17" i="8" a="1"/>
  <c r="C17" i="8" s="1"/>
  <c r="D17" i="8" s="1"/>
  <c r="C18" i="8" a="1"/>
  <c r="C18" i="8" s="1"/>
  <c r="D18" i="8" s="1"/>
  <c r="C19" i="8" a="1"/>
  <c r="C19" i="8" s="1"/>
  <c r="D19" i="8" s="1"/>
  <c r="C20" i="8" a="1"/>
  <c r="C20" i="8" s="1"/>
  <c r="D20" i="8" s="1"/>
  <c r="C21" i="8" a="1"/>
  <c r="C21" i="8" s="1"/>
  <c r="D21" i="8" s="1"/>
  <c r="C22" i="8" a="1"/>
  <c r="C22" i="8" s="1"/>
  <c r="C23" i="8" a="1"/>
  <c r="C23" i="8" s="1"/>
  <c r="D23" i="8" s="1"/>
  <c r="C24" i="8" a="1"/>
  <c r="C24" i="8" s="1"/>
  <c r="D24" i="8" s="1"/>
  <c r="C25" i="8" a="1"/>
  <c r="C25" i="8" s="1"/>
  <c r="D25" i="8" s="1"/>
  <c r="C26" i="8" a="1"/>
  <c r="C26" i="8" s="1"/>
  <c r="D26" i="8" s="1"/>
  <c r="C27" i="8" a="1"/>
  <c r="C27" i="8" s="1"/>
  <c r="D27" i="8" s="1"/>
  <c r="C28" i="8" a="1"/>
  <c r="C28" i="8" s="1"/>
  <c r="D28" i="8" s="1"/>
  <c r="C29" i="8" a="1"/>
  <c r="C29" i="8" s="1"/>
  <c r="D29" i="8" s="1"/>
  <c r="C30" i="8" a="1"/>
  <c r="C30" i="8" s="1"/>
  <c r="D30" i="8" s="1"/>
  <c r="C31" i="8" a="1"/>
  <c r="C31" i="8" s="1"/>
  <c r="D31" i="8" s="1"/>
  <c r="C32" i="8" a="1"/>
  <c r="C32" i="8" s="1"/>
  <c r="D32" i="8" s="1"/>
  <c r="C33" i="8" a="1"/>
  <c r="C33" i="8" s="1"/>
  <c r="D33" i="8" s="1"/>
  <c r="C34" i="8" a="1"/>
  <c r="C34" i="8" s="1"/>
  <c r="D34" i="8" s="1"/>
  <c r="C35" i="8" a="1"/>
  <c r="C35" i="8" s="1"/>
  <c r="D35" i="8" s="1"/>
  <c r="C36" i="8" a="1"/>
  <c r="C36" i="8" s="1"/>
  <c r="D36" i="8" s="1"/>
  <c r="C37" i="8" a="1"/>
  <c r="C37" i="8" s="1"/>
  <c r="D37" i="8" s="1"/>
  <c r="C38" i="8" a="1"/>
  <c r="C38" i="8" s="1"/>
  <c r="D38" i="8" s="1"/>
  <c r="C39" i="8" a="1"/>
  <c r="C39" i="8" s="1"/>
  <c r="D39" i="8" s="1"/>
  <c r="C40" i="8" a="1"/>
  <c r="C40" i="8" s="1"/>
  <c r="D40" i="8" s="1"/>
  <c r="C41" i="8" a="1"/>
  <c r="C41" i="8" s="1"/>
  <c r="D41" i="8" s="1"/>
  <c r="C42" i="8" a="1"/>
  <c r="C42" i="8" s="1"/>
  <c r="D42" i="8" s="1"/>
  <c r="C43" i="8" a="1"/>
  <c r="C43" i="8" s="1"/>
  <c r="D43" i="8" s="1"/>
  <c r="C44" i="8" a="1"/>
  <c r="C44" i="8" s="1"/>
  <c r="D44" i="8" s="1"/>
  <c r="C45" i="8" a="1"/>
  <c r="C45" i="8" s="1"/>
  <c r="D45" i="8" s="1"/>
  <c r="C46" i="8" a="1"/>
  <c r="C46" i="8" s="1"/>
  <c r="D46" i="8" s="1"/>
  <c r="C47" i="8" a="1"/>
  <c r="C47" i="8" s="1"/>
  <c r="D47" i="8" s="1"/>
  <c r="C48" i="8" a="1"/>
  <c r="C48" i="8" s="1"/>
  <c r="D48" i="8" s="1"/>
  <c r="C49" i="8" a="1"/>
  <c r="C49" i="8" s="1"/>
  <c r="D49" i="8" s="1"/>
  <c r="C50" i="8" a="1"/>
  <c r="C50" i="8" s="1"/>
  <c r="D50" i="8" s="1"/>
  <c r="C51" i="8" a="1"/>
  <c r="C51" i="8" s="1"/>
  <c r="D51" i="8" s="1"/>
  <c r="C52" i="8" a="1"/>
  <c r="C52" i="8" s="1"/>
  <c r="D52" i="8" s="1"/>
  <c r="C53" i="8" a="1"/>
  <c r="C53" i="8" s="1"/>
  <c r="D53" i="8" s="1"/>
  <c r="C54" i="8" a="1"/>
  <c r="C54" i="8" s="1"/>
  <c r="D54" i="8" s="1"/>
  <c r="C55" i="8" a="1"/>
  <c r="C55" i="8" s="1"/>
  <c r="D55" i="8" s="1"/>
  <c r="C56" i="8" a="1"/>
  <c r="C56" i="8" s="1"/>
  <c r="D56" i="8" s="1"/>
  <c r="C57" i="8" a="1"/>
  <c r="C57" i="8" s="1"/>
  <c r="D57" i="8" s="1"/>
  <c r="C58" i="8" a="1"/>
  <c r="C58" i="8" s="1"/>
  <c r="D58" i="8" s="1"/>
  <c r="C59" i="8" a="1"/>
  <c r="C59" i="8" s="1"/>
  <c r="D59" i="8" s="1"/>
  <c r="C60" i="8" a="1"/>
  <c r="C60" i="8" s="1"/>
  <c r="D60" i="8" s="1"/>
  <c r="C61" i="8" a="1"/>
  <c r="C61" i="8" s="1"/>
  <c r="D61" i="8" s="1"/>
  <c r="C63" i="8" a="1"/>
  <c r="C63" i="8" s="1"/>
  <c r="D63" i="8" s="1"/>
  <c r="C62" i="8" a="1"/>
  <c r="C62" i="8" s="1"/>
  <c r="D62" i="8" s="1"/>
  <c r="I2" i="5" l="1"/>
  <c r="B53" i="7"/>
  <c r="I3" i="5"/>
  <c r="B54" i="7"/>
  <c r="I4" i="5"/>
  <c r="B55" i="7"/>
  <c r="R16" i="1"/>
  <c r="R15" i="1" s="1"/>
  <c r="B4" i="7"/>
  <c r="A4" i="7"/>
  <c r="B17" i="7"/>
  <c r="B13" i="7"/>
  <c r="AN6" i="9"/>
  <c r="S6" i="2" s="1"/>
  <c r="AN5" i="9"/>
  <c r="S5" i="2" s="1"/>
  <c r="AN4" i="9"/>
  <c r="S4" i="2" s="1"/>
  <c r="AN3" i="9"/>
  <c r="S3" i="2" s="1"/>
  <c r="AN2" i="9"/>
  <c r="S2" i="2" s="1"/>
  <c r="AL5" i="9"/>
  <c r="R5" i="2" s="1"/>
  <c r="AL4" i="9"/>
  <c r="R4" i="2" s="1"/>
  <c r="AL3" i="9"/>
  <c r="R3" i="2" s="1"/>
  <c r="AL2" i="9"/>
  <c r="R2" i="2" s="1"/>
  <c r="B188" i="7" l="1"/>
  <c r="B204" i="7"/>
  <c r="AJ5" i="9"/>
  <c r="Q5" i="2" s="1"/>
  <c r="AJ4" i="9"/>
  <c r="Q4" i="2" s="1"/>
  <c r="AJ3" i="9"/>
  <c r="AJ2" i="9"/>
  <c r="AH2" i="9"/>
  <c r="AF2" i="9"/>
  <c r="O2" i="2" s="1"/>
  <c r="AD5" i="9"/>
  <c r="N5" i="2" s="1"/>
  <c r="AD4" i="9"/>
  <c r="N4" i="2" s="1"/>
  <c r="AD3" i="9"/>
  <c r="N3" i="2" s="1"/>
  <c r="AD2" i="9"/>
  <c r="N2" i="2" s="1"/>
  <c r="AB9" i="9"/>
  <c r="M2" i="2" s="1"/>
  <c r="AB8" i="9"/>
  <c r="B157" i="7" s="1"/>
  <c r="AB7" i="9"/>
  <c r="B156" i="7" s="1"/>
  <c r="AB6" i="9"/>
  <c r="J2" i="2" s="1"/>
  <c r="AB5" i="9"/>
  <c r="B154" i="7" s="1"/>
  <c r="AB4" i="9"/>
  <c r="B153" i="7" s="1"/>
  <c r="AB3" i="9"/>
  <c r="G2" i="2" s="1"/>
  <c r="F7" i="2"/>
  <c r="Z5" i="9"/>
  <c r="E5" i="2" s="1"/>
  <c r="Z4" i="9"/>
  <c r="E4" i="2" s="1"/>
  <c r="Z3" i="9"/>
  <c r="E3" i="2" s="1"/>
  <c r="Z2" i="9"/>
  <c r="E2" i="2" s="1"/>
  <c r="X2" i="9"/>
  <c r="D2" i="2" s="1"/>
  <c r="V3" i="9"/>
  <c r="B142" i="7" s="1"/>
  <c r="V2" i="9"/>
  <c r="B2" i="2" s="1"/>
  <c r="B2" i="9"/>
  <c r="B3" i="9"/>
  <c r="B3" i="1" s="1"/>
  <c r="P2" i="2" l="1"/>
  <c r="B187" i="7"/>
  <c r="B203" i="7"/>
  <c r="B191" i="7"/>
  <c r="Q3" i="2"/>
  <c r="B192" i="7"/>
  <c r="B162" i="7"/>
  <c r="AD6" i="9"/>
  <c r="B158" i="7"/>
  <c r="L2" i="2"/>
  <c r="K2" i="2"/>
  <c r="B155" i="7"/>
  <c r="I2" i="2"/>
  <c r="H2" i="2"/>
  <c r="B152" i="7"/>
  <c r="B4" i="9"/>
  <c r="B16" i="1" s="1"/>
  <c r="Z6" i="9"/>
  <c r="C2" i="2"/>
  <c r="B141" i="7"/>
  <c r="B146" i="7"/>
  <c r="B61" i="7"/>
  <c r="B62" i="7"/>
  <c r="B2" i="1"/>
  <c r="B175" i="7" l="1"/>
  <c r="B176" i="7" s="1"/>
  <c r="B4" i="1"/>
  <c r="Q16" i="1"/>
  <c r="T13" i="9"/>
  <c r="B133" i="7" s="1"/>
  <c r="T12" i="9"/>
  <c r="B132" i="7" s="1"/>
  <c r="T11" i="9"/>
  <c r="P11" i="1" s="1"/>
  <c r="T10" i="9"/>
  <c r="P10" i="1" s="1"/>
  <c r="T9" i="9"/>
  <c r="P9" i="1" s="1"/>
  <c r="T8" i="9"/>
  <c r="P8" i="1" s="1"/>
  <c r="T7" i="9"/>
  <c r="P7" i="1" s="1"/>
  <c r="T6" i="9"/>
  <c r="P6" i="1" s="1"/>
  <c r="T5" i="9"/>
  <c r="B125" i="7" s="1"/>
  <c r="T4" i="9"/>
  <c r="B124" i="7" s="1"/>
  <c r="T3" i="9"/>
  <c r="P3" i="1" s="1"/>
  <c r="T2" i="9"/>
  <c r="P2" i="1" s="1"/>
  <c r="R6" i="9"/>
  <c r="B118" i="7" s="1"/>
  <c r="R5" i="9"/>
  <c r="B117" i="7" s="1"/>
  <c r="R4" i="9"/>
  <c r="O4" i="1" s="1"/>
  <c r="R3" i="9"/>
  <c r="O3" i="1" s="1"/>
  <c r="R2" i="9"/>
  <c r="P7" i="9"/>
  <c r="N2" i="1" s="1"/>
  <c r="P6" i="9"/>
  <c r="M2" i="1" s="1"/>
  <c r="P5" i="9"/>
  <c r="L2" i="1" s="1"/>
  <c r="P4" i="9"/>
  <c r="K2" i="1" s="1"/>
  <c r="P3" i="9"/>
  <c r="B107" i="7" s="1"/>
  <c r="P2" i="9"/>
  <c r="B106" i="7" s="1"/>
  <c r="N6" i="9"/>
  <c r="H6" i="1" s="1"/>
  <c r="N5" i="9"/>
  <c r="H5" i="1" s="1"/>
  <c r="N4" i="9"/>
  <c r="H4" i="1" s="1"/>
  <c r="N3" i="9"/>
  <c r="H3" i="1" s="1"/>
  <c r="N2" i="9"/>
  <c r="H2" i="1" s="1"/>
  <c r="L4" i="9"/>
  <c r="G4" i="1" s="1"/>
  <c r="L3" i="9"/>
  <c r="G3" i="1" s="1"/>
  <c r="L2" i="9"/>
  <c r="B92" i="7" s="1"/>
  <c r="J2" i="9"/>
  <c r="F16" i="1" s="1"/>
  <c r="J16" i="1" l="1"/>
  <c r="B109" i="7"/>
  <c r="I16" i="1"/>
  <c r="B108" i="7"/>
  <c r="I2" i="1"/>
  <c r="K16" i="1"/>
  <c r="B110" i="7"/>
  <c r="J2" i="1"/>
  <c r="L16" i="1"/>
  <c r="B111" i="7"/>
  <c r="M16" i="1"/>
  <c r="N16" i="1"/>
  <c r="P4" i="1"/>
  <c r="P12" i="1"/>
  <c r="B126" i="7"/>
  <c r="P5" i="1"/>
  <c r="P13" i="1"/>
  <c r="B127" i="7"/>
  <c r="B128" i="7"/>
  <c r="B129" i="7"/>
  <c r="B122" i="7"/>
  <c r="B130" i="7"/>
  <c r="T14" i="9"/>
  <c r="B123" i="7"/>
  <c r="B131" i="7"/>
  <c r="R7" i="9"/>
  <c r="O16" i="1" s="1"/>
  <c r="O6" i="1"/>
  <c r="B114" i="7"/>
  <c r="O2" i="1"/>
  <c r="B115" i="7"/>
  <c r="O5" i="1"/>
  <c r="B116" i="7"/>
  <c r="B94" i="7"/>
  <c r="B93" i="7"/>
  <c r="L5" i="9"/>
  <c r="B99" i="7"/>
  <c r="B100" i="7"/>
  <c r="F2" i="1"/>
  <c r="B89" i="7"/>
  <c r="B101" i="7"/>
  <c r="B98" i="7"/>
  <c r="G2" i="1"/>
  <c r="B102" i="7"/>
  <c r="N7" i="9"/>
  <c r="H8" i="9"/>
  <c r="B85" i="7" s="1"/>
  <c r="H7" i="9"/>
  <c r="B84" i="7" s="1"/>
  <c r="H6" i="9"/>
  <c r="B83" i="7" s="1"/>
  <c r="H5" i="9"/>
  <c r="E5" i="1" s="1"/>
  <c r="H4" i="9"/>
  <c r="B81" i="7" s="1"/>
  <c r="H3" i="9"/>
  <c r="B80" i="7" s="1"/>
  <c r="H2" i="9"/>
  <c r="B79" i="7" s="1"/>
  <c r="F4" i="9"/>
  <c r="B75" i="7" s="1"/>
  <c r="F3" i="9"/>
  <c r="D3" i="1" s="1"/>
  <c r="F2" i="9"/>
  <c r="D2" i="1" s="1"/>
  <c r="D5" i="9"/>
  <c r="C5" i="1" s="1"/>
  <c r="D4" i="9"/>
  <c r="B68" i="7" s="1"/>
  <c r="D3" i="9"/>
  <c r="B67" i="7" s="1"/>
  <c r="D2" i="9"/>
  <c r="C2" i="1" s="1"/>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B12" i="5"/>
  <c r="B11" i="5"/>
  <c r="B10" i="5"/>
  <c r="B9" i="5"/>
  <c r="B8" i="5"/>
  <c r="C27" i="7"/>
  <c r="P16" i="1" l="1"/>
  <c r="P14" i="1"/>
  <c r="O7" i="1"/>
  <c r="B95" i="7"/>
  <c r="C4" i="1"/>
  <c r="C3" i="1"/>
  <c r="B69" i="7"/>
  <c r="D4" i="1"/>
  <c r="E6" i="1"/>
  <c r="B82" i="7"/>
  <c r="E7" i="1"/>
  <c r="B73" i="7"/>
  <c r="E8" i="1"/>
  <c r="B74" i="7"/>
  <c r="F5" i="9"/>
  <c r="E2" i="1"/>
  <c r="D6" i="9"/>
  <c r="B66" i="7"/>
  <c r="E3" i="1"/>
  <c r="G5" i="1"/>
  <c r="G16" i="1"/>
  <c r="E4" i="1"/>
  <c r="H7" i="1"/>
  <c r="H16" i="1"/>
  <c r="H9" i="9"/>
  <c r="F10" i="2"/>
  <c r="F9" i="2"/>
  <c r="F8" i="2"/>
  <c r="A8" i="7"/>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13" i="2"/>
  <c r="U12" i="2"/>
  <c r="U11" i="2"/>
  <c r="U10" i="2"/>
  <c r="U9" i="2"/>
  <c r="U8" i="2"/>
  <c r="U7"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141" i="2"/>
  <c r="F140" i="2"/>
  <c r="F139" i="2"/>
  <c r="F138" i="2"/>
  <c r="F137" i="2"/>
  <c r="F136" i="2"/>
  <c r="F135" i="2"/>
  <c r="F134" i="2"/>
  <c r="F133" i="2"/>
  <c r="F132" i="2"/>
  <c r="F131" i="2"/>
  <c r="F130" i="2"/>
  <c r="F129" i="2"/>
  <c r="F128" i="2"/>
  <c r="F127" i="2"/>
  <c r="F126" i="2"/>
  <c r="F125" i="2"/>
  <c r="F124" i="2"/>
  <c r="F123" i="2"/>
  <c r="F122" i="2"/>
  <c r="F121" i="2"/>
  <c r="F120" i="2"/>
  <c r="F119" i="2"/>
  <c r="F118" i="2"/>
  <c r="F117" i="2"/>
  <c r="F116" i="2"/>
  <c r="F115" i="2"/>
  <c r="F114" i="2"/>
  <c r="F113" i="2"/>
  <c r="F112" i="2"/>
  <c r="F111" i="2"/>
  <c r="F110" i="2"/>
  <c r="F109" i="2"/>
  <c r="F108" i="2"/>
  <c r="F107" i="2"/>
  <c r="F106" i="2"/>
  <c r="F105" i="2"/>
  <c r="F104" i="2"/>
  <c r="F103" i="2"/>
  <c r="F102" i="2"/>
  <c r="F101" i="2"/>
  <c r="F100" i="2"/>
  <c r="F99" i="2"/>
  <c r="F98" i="2"/>
  <c r="F97" i="2"/>
  <c r="F96" i="2"/>
  <c r="F95" i="2"/>
  <c r="F94" i="2"/>
  <c r="F93" i="2"/>
  <c r="F92" i="2"/>
  <c r="F91" i="2"/>
  <c r="F90" i="2"/>
  <c r="F89" i="2"/>
  <c r="F88" i="2"/>
  <c r="F87" i="2"/>
  <c r="F86" i="2"/>
  <c r="F85" i="2"/>
  <c r="F84" i="2"/>
  <c r="F83" i="2"/>
  <c r="F82" i="2"/>
  <c r="F81" i="2"/>
  <c r="F80" i="2"/>
  <c r="F79" i="2"/>
  <c r="F78" i="2"/>
  <c r="F77" i="2"/>
  <c r="F76" i="2"/>
  <c r="F75" i="2"/>
  <c r="F74" i="2"/>
  <c r="F73" i="2"/>
  <c r="F72" i="2"/>
  <c r="F71" i="2"/>
  <c r="F70" i="2"/>
  <c r="F69" i="2"/>
  <c r="F68" i="2"/>
  <c r="F67" i="2"/>
  <c r="F66" i="2"/>
  <c r="F65" i="2"/>
  <c r="F64" i="2"/>
  <c r="F63" i="2"/>
  <c r="F62" i="2"/>
  <c r="F61" i="2"/>
  <c r="F60" i="2"/>
  <c r="F59"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AB2" i="9" l="1"/>
  <c r="F2" i="2" s="1"/>
  <c r="E16" i="1"/>
  <c r="E9" i="1"/>
  <c r="C6" i="1"/>
  <c r="C16" i="1"/>
  <c r="D16" i="1"/>
  <c r="D5" i="1"/>
  <c r="G15" i="1"/>
  <c r="B205" i="7"/>
  <c r="C11" i="5"/>
  <c r="B150" i="7" l="1"/>
  <c r="D15" i="1"/>
  <c r="Q15" i="1"/>
  <c r="O15" i="1"/>
  <c r="H15" i="1"/>
  <c r="C15" i="1"/>
  <c r="E15" i="1"/>
  <c r="P15" i="1"/>
  <c r="A16" i="1"/>
  <c r="B66" i="8"/>
  <c r="B181" i="7" l="1"/>
  <c r="B182" i="7" s="1"/>
  <c r="A11" i="2"/>
  <c r="T11" i="2" s="1"/>
  <c r="A12" i="2"/>
  <c r="T12" i="2" s="1"/>
  <c r="A13" i="2"/>
  <c r="T13" i="2" s="1"/>
  <c r="A14" i="2"/>
  <c r="T14" i="2" s="1"/>
  <c r="T15" i="2"/>
  <c r="T16" i="2"/>
  <c r="T17" i="2"/>
  <c r="A18" i="2"/>
  <c r="T18" i="2" s="1"/>
  <c r="A19" i="2"/>
  <c r="T19" i="2" s="1"/>
  <c r="A20" i="2"/>
  <c r="T20" i="2" s="1"/>
  <c r="A21" i="2"/>
  <c r="T21" i="2" s="1"/>
  <c r="A22" i="2"/>
  <c r="T22" i="2" s="1"/>
  <c r="A23" i="2"/>
  <c r="T23" i="2" s="1"/>
  <c r="A24" i="2"/>
  <c r="T24" i="2" s="1"/>
  <c r="A25" i="2"/>
  <c r="T25" i="2" s="1"/>
  <c r="A26" i="2"/>
  <c r="T26" i="2" s="1"/>
  <c r="A27" i="2"/>
  <c r="T27" i="2" s="1"/>
  <c r="A28" i="2"/>
  <c r="T28" i="2" s="1"/>
  <c r="A29" i="2"/>
  <c r="T29" i="2" s="1"/>
  <c r="A30" i="2"/>
  <c r="T30" i="2" s="1"/>
  <c r="A31" i="2"/>
  <c r="T31" i="2" s="1"/>
  <c r="A32" i="2"/>
  <c r="T32" i="2" s="1"/>
  <c r="A33" i="2"/>
  <c r="T33" i="2" s="1"/>
  <c r="A34" i="2"/>
  <c r="T34" i="2" s="1"/>
  <c r="A35" i="2"/>
  <c r="T35" i="2" s="1"/>
  <c r="A36" i="2"/>
  <c r="T36" i="2" s="1"/>
  <c r="A37" i="2"/>
  <c r="T37" i="2" s="1"/>
  <c r="A38" i="2"/>
  <c r="T38" i="2" s="1"/>
  <c r="A39" i="2"/>
  <c r="T39" i="2" s="1"/>
  <c r="A40" i="2"/>
  <c r="T40" i="2" s="1"/>
  <c r="A41" i="2"/>
  <c r="T41" i="2" s="1"/>
  <c r="A42" i="2"/>
  <c r="T42" i="2" s="1"/>
  <c r="A43" i="2"/>
  <c r="T43" i="2" s="1"/>
  <c r="A44" i="2"/>
  <c r="T44" i="2" s="1"/>
  <c r="A45" i="2"/>
  <c r="T45" i="2" s="1"/>
  <c r="A46" i="2"/>
  <c r="T46" i="2" s="1"/>
  <c r="A47" i="2"/>
  <c r="T47" i="2" s="1"/>
  <c r="A48" i="2"/>
  <c r="T48" i="2" s="1"/>
  <c r="A49" i="2"/>
  <c r="T49" i="2" s="1"/>
  <c r="A50" i="2"/>
  <c r="T50" i="2" s="1"/>
  <c r="A51" i="2"/>
  <c r="T51" i="2" s="1"/>
  <c r="A52" i="2"/>
  <c r="T52" i="2" s="1"/>
  <c r="A53" i="2"/>
  <c r="T53" i="2" s="1"/>
  <c r="A54" i="2"/>
  <c r="T54" i="2" s="1"/>
  <c r="A55" i="2"/>
  <c r="T55" i="2" s="1"/>
  <c r="A56" i="2"/>
  <c r="T56" i="2" s="1"/>
  <c r="A57" i="2"/>
  <c r="T57" i="2" s="1"/>
  <c r="A58" i="2"/>
  <c r="T58" i="2" s="1"/>
  <c r="A59" i="2"/>
  <c r="T59" i="2" s="1"/>
  <c r="A60" i="2"/>
  <c r="T60" i="2" s="1"/>
  <c r="A61" i="2"/>
  <c r="T61" i="2" s="1"/>
  <c r="A62" i="2"/>
  <c r="T62" i="2" s="1"/>
  <c r="A63" i="2"/>
  <c r="T63" i="2" s="1"/>
  <c r="A64" i="2"/>
  <c r="T64" i="2" s="1"/>
  <c r="A65" i="2"/>
  <c r="T65" i="2" s="1"/>
  <c r="A66" i="2"/>
  <c r="T66" i="2" s="1"/>
  <c r="A67" i="2"/>
  <c r="T67" i="2" s="1"/>
  <c r="A68" i="2"/>
  <c r="T68" i="2" s="1"/>
  <c r="A69" i="2"/>
  <c r="T69" i="2" s="1"/>
  <c r="A70" i="2"/>
  <c r="T70" i="2" s="1"/>
  <c r="A71" i="2"/>
  <c r="T71" i="2" s="1"/>
  <c r="A72" i="2"/>
  <c r="T72" i="2" s="1"/>
  <c r="A73" i="2"/>
  <c r="T73" i="2" s="1"/>
  <c r="A74" i="2"/>
  <c r="T74" i="2" s="1"/>
  <c r="A75" i="2"/>
  <c r="T75" i="2" s="1"/>
  <c r="A76" i="2"/>
  <c r="T76" i="2" s="1"/>
  <c r="A77" i="2"/>
  <c r="T77" i="2" s="1"/>
  <c r="A78" i="2"/>
  <c r="T78" i="2" s="1"/>
  <c r="A79" i="2"/>
  <c r="T79" i="2" s="1"/>
  <c r="A80" i="2"/>
  <c r="T80" i="2" s="1"/>
  <c r="A81" i="2"/>
  <c r="T81" i="2" s="1"/>
  <c r="A82" i="2"/>
  <c r="T82" i="2" s="1"/>
  <c r="A83" i="2"/>
  <c r="T83" i="2" s="1"/>
  <c r="A84" i="2"/>
  <c r="T84" i="2" s="1"/>
  <c r="A85" i="2"/>
  <c r="T85" i="2" s="1"/>
  <c r="A86" i="2"/>
  <c r="T86" i="2" s="1"/>
  <c r="A87" i="2"/>
  <c r="T87" i="2" s="1"/>
  <c r="A88" i="2"/>
  <c r="T88" i="2" s="1"/>
  <c r="A89" i="2"/>
  <c r="T89" i="2" s="1"/>
  <c r="A90" i="2"/>
  <c r="T90" i="2" s="1"/>
  <c r="A91" i="2"/>
  <c r="T91" i="2" s="1"/>
  <c r="A92" i="2"/>
  <c r="T92" i="2" s="1"/>
  <c r="A93" i="2"/>
  <c r="T93" i="2" s="1"/>
  <c r="A94" i="2"/>
  <c r="T94" i="2" s="1"/>
  <c r="A95" i="2"/>
  <c r="T95" i="2" s="1"/>
  <c r="A96" i="2"/>
  <c r="T96" i="2" s="1"/>
  <c r="A97" i="2"/>
  <c r="T97" i="2" s="1"/>
  <c r="A98" i="2"/>
  <c r="T98" i="2" s="1"/>
  <c r="A99" i="2"/>
  <c r="T99" i="2" s="1"/>
  <c r="A100" i="2"/>
  <c r="T100" i="2" s="1"/>
  <c r="A101" i="2"/>
  <c r="T101" i="2" s="1"/>
  <c r="A102" i="2"/>
  <c r="T102" i="2" s="1"/>
  <c r="A103" i="2"/>
  <c r="T103" i="2" s="1"/>
  <c r="A104" i="2"/>
  <c r="T104" i="2" s="1"/>
  <c r="A105" i="2"/>
  <c r="T105" i="2" s="1"/>
  <c r="A106" i="2"/>
  <c r="T106" i="2" s="1"/>
  <c r="A107" i="2"/>
  <c r="T107" i="2" s="1"/>
  <c r="A108" i="2"/>
  <c r="T108" i="2" s="1"/>
  <c r="A109" i="2"/>
  <c r="T109" i="2" s="1"/>
  <c r="A110" i="2"/>
  <c r="T110" i="2" s="1"/>
  <c r="A111" i="2"/>
  <c r="T111" i="2" s="1"/>
  <c r="A112" i="2"/>
  <c r="T112" i="2" s="1"/>
  <c r="A113" i="2"/>
  <c r="T113" i="2" s="1"/>
  <c r="A114" i="2"/>
  <c r="T114" i="2" s="1"/>
  <c r="A115" i="2"/>
  <c r="T115" i="2" s="1"/>
  <c r="A116" i="2"/>
  <c r="T116" i="2" s="1"/>
  <c r="A117" i="2"/>
  <c r="T117" i="2" s="1"/>
  <c r="A118" i="2"/>
  <c r="T118" i="2" s="1"/>
  <c r="A119" i="2"/>
  <c r="T119" i="2" s="1"/>
  <c r="A120" i="2"/>
  <c r="T120" i="2" s="1"/>
  <c r="A121" i="2"/>
  <c r="T121" i="2" s="1"/>
  <c r="A122" i="2"/>
  <c r="T122" i="2" s="1"/>
  <c r="A123" i="2"/>
  <c r="T123" i="2" s="1"/>
  <c r="A124" i="2"/>
  <c r="T124" i="2" s="1"/>
  <c r="A125" i="2"/>
  <c r="T125" i="2" s="1"/>
  <c r="A126" i="2"/>
  <c r="T126" i="2" s="1"/>
  <c r="A127" i="2"/>
  <c r="T127" i="2" s="1"/>
  <c r="A128" i="2"/>
  <c r="T128" i="2" s="1"/>
  <c r="A129" i="2"/>
  <c r="T129" i="2" s="1"/>
  <c r="A130" i="2"/>
  <c r="T130" i="2" s="1"/>
  <c r="A131" i="2"/>
  <c r="T131" i="2" s="1"/>
  <c r="A132" i="2"/>
  <c r="T132" i="2" s="1"/>
  <c r="A133" i="2"/>
  <c r="T133" i="2" s="1"/>
  <c r="A134" i="2"/>
  <c r="T134" i="2" s="1"/>
  <c r="A135" i="2"/>
  <c r="T135" i="2" s="1"/>
  <c r="A136" i="2"/>
  <c r="T136" i="2" s="1"/>
  <c r="A137" i="2"/>
  <c r="T137" i="2" s="1"/>
  <c r="A138" i="2"/>
  <c r="T138" i="2" s="1"/>
  <c r="A139" i="2"/>
  <c r="T139" i="2" s="1"/>
  <c r="A140" i="2"/>
  <c r="T140" i="2" s="1"/>
  <c r="A141" i="2"/>
  <c r="T141" i="2" s="1"/>
  <c r="A142" i="2"/>
  <c r="T142" i="2" s="1"/>
  <c r="A143" i="2"/>
  <c r="T143" i="2" s="1"/>
  <c r="A144" i="2"/>
  <c r="T144" i="2" s="1"/>
  <c r="A145" i="2"/>
  <c r="T145" i="2" s="1"/>
  <c r="A146" i="2"/>
  <c r="T146" i="2" s="1"/>
  <c r="A147" i="2"/>
  <c r="T147" i="2" s="1"/>
  <c r="A148" i="2"/>
  <c r="T148" i="2" s="1"/>
  <c r="A149" i="2"/>
  <c r="T149" i="2" s="1"/>
  <c r="A150" i="2"/>
  <c r="T150" i="2" s="1"/>
  <c r="A151" i="2"/>
  <c r="T151" i="2" s="1"/>
  <c r="A152" i="2"/>
  <c r="T152" i="2" s="1"/>
  <c r="A153" i="2"/>
  <c r="T153" i="2" s="1"/>
  <c r="A154" i="2"/>
  <c r="T154" i="2" s="1"/>
  <c r="A155" i="2"/>
  <c r="T155" i="2" s="1"/>
  <c r="A156" i="2"/>
  <c r="T156" i="2" s="1"/>
  <c r="A157" i="2"/>
  <c r="T157" i="2" s="1"/>
  <c r="A158" i="2"/>
  <c r="T158" i="2" s="1"/>
  <c r="A159" i="2"/>
  <c r="T159" i="2" s="1"/>
  <c r="A160" i="2"/>
  <c r="T160" i="2" s="1"/>
  <c r="A161" i="2"/>
  <c r="T161" i="2" s="1"/>
  <c r="A162" i="2"/>
  <c r="T162" i="2" s="1"/>
  <c r="A163" i="2"/>
  <c r="T163" i="2" s="1"/>
  <c r="A164" i="2"/>
  <c r="T164" i="2" s="1"/>
  <c r="A165" i="2"/>
  <c r="T165" i="2" s="1"/>
  <c r="A166" i="2"/>
  <c r="T166" i="2" s="1"/>
  <c r="A167" i="2"/>
  <c r="T167" i="2" s="1"/>
  <c r="A168" i="2"/>
  <c r="T168" i="2" s="1"/>
  <c r="A169" i="2"/>
  <c r="T169" i="2" s="1"/>
  <c r="A170" i="2"/>
  <c r="T170" i="2" s="1"/>
  <c r="A171" i="2"/>
  <c r="T171" i="2" s="1"/>
  <c r="A172" i="2"/>
  <c r="T172" i="2" s="1"/>
  <c r="A173" i="2"/>
  <c r="T173" i="2" s="1"/>
  <c r="A174" i="2"/>
  <c r="T174" i="2" s="1"/>
  <c r="A175" i="2"/>
  <c r="T175" i="2" s="1"/>
  <c r="A176" i="2"/>
  <c r="T176" i="2" s="1"/>
  <c r="A177" i="2"/>
  <c r="T177" i="2" s="1"/>
  <c r="A178" i="2"/>
  <c r="T178" i="2" s="1"/>
  <c r="A179" i="2"/>
  <c r="T179" i="2" s="1"/>
  <c r="A180" i="2"/>
  <c r="T180" i="2" s="1"/>
  <c r="A181" i="2"/>
  <c r="T181" i="2" s="1"/>
  <c r="A182" i="2"/>
  <c r="T182" i="2" s="1"/>
  <c r="A183" i="2"/>
  <c r="T183" i="2" s="1"/>
  <c r="A184" i="2"/>
  <c r="T184" i="2" s="1"/>
  <c r="A185" i="2"/>
  <c r="T185" i="2" s="1"/>
  <c r="A186" i="2"/>
  <c r="T186" i="2" s="1"/>
  <c r="A187" i="2"/>
  <c r="T187" i="2" s="1"/>
  <c r="A188" i="2"/>
  <c r="T188" i="2" s="1"/>
  <c r="A189" i="2"/>
  <c r="T189" i="2" s="1"/>
  <c r="A190" i="2"/>
  <c r="T190" i="2" s="1"/>
  <c r="A191" i="2"/>
  <c r="T191" i="2" s="1"/>
  <c r="A192" i="2"/>
  <c r="T192" i="2" s="1"/>
  <c r="A193" i="2"/>
  <c r="T193" i="2" s="1"/>
  <c r="A194" i="2"/>
  <c r="T194" i="2" s="1"/>
  <c r="A195" i="2"/>
  <c r="T195" i="2" s="1"/>
  <c r="A196" i="2"/>
  <c r="T196" i="2" s="1"/>
  <c r="A197" i="2"/>
  <c r="T197" i="2" s="1"/>
  <c r="A198" i="2"/>
  <c r="T198" i="2" s="1"/>
  <c r="A199" i="2"/>
  <c r="T199" i="2" s="1"/>
  <c r="A200" i="2"/>
  <c r="T200" i="2" s="1"/>
  <c r="A201" i="2"/>
  <c r="T201" i="2" s="1"/>
  <c r="A202" i="2"/>
  <c r="T202" i="2" s="1"/>
  <c r="A203" i="2"/>
  <c r="T203" i="2" s="1"/>
  <c r="A204" i="2"/>
  <c r="T204" i="2" s="1"/>
  <c r="A205" i="2"/>
  <c r="T205" i="2" s="1"/>
  <c r="A206" i="2"/>
  <c r="T206" i="2" s="1"/>
  <c r="A207" i="2"/>
  <c r="T207" i="2" s="1"/>
  <c r="A208" i="2"/>
  <c r="T208" i="2" s="1"/>
  <c r="A209" i="2"/>
  <c r="T209" i="2" s="1"/>
  <c r="A210" i="2"/>
  <c r="T210" i="2" s="1"/>
  <c r="A211" i="2"/>
  <c r="T211" i="2" s="1"/>
  <c r="A212" i="2"/>
  <c r="T212" i="2" s="1"/>
  <c r="A213" i="2"/>
  <c r="T213" i="2" s="1"/>
  <c r="A214" i="2"/>
  <c r="T214" i="2" s="1"/>
  <c r="A215" i="2"/>
  <c r="T215" i="2" s="1"/>
  <c r="A216" i="2"/>
  <c r="T216" i="2" s="1"/>
  <c r="A217" i="2"/>
  <c r="T217" i="2" s="1"/>
  <c r="A218" i="2"/>
  <c r="T218" i="2" s="1"/>
  <c r="A219" i="2"/>
  <c r="T219" i="2" s="1"/>
  <c r="A220" i="2"/>
  <c r="T220" i="2" s="1"/>
  <c r="A221" i="2"/>
  <c r="T221" i="2" s="1"/>
  <c r="A222" i="2"/>
  <c r="T222" i="2" s="1"/>
  <c r="A223" i="2"/>
  <c r="T223" i="2" s="1"/>
  <c r="A224" i="2"/>
  <c r="T224" i="2" s="1"/>
  <c r="A225" i="2"/>
  <c r="T225" i="2" s="1"/>
  <c r="A226" i="2"/>
  <c r="T226" i="2" s="1"/>
  <c r="A227" i="2"/>
  <c r="T227" i="2" s="1"/>
  <c r="A228" i="2"/>
  <c r="T228" i="2" s="1"/>
  <c r="A229" i="2"/>
  <c r="T229" i="2" s="1"/>
  <c r="A230" i="2"/>
  <c r="T230" i="2" s="1"/>
  <c r="A231" i="2"/>
  <c r="T231" i="2" s="1"/>
  <c r="A232" i="2"/>
  <c r="T232" i="2" s="1"/>
  <c r="A233" i="2"/>
  <c r="T233" i="2" s="1"/>
  <c r="A234" i="2"/>
  <c r="T234" i="2" s="1"/>
  <c r="A235" i="2"/>
  <c r="T235" i="2" s="1"/>
  <c r="A236" i="2"/>
  <c r="T236" i="2" s="1"/>
  <c r="A237" i="2"/>
  <c r="T237" i="2" s="1"/>
  <c r="A238" i="2"/>
  <c r="T238" i="2" s="1"/>
  <c r="A239" i="2"/>
  <c r="T239" i="2" s="1"/>
  <c r="A240" i="2"/>
  <c r="T240" i="2" s="1"/>
  <c r="A241" i="2"/>
  <c r="T241" i="2" s="1"/>
  <c r="A242" i="2"/>
  <c r="T242" i="2" s="1"/>
  <c r="A243" i="2"/>
  <c r="T243" i="2" s="1"/>
  <c r="A244" i="2"/>
  <c r="T244" i="2" s="1"/>
  <c r="A245" i="2"/>
  <c r="T245" i="2" s="1"/>
  <c r="A246" i="2"/>
  <c r="T246" i="2" s="1"/>
  <c r="A247" i="2"/>
  <c r="T247" i="2" s="1"/>
  <c r="A248" i="2"/>
  <c r="T248" i="2" s="1"/>
  <c r="A249" i="2"/>
  <c r="T249" i="2" s="1"/>
  <c r="A250" i="2"/>
  <c r="T250" i="2" s="1"/>
  <c r="A251" i="2"/>
  <c r="T251" i="2" s="1"/>
  <c r="A252" i="2"/>
  <c r="T252" i="2" s="1"/>
  <c r="A253" i="2"/>
  <c r="T253" i="2" s="1"/>
  <c r="A254" i="2"/>
  <c r="T254" i="2" s="1"/>
  <c r="A255" i="2"/>
  <c r="T255" i="2" s="1"/>
  <c r="A256" i="2"/>
  <c r="T256" i="2" s="1"/>
  <c r="A257" i="2"/>
  <c r="T257" i="2" s="1"/>
  <c r="A258" i="2"/>
  <c r="T258" i="2" s="1"/>
  <c r="A259" i="2"/>
  <c r="T259" i="2" s="1"/>
  <c r="A260" i="2"/>
  <c r="T260" i="2" s="1"/>
  <c r="A261" i="2"/>
  <c r="T261" i="2" s="1"/>
  <c r="A262" i="2"/>
  <c r="T262" i="2" s="1"/>
  <c r="A263" i="2"/>
  <c r="T263" i="2" s="1"/>
  <c r="A264" i="2"/>
  <c r="T264" i="2" s="1"/>
  <c r="A265" i="2"/>
  <c r="T265" i="2" s="1"/>
  <c r="A266" i="2"/>
  <c r="T266" i="2" s="1"/>
  <c r="A267" i="2"/>
  <c r="T267" i="2" s="1"/>
  <c r="A268" i="2"/>
  <c r="T268" i="2" s="1"/>
  <c r="A269" i="2"/>
  <c r="T269" i="2" s="1"/>
  <c r="A270" i="2"/>
  <c r="T270" i="2" s="1"/>
  <c r="A271" i="2"/>
  <c r="T271" i="2" s="1"/>
  <c r="A272" i="2"/>
  <c r="T272" i="2" s="1"/>
  <c r="A273" i="2"/>
  <c r="T273" i="2" s="1"/>
  <c r="A274" i="2"/>
  <c r="T274" i="2" s="1"/>
  <c r="A275" i="2"/>
  <c r="T275" i="2" s="1"/>
  <c r="A276" i="2"/>
  <c r="T276" i="2" s="1"/>
  <c r="A277" i="2"/>
  <c r="T277" i="2" s="1"/>
  <c r="A278" i="2"/>
  <c r="T278" i="2" s="1"/>
  <c r="A279" i="2"/>
  <c r="T279" i="2" s="1"/>
  <c r="A280" i="2"/>
  <c r="T280" i="2" s="1"/>
  <c r="A281" i="2"/>
  <c r="T281" i="2" s="1"/>
  <c r="A282" i="2"/>
  <c r="T282" i="2" s="1"/>
  <c r="A283" i="2"/>
  <c r="T283" i="2" s="1"/>
  <c r="A284" i="2"/>
  <c r="T284" i="2" s="1"/>
  <c r="A285" i="2"/>
  <c r="T285" i="2" s="1"/>
  <c r="A286" i="2"/>
  <c r="T286" i="2" s="1"/>
  <c r="A287" i="2"/>
  <c r="T287" i="2" s="1"/>
  <c r="A288" i="2"/>
  <c r="T288" i="2" s="1"/>
  <c r="A289" i="2"/>
  <c r="T289" i="2" s="1"/>
  <c r="A290" i="2"/>
  <c r="T290" i="2" s="1"/>
  <c r="A291" i="2"/>
  <c r="T291" i="2" s="1"/>
  <c r="A292" i="2"/>
  <c r="T292" i="2" s="1"/>
  <c r="A293" i="2"/>
  <c r="T293" i="2" s="1"/>
  <c r="A294" i="2"/>
  <c r="T294" i="2" s="1"/>
  <c r="A295" i="2"/>
  <c r="T295" i="2" s="1"/>
  <c r="A296" i="2"/>
  <c r="T296" i="2" s="1"/>
  <c r="A297" i="2"/>
  <c r="T297" i="2" s="1"/>
  <c r="A298" i="2"/>
  <c r="T298" i="2" s="1"/>
  <c r="A299" i="2"/>
  <c r="T299" i="2" s="1"/>
  <c r="A300" i="2"/>
  <c r="T300" i="2" s="1"/>
  <c r="A301" i="2"/>
  <c r="T301" i="2" s="1"/>
  <c r="A302" i="2"/>
  <c r="T302" i="2" s="1"/>
  <c r="A303" i="2"/>
  <c r="T303" i="2" s="1"/>
  <c r="A304" i="2"/>
  <c r="T304" i="2" s="1"/>
  <c r="A305" i="2"/>
  <c r="T305" i="2" s="1"/>
  <c r="A306" i="2"/>
  <c r="T306" i="2" s="1"/>
  <c r="A307" i="2"/>
  <c r="T307" i="2" s="1"/>
  <c r="A308" i="2"/>
  <c r="T308" i="2" s="1"/>
  <c r="A309" i="2"/>
  <c r="T309" i="2" s="1"/>
  <c r="A310" i="2"/>
  <c r="T310" i="2" s="1"/>
  <c r="A311" i="2"/>
  <c r="T311" i="2" s="1"/>
  <c r="A312" i="2"/>
  <c r="T312" i="2" s="1"/>
  <c r="A313" i="2"/>
  <c r="T313" i="2" s="1"/>
  <c r="A314" i="2"/>
  <c r="T314" i="2" s="1"/>
  <c r="A315" i="2"/>
  <c r="T315" i="2" s="1"/>
  <c r="A316" i="2"/>
  <c r="T316" i="2" s="1"/>
  <c r="A317" i="2"/>
  <c r="T317" i="2" s="1"/>
  <c r="A318" i="2"/>
  <c r="T318" i="2" s="1"/>
  <c r="A319" i="2"/>
  <c r="T319" i="2" s="1"/>
  <c r="A320" i="2"/>
  <c r="T320" i="2" s="1"/>
  <c r="A321" i="2"/>
  <c r="T321" i="2" s="1"/>
  <c r="A322" i="2"/>
  <c r="T322" i="2" s="1"/>
  <c r="A323" i="2"/>
  <c r="T323" i="2" s="1"/>
  <c r="A324" i="2"/>
  <c r="T324" i="2" s="1"/>
  <c r="A325" i="2"/>
  <c r="T325" i="2" s="1"/>
  <c r="A326" i="2"/>
  <c r="T326" i="2" s="1"/>
  <c r="A327" i="2"/>
  <c r="T327" i="2" s="1"/>
  <c r="A328" i="2"/>
  <c r="T328" i="2" s="1"/>
  <c r="A329" i="2"/>
  <c r="T329" i="2" s="1"/>
  <c r="A330" i="2"/>
  <c r="T330" i="2" s="1"/>
  <c r="A331" i="2"/>
  <c r="T331" i="2" s="1"/>
  <c r="A332" i="2"/>
  <c r="T332" i="2" s="1"/>
  <c r="A333" i="2"/>
  <c r="T333" i="2" s="1"/>
  <c r="A334" i="2"/>
  <c r="T334" i="2" s="1"/>
  <c r="A335" i="2"/>
  <c r="T335" i="2" s="1"/>
  <c r="A336" i="2"/>
  <c r="T336" i="2" s="1"/>
  <c r="A337" i="2"/>
  <c r="T337" i="2" s="1"/>
  <c r="A338" i="2"/>
  <c r="T338" i="2" s="1"/>
  <c r="A339" i="2"/>
  <c r="T339" i="2" s="1"/>
  <c r="A340" i="2"/>
  <c r="T340" i="2" s="1"/>
  <c r="A341" i="2"/>
  <c r="T341" i="2" s="1"/>
  <c r="A342" i="2"/>
  <c r="T342" i="2" s="1"/>
  <c r="A343" i="2"/>
  <c r="T343" i="2" s="1"/>
  <c r="A344" i="2"/>
  <c r="T344" i="2" s="1"/>
  <c r="A345" i="2"/>
  <c r="T345" i="2" s="1"/>
  <c r="A346" i="2"/>
  <c r="T346" i="2" s="1"/>
  <c r="A347" i="2"/>
  <c r="T347" i="2" s="1"/>
  <c r="A348" i="2"/>
  <c r="T348" i="2" s="1"/>
  <c r="A349" i="2"/>
  <c r="T349" i="2" s="1"/>
  <c r="A350" i="2"/>
  <c r="T350" i="2" s="1"/>
  <c r="A351" i="2"/>
  <c r="T351" i="2" s="1"/>
  <c r="A352" i="2"/>
  <c r="T352" i="2" s="1"/>
  <c r="A353" i="2"/>
  <c r="T353" i="2" s="1"/>
  <c r="A354" i="2"/>
  <c r="T354" i="2" s="1"/>
  <c r="A355" i="2"/>
  <c r="T355" i="2" s="1"/>
  <c r="A356" i="2"/>
  <c r="T356" i="2" s="1"/>
  <c r="A357" i="2"/>
  <c r="T357" i="2" s="1"/>
  <c r="A358" i="2"/>
  <c r="T358" i="2" s="1"/>
  <c r="A359" i="2"/>
  <c r="T359" i="2" s="1"/>
  <c r="A360" i="2"/>
  <c r="T360" i="2" s="1"/>
  <c r="A361" i="2"/>
  <c r="T361" i="2" s="1"/>
  <c r="A362" i="2"/>
  <c r="T362" i="2" s="1"/>
  <c r="A363" i="2"/>
  <c r="T363" i="2" s="1"/>
  <c r="A364" i="2"/>
  <c r="T364" i="2" s="1"/>
  <c r="A365" i="2"/>
  <c r="T365" i="2" s="1"/>
  <c r="A366" i="2"/>
  <c r="T366" i="2" s="1"/>
  <c r="A367" i="2"/>
  <c r="T367" i="2" s="1"/>
  <c r="A368" i="2"/>
  <c r="T368" i="2" s="1"/>
  <c r="A369" i="2"/>
  <c r="T369" i="2" s="1"/>
  <c r="A370" i="2"/>
  <c r="T370" i="2" s="1"/>
  <c r="A371" i="2"/>
  <c r="T371" i="2" s="1"/>
  <c r="A372" i="2"/>
  <c r="T372" i="2" s="1"/>
  <c r="A373" i="2"/>
  <c r="T373" i="2" s="1"/>
  <c r="A374" i="2"/>
  <c r="T374" i="2" s="1"/>
  <c r="A375" i="2"/>
  <c r="T375" i="2" s="1"/>
  <c r="A376" i="2"/>
  <c r="T376" i="2" s="1"/>
  <c r="A377" i="2"/>
  <c r="T377" i="2" s="1"/>
  <c r="A378" i="2"/>
  <c r="T378" i="2" s="1"/>
  <c r="A379" i="2"/>
  <c r="T379" i="2" s="1"/>
  <c r="A380" i="2"/>
  <c r="T380" i="2" s="1"/>
  <c r="A381" i="2"/>
  <c r="T381" i="2" s="1"/>
  <c r="A382" i="2"/>
  <c r="T382" i="2" s="1"/>
  <c r="A383" i="2"/>
  <c r="T383" i="2" s="1"/>
  <c r="A384" i="2"/>
  <c r="T384" i="2" s="1"/>
  <c r="A385" i="2"/>
  <c r="T385" i="2" s="1"/>
  <c r="A386" i="2"/>
  <c r="T386" i="2" s="1"/>
  <c r="A387" i="2"/>
  <c r="T387" i="2" s="1"/>
  <c r="A388" i="2"/>
  <c r="T388" i="2" s="1"/>
  <c r="A389" i="2"/>
  <c r="T389" i="2" s="1"/>
  <c r="A390" i="2"/>
  <c r="T390" i="2" s="1"/>
  <c r="A391" i="2"/>
  <c r="T391" i="2" s="1"/>
  <c r="A392" i="2"/>
  <c r="T392" i="2" s="1"/>
  <c r="A393" i="2"/>
  <c r="T393" i="2" s="1"/>
  <c r="A394" i="2"/>
  <c r="T394" i="2" s="1"/>
  <c r="A395" i="2"/>
  <c r="T395" i="2" s="1"/>
  <c r="A396" i="2"/>
  <c r="T396" i="2" s="1"/>
  <c r="A397" i="2"/>
  <c r="T397" i="2" s="1"/>
  <c r="A398" i="2"/>
  <c r="T398" i="2" s="1"/>
  <c r="A399" i="2"/>
  <c r="T399" i="2" s="1"/>
  <c r="A400" i="2"/>
  <c r="T400" i="2" s="1"/>
  <c r="A401" i="2"/>
  <c r="T401" i="2" s="1"/>
  <c r="A402" i="2"/>
  <c r="T402" i="2" s="1"/>
  <c r="A403" i="2"/>
  <c r="T403" i="2" s="1"/>
  <c r="A404" i="2"/>
  <c r="T404" i="2" s="1"/>
  <c r="A405" i="2"/>
  <c r="T405" i="2" s="1"/>
  <c r="A406" i="2"/>
  <c r="T406" i="2" s="1"/>
  <c r="A407" i="2"/>
  <c r="T407" i="2" s="1"/>
  <c r="A408" i="2"/>
  <c r="T408" i="2" s="1"/>
  <c r="A409" i="2"/>
  <c r="T409" i="2" s="1"/>
  <c r="A410" i="2"/>
  <c r="T410" i="2" s="1"/>
  <c r="A411" i="2"/>
  <c r="T411" i="2" s="1"/>
  <c r="A412" i="2"/>
  <c r="T412" i="2" s="1"/>
  <c r="A413" i="2"/>
  <c r="T413" i="2" s="1"/>
  <c r="A414" i="2"/>
  <c r="T414" i="2" s="1"/>
  <c r="A415" i="2"/>
  <c r="T415" i="2" s="1"/>
  <c r="A416" i="2"/>
  <c r="T416" i="2" s="1"/>
  <c r="A417" i="2"/>
  <c r="T417" i="2" s="1"/>
  <c r="A418" i="2"/>
  <c r="T418" i="2" s="1"/>
  <c r="A419" i="2"/>
  <c r="T419" i="2" s="1"/>
  <c r="A420" i="2"/>
  <c r="T420" i="2" s="1"/>
  <c r="A421" i="2"/>
  <c r="T421" i="2" s="1"/>
  <c r="A422" i="2"/>
  <c r="T422" i="2" s="1"/>
  <c r="A423" i="2"/>
  <c r="T423" i="2" s="1"/>
  <c r="A424" i="2"/>
  <c r="T424" i="2" s="1"/>
  <c r="A425" i="2"/>
  <c r="T425" i="2" s="1"/>
  <c r="A426" i="2"/>
  <c r="T426" i="2" s="1"/>
  <c r="A427" i="2"/>
  <c r="T427" i="2" s="1"/>
  <c r="A428" i="2"/>
  <c r="T428" i="2" s="1"/>
  <c r="A429" i="2"/>
  <c r="T429" i="2" s="1"/>
  <c r="A430" i="2"/>
  <c r="T430" i="2" s="1"/>
  <c r="A431" i="2"/>
  <c r="T431" i="2" s="1"/>
  <c r="A432" i="2"/>
  <c r="T432" i="2" s="1"/>
  <c r="A433" i="2"/>
  <c r="T433" i="2" s="1"/>
  <c r="A434" i="2"/>
  <c r="T434" i="2" s="1"/>
  <c r="A435" i="2"/>
  <c r="T435" i="2" s="1"/>
  <c r="A436" i="2"/>
  <c r="T436" i="2" s="1"/>
  <c r="A437" i="2"/>
  <c r="T437" i="2" s="1"/>
  <c r="A438" i="2"/>
  <c r="T438" i="2" s="1"/>
  <c r="A439" i="2"/>
  <c r="T439" i="2" s="1"/>
  <c r="A440" i="2"/>
  <c r="T440" i="2" s="1"/>
  <c r="A441" i="2"/>
  <c r="T441" i="2" s="1"/>
  <c r="A442" i="2"/>
  <c r="T442" i="2" s="1"/>
  <c r="A443" i="2"/>
  <c r="T443" i="2" s="1"/>
  <c r="A444" i="2"/>
  <c r="T444" i="2" s="1"/>
  <c r="A445" i="2"/>
  <c r="T445" i="2" s="1"/>
  <c r="A446" i="2"/>
  <c r="T446" i="2" s="1"/>
  <c r="A447" i="2"/>
  <c r="T447" i="2" s="1"/>
  <c r="A448" i="2"/>
  <c r="T448" i="2" s="1"/>
  <c r="A449" i="2"/>
  <c r="T449" i="2" s="1"/>
  <c r="A450" i="2"/>
  <c r="T450" i="2" s="1"/>
  <c r="A451" i="2"/>
  <c r="T451" i="2" s="1"/>
  <c r="A452" i="2"/>
  <c r="T452" i="2" s="1"/>
  <c r="A453" i="2"/>
  <c r="T453" i="2" s="1"/>
  <c r="A454" i="2"/>
  <c r="T454" i="2" s="1"/>
  <c r="A455" i="2"/>
  <c r="T455" i="2" s="1"/>
  <c r="A456" i="2"/>
  <c r="T456" i="2" s="1"/>
  <c r="A457" i="2"/>
  <c r="T457" i="2" s="1"/>
  <c r="A458" i="2"/>
  <c r="T458" i="2" s="1"/>
  <c r="A459" i="2"/>
  <c r="T459" i="2" s="1"/>
  <c r="A460" i="2"/>
  <c r="T460" i="2" s="1"/>
  <c r="A461" i="2"/>
  <c r="T461" i="2" s="1"/>
  <c r="A462" i="2"/>
  <c r="T462" i="2" s="1"/>
  <c r="A463" i="2"/>
  <c r="T463" i="2" s="1"/>
  <c r="A464" i="2"/>
  <c r="T464" i="2" s="1"/>
  <c r="A465" i="2"/>
  <c r="T465" i="2" s="1"/>
  <c r="A466" i="2"/>
  <c r="T466" i="2" s="1"/>
  <c r="A467" i="2"/>
  <c r="T467" i="2" s="1"/>
  <c r="A468" i="2"/>
  <c r="T468" i="2" s="1"/>
  <c r="A469" i="2"/>
  <c r="T469" i="2" s="1"/>
  <c r="A470" i="2"/>
  <c r="T470" i="2" s="1"/>
  <c r="A471" i="2"/>
  <c r="T471" i="2" s="1"/>
  <c r="A472" i="2"/>
  <c r="T472" i="2" s="1"/>
  <c r="A473" i="2"/>
  <c r="T473" i="2" s="1"/>
  <c r="A474" i="2"/>
  <c r="T474" i="2" s="1"/>
  <c r="A475" i="2"/>
  <c r="T475" i="2" s="1"/>
  <c r="A476" i="2"/>
  <c r="T476" i="2" s="1"/>
  <c r="A477" i="2"/>
  <c r="T477" i="2" s="1"/>
  <c r="A478" i="2"/>
  <c r="T478" i="2" s="1"/>
  <c r="A479" i="2"/>
  <c r="T479" i="2" s="1"/>
  <c r="A480" i="2"/>
  <c r="T480" i="2" s="1"/>
  <c r="A481" i="2"/>
  <c r="T481" i="2" s="1"/>
  <c r="A482" i="2"/>
  <c r="T482" i="2" s="1"/>
  <c r="A483" i="2"/>
  <c r="T483" i="2" s="1"/>
  <c r="A484" i="2"/>
  <c r="T484" i="2" s="1"/>
  <c r="A485" i="2"/>
  <c r="T485" i="2" s="1"/>
  <c r="A486" i="2"/>
  <c r="T486" i="2" s="1"/>
  <c r="A487" i="2"/>
  <c r="T487" i="2" s="1"/>
  <c r="A488" i="2"/>
  <c r="T488" i="2" s="1"/>
  <c r="A489" i="2"/>
  <c r="T489" i="2" s="1"/>
  <c r="A490" i="2"/>
  <c r="T490" i="2" s="1"/>
  <c r="A491" i="2"/>
  <c r="T491" i="2" s="1"/>
  <c r="A492" i="2"/>
  <c r="T492" i="2" s="1"/>
  <c r="A493" i="2"/>
  <c r="T493" i="2" s="1"/>
  <c r="A494" i="2"/>
  <c r="T494" i="2" s="1"/>
  <c r="A495" i="2"/>
  <c r="T495" i="2" s="1"/>
  <c r="A496" i="2"/>
  <c r="T496" i="2" s="1"/>
  <c r="A497" i="2"/>
  <c r="T497" i="2" s="1"/>
  <c r="A498" i="2"/>
  <c r="T498" i="2" s="1"/>
  <c r="A499" i="2"/>
  <c r="T499" i="2" s="1"/>
  <c r="A500" i="2"/>
  <c r="T500" i="2" s="1"/>
  <c r="A501" i="2"/>
  <c r="T501" i="2" s="1"/>
  <c r="A502" i="2"/>
  <c r="T502" i="2" s="1"/>
  <c r="A503" i="2"/>
  <c r="T503" i="2" s="1"/>
  <c r="A504" i="2"/>
  <c r="T504" i="2" s="1"/>
  <c r="A505" i="2"/>
  <c r="T505" i="2" s="1"/>
  <c r="A506" i="2"/>
  <c r="T506" i="2" s="1"/>
  <c r="A507" i="2"/>
  <c r="T507" i="2" s="1"/>
  <c r="A508" i="2"/>
  <c r="T508" i="2" s="1"/>
  <c r="A509" i="2"/>
  <c r="T509" i="2" s="1"/>
  <c r="A510" i="2"/>
  <c r="T510" i="2" s="1"/>
  <c r="A511" i="2"/>
  <c r="T511" i="2" s="1"/>
  <c r="A512" i="2"/>
  <c r="T512" i="2" s="1"/>
  <c r="A513" i="2"/>
  <c r="T513" i="2" s="1"/>
  <c r="A514" i="2"/>
  <c r="T514" i="2" s="1"/>
  <c r="A515" i="2"/>
  <c r="T515" i="2" s="1"/>
  <c r="A516" i="2"/>
  <c r="T516" i="2" s="1"/>
  <c r="A517" i="2"/>
  <c r="T517" i="2" s="1"/>
  <c r="A518" i="2"/>
  <c r="T518" i="2" s="1"/>
  <c r="A519" i="2"/>
  <c r="T519" i="2" s="1"/>
  <c r="A520" i="2"/>
  <c r="T520" i="2" s="1"/>
  <c r="A521" i="2"/>
  <c r="T521" i="2" s="1"/>
  <c r="A522" i="2"/>
  <c r="T522" i="2" s="1"/>
  <c r="A523" i="2"/>
  <c r="T523" i="2" s="1"/>
  <c r="A524" i="2"/>
  <c r="T524" i="2" s="1"/>
  <c r="A525" i="2"/>
  <c r="T525" i="2" s="1"/>
  <c r="A526" i="2"/>
  <c r="T526" i="2" s="1"/>
  <c r="A527" i="2"/>
  <c r="T527" i="2" s="1"/>
  <c r="A528" i="2"/>
  <c r="T528" i="2" s="1"/>
  <c r="A529" i="2"/>
  <c r="T529" i="2" s="1"/>
  <c r="A530" i="2"/>
  <c r="T530" i="2" s="1"/>
  <c r="A531" i="2"/>
  <c r="T531" i="2" s="1"/>
  <c r="A532" i="2"/>
  <c r="T532" i="2" s="1"/>
  <c r="A533" i="2"/>
  <c r="T533" i="2" s="1"/>
  <c r="A534" i="2"/>
  <c r="T534" i="2" s="1"/>
  <c r="A535" i="2"/>
  <c r="T535" i="2" s="1"/>
  <c r="A536" i="2"/>
  <c r="T536" i="2" s="1"/>
  <c r="A537" i="2"/>
  <c r="T537" i="2" s="1"/>
  <c r="A538" i="2"/>
  <c r="T538" i="2" s="1"/>
  <c r="A539" i="2"/>
  <c r="T539" i="2" s="1"/>
  <c r="A540" i="2"/>
  <c r="T540" i="2" s="1"/>
  <c r="A541" i="2"/>
  <c r="T541" i="2" s="1"/>
  <c r="A542" i="2"/>
  <c r="T542" i="2" s="1"/>
  <c r="A543" i="2"/>
  <c r="T543" i="2" s="1"/>
  <c r="A544" i="2"/>
  <c r="T544" i="2" s="1"/>
  <c r="A545" i="2"/>
  <c r="T545" i="2" s="1"/>
  <c r="A546" i="2"/>
  <c r="T546" i="2" s="1"/>
  <c r="A547" i="2"/>
  <c r="T547" i="2" s="1"/>
  <c r="A548" i="2"/>
  <c r="T548" i="2" s="1"/>
  <c r="A549" i="2"/>
  <c r="T549" i="2" s="1"/>
  <c r="A550" i="2"/>
  <c r="T550" i="2" s="1"/>
  <c r="A551" i="2"/>
  <c r="T551" i="2" s="1"/>
  <c r="A552" i="2"/>
  <c r="T552" i="2" s="1"/>
  <c r="A553" i="2"/>
  <c r="T553" i="2" s="1"/>
  <c r="A554" i="2"/>
  <c r="T554" i="2" s="1"/>
  <c r="A555" i="2"/>
  <c r="T555" i="2" s="1"/>
  <c r="A556" i="2"/>
  <c r="T556" i="2" s="1"/>
  <c r="A557" i="2"/>
  <c r="T557" i="2" s="1"/>
  <c r="A558" i="2"/>
  <c r="T558" i="2" s="1"/>
  <c r="A559" i="2"/>
  <c r="T559" i="2" s="1"/>
  <c r="A560" i="2"/>
  <c r="T560" i="2" s="1"/>
  <c r="A561" i="2"/>
  <c r="T561" i="2" s="1"/>
  <c r="A562" i="2"/>
  <c r="T562" i="2" s="1"/>
  <c r="A563" i="2"/>
  <c r="T563" i="2" s="1"/>
  <c r="A564" i="2"/>
  <c r="T564" i="2" s="1"/>
  <c r="A565" i="2"/>
  <c r="T565" i="2" s="1"/>
  <c r="A566" i="2"/>
  <c r="T566" i="2" s="1"/>
  <c r="A567" i="2"/>
  <c r="T567" i="2" s="1"/>
  <c r="A568" i="2"/>
  <c r="T568" i="2" s="1"/>
  <c r="A569" i="2"/>
  <c r="T569" i="2" s="1"/>
  <c r="A570" i="2"/>
  <c r="T570" i="2" s="1"/>
  <c r="A571" i="2"/>
  <c r="T571" i="2" s="1"/>
  <c r="A572" i="2"/>
  <c r="T572" i="2" s="1"/>
  <c r="A573" i="2"/>
  <c r="T573" i="2" s="1"/>
  <c r="A574" i="2"/>
  <c r="T574" i="2" s="1"/>
  <c r="A575" i="2"/>
  <c r="T575" i="2" s="1"/>
  <c r="A576" i="2"/>
  <c r="T576" i="2" s="1"/>
  <c r="A577" i="2"/>
  <c r="T577" i="2" s="1"/>
  <c r="A578" i="2"/>
  <c r="T578" i="2" s="1"/>
  <c r="A579" i="2"/>
  <c r="T579" i="2" s="1"/>
  <c r="A580" i="2"/>
  <c r="T580" i="2" s="1"/>
  <c r="A581" i="2"/>
  <c r="T581" i="2" s="1"/>
  <c r="A582" i="2"/>
  <c r="T582" i="2" s="1"/>
  <c r="A583" i="2"/>
  <c r="T583" i="2" s="1"/>
  <c r="A584" i="2"/>
  <c r="T584" i="2" s="1"/>
  <c r="A585" i="2"/>
  <c r="T585" i="2" s="1"/>
  <c r="A586" i="2"/>
  <c r="T586" i="2" s="1"/>
  <c r="A587" i="2"/>
  <c r="T587" i="2" s="1"/>
  <c r="A588" i="2"/>
  <c r="T588" i="2" s="1"/>
  <c r="A589" i="2"/>
  <c r="T589" i="2" s="1"/>
  <c r="A590" i="2"/>
  <c r="T590" i="2" s="1"/>
  <c r="A591" i="2"/>
  <c r="T591" i="2" s="1"/>
  <c r="A592" i="2"/>
  <c r="T592" i="2" s="1"/>
  <c r="A593" i="2"/>
  <c r="T593" i="2" s="1"/>
  <c r="A594" i="2"/>
  <c r="T594" i="2" s="1"/>
  <c r="A595" i="2"/>
  <c r="T595" i="2" s="1"/>
  <c r="A596" i="2"/>
  <c r="T596" i="2" s="1"/>
  <c r="A597" i="2"/>
  <c r="T597" i="2" s="1"/>
  <c r="A598" i="2"/>
  <c r="T598" i="2" s="1"/>
  <c r="A599" i="2"/>
  <c r="T599" i="2" s="1"/>
  <c r="A600" i="2"/>
  <c r="T600" i="2" s="1"/>
  <c r="A601" i="2"/>
  <c r="T601" i="2" s="1"/>
  <c r="A602" i="2"/>
  <c r="T602" i="2" s="1"/>
  <c r="A603" i="2"/>
  <c r="T603" i="2" s="1"/>
  <c r="A604" i="2"/>
  <c r="T604" i="2" s="1"/>
  <c r="A605" i="2"/>
  <c r="T605" i="2" s="1"/>
  <c r="A606" i="2"/>
  <c r="T606" i="2" s="1"/>
  <c r="A607" i="2"/>
  <c r="T607" i="2" s="1"/>
  <c r="A608" i="2"/>
  <c r="T608" i="2" s="1"/>
  <c r="A609" i="2"/>
  <c r="T609" i="2" s="1"/>
  <c r="A610" i="2"/>
  <c r="T610" i="2" s="1"/>
  <c r="A611" i="2"/>
  <c r="T611" i="2" s="1"/>
  <c r="A612" i="2"/>
  <c r="T612" i="2" s="1"/>
  <c r="A613" i="2"/>
  <c r="T613" i="2" s="1"/>
  <c r="A614" i="2"/>
  <c r="T614" i="2" s="1"/>
  <c r="A615" i="2"/>
  <c r="T615" i="2" s="1"/>
  <c r="A616" i="2"/>
  <c r="T616" i="2" s="1"/>
  <c r="A617" i="2"/>
  <c r="T617" i="2" s="1"/>
  <c r="A618" i="2"/>
  <c r="T618" i="2" s="1"/>
  <c r="A619" i="2"/>
  <c r="T619" i="2" s="1"/>
  <c r="A620" i="2"/>
  <c r="T620" i="2" s="1"/>
  <c r="A621" i="2"/>
  <c r="T621" i="2" s="1"/>
  <c r="A622" i="2"/>
  <c r="T622" i="2" s="1"/>
  <c r="A623" i="2"/>
  <c r="T623" i="2" s="1"/>
  <c r="A624" i="2"/>
  <c r="T624" i="2" s="1"/>
  <c r="A625" i="2"/>
  <c r="T625" i="2" s="1"/>
  <c r="A626" i="2"/>
  <c r="T626" i="2" s="1"/>
  <c r="A627" i="2"/>
  <c r="T627" i="2" s="1"/>
  <c r="A628" i="2"/>
  <c r="T628" i="2" s="1"/>
  <c r="A629" i="2"/>
  <c r="T629" i="2" s="1"/>
  <c r="A630" i="2"/>
  <c r="T630" i="2" s="1"/>
  <c r="A631" i="2"/>
  <c r="T631" i="2" s="1"/>
  <c r="A632" i="2"/>
  <c r="T632" i="2" s="1"/>
  <c r="A633" i="2"/>
  <c r="T633" i="2" s="1"/>
  <c r="A634" i="2"/>
  <c r="T634" i="2" s="1"/>
  <c r="A635" i="2"/>
  <c r="T635" i="2" s="1"/>
  <c r="A636" i="2"/>
  <c r="T636" i="2" s="1"/>
  <c r="A637" i="2"/>
  <c r="T637" i="2" s="1"/>
  <c r="A638" i="2"/>
  <c r="T638" i="2" s="1"/>
  <c r="A639" i="2"/>
  <c r="T639" i="2" s="1"/>
  <c r="A640" i="2"/>
  <c r="T640" i="2" s="1"/>
  <c r="A641" i="2"/>
  <c r="T641" i="2" s="1"/>
  <c r="A642" i="2"/>
  <c r="T642" i="2" s="1"/>
  <c r="A643" i="2"/>
  <c r="T643" i="2" s="1"/>
  <c r="A644" i="2"/>
  <c r="T644" i="2" s="1"/>
  <c r="A645" i="2"/>
  <c r="T645" i="2" s="1"/>
  <c r="A646" i="2"/>
  <c r="T646" i="2" s="1"/>
  <c r="A647" i="2"/>
  <c r="T647" i="2" s="1"/>
  <c r="A648" i="2"/>
  <c r="T648" i="2" s="1"/>
  <c r="A649" i="2"/>
  <c r="T649" i="2" s="1"/>
  <c r="A650" i="2"/>
  <c r="T650" i="2" s="1"/>
  <c r="A651" i="2"/>
  <c r="T651" i="2" s="1"/>
  <c r="A652" i="2"/>
  <c r="T652" i="2" s="1"/>
  <c r="A653" i="2"/>
  <c r="T653" i="2" s="1"/>
  <c r="A654" i="2"/>
  <c r="T654" i="2" s="1"/>
  <c r="A655" i="2"/>
  <c r="T655" i="2" s="1"/>
  <c r="A656" i="2"/>
  <c r="T656" i="2" s="1"/>
  <c r="A657" i="2"/>
  <c r="T657" i="2" s="1"/>
  <c r="A658" i="2"/>
  <c r="T658" i="2" s="1"/>
  <c r="A659" i="2"/>
  <c r="T659" i="2" s="1"/>
  <c r="A660" i="2"/>
  <c r="T660" i="2" s="1"/>
  <c r="A661" i="2"/>
  <c r="T661" i="2" s="1"/>
  <c r="A662" i="2"/>
  <c r="T662" i="2" s="1"/>
  <c r="A663" i="2"/>
  <c r="T663" i="2" s="1"/>
  <c r="A664" i="2"/>
  <c r="T664" i="2" s="1"/>
  <c r="A665" i="2"/>
  <c r="T665" i="2" s="1"/>
  <c r="A666" i="2"/>
  <c r="T666" i="2" s="1"/>
  <c r="A667" i="2"/>
  <c r="T667" i="2" s="1"/>
  <c r="A668" i="2"/>
  <c r="T668" i="2" s="1"/>
  <c r="A669" i="2"/>
  <c r="T669" i="2" s="1"/>
  <c r="A670" i="2"/>
  <c r="T670" i="2" s="1"/>
  <c r="A671" i="2"/>
  <c r="T671" i="2" s="1"/>
  <c r="A672" i="2"/>
  <c r="T672" i="2" s="1"/>
  <c r="A673" i="2"/>
  <c r="T673" i="2" s="1"/>
  <c r="A674" i="2"/>
  <c r="T674" i="2" s="1"/>
  <c r="A675" i="2"/>
  <c r="T675" i="2" s="1"/>
  <c r="A676" i="2"/>
  <c r="T676" i="2" s="1"/>
  <c r="A677" i="2"/>
  <c r="T677" i="2" s="1"/>
  <c r="A678" i="2"/>
  <c r="T678" i="2" s="1"/>
  <c r="A679" i="2"/>
  <c r="T679" i="2" s="1"/>
  <c r="A680" i="2"/>
  <c r="T680" i="2" s="1"/>
  <c r="A681" i="2"/>
  <c r="T681" i="2" s="1"/>
  <c r="A682" i="2"/>
  <c r="T682" i="2" s="1"/>
  <c r="A683" i="2"/>
  <c r="T683" i="2" s="1"/>
  <c r="A684" i="2"/>
  <c r="T684" i="2" s="1"/>
  <c r="A685" i="2"/>
  <c r="T685" i="2" s="1"/>
  <c r="A686" i="2"/>
  <c r="T686" i="2" s="1"/>
  <c r="A687" i="2"/>
  <c r="T687" i="2" s="1"/>
  <c r="A688" i="2"/>
  <c r="T688" i="2" s="1"/>
  <c r="A689" i="2"/>
  <c r="T689" i="2" s="1"/>
  <c r="A690" i="2"/>
  <c r="T690" i="2" s="1"/>
  <c r="A691" i="2"/>
  <c r="T691" i="2" s="1"/>
  <c r="A692" i="2"/>
  <c r="T692" i="2" s="1"/>
  <c r="A693" i="2"/>
  <c r="T693" i="2" s="1"/>
  <c r="A694" i="2"/>
  <c r="T694" i="2" s="1"/>
  <c r="A695" i="2"/>
  <c r="T695" i="2" s="1"/>
  <c r="A696" i="2"/>
  <c r="T696" i="2" s="1"/>
  <c r="A697" i="2"/>
  <c r="T697" i="2" s="1"/>
  <c r="A698" i="2"/>
  <c r="T698" i="2" s="1"/>
  <c r="A699" i="2"/>
  <c r="T699" i="2" s="1"/>
  <c r="A700" i="2"/>
  <c r="T700" i="2" s="1"/>
  <c r="A701" i="2"/>
  <c r="T701" i="2" s="1"/>
  <c r="A702" i="2"/>
  <c r="T702" i="2" s="1"/>
  <c r="A703" i="2"/>
  <c r="T703" i="2" s="1"/>
  <c r="A704" i="2"/>
  <c r="T704" i="2" s="1"/>
  <c r="A705" i="2"/>
  <c r="T705" i="2" s="1"/>
  <c r="A706" i="2"/>
  <c r="T706" i="2" s="1"/>
  <c r="A707" i="2"/>
  <c r="T707" i="2" s="1"/>
  <c r="A708" i="2"/>
  <c r="T708" i="2" s="1"/>
  <c r="A709" i="2"/>
  <c r="T709" i="2" s="1"/>
  <c r="A710" i="2"/>
  <c r="T710" i="2" s="1"/>
  <c r="A711" i="2"/>
  <c r="T711" i="2" s="1"/>
  <c r="A712" i="2"/>
  <c r="T712" i="2" s="1"/>
  <c r="A713" i="2"/>
  <c r="T713" i="2" s="1"/>
  <c r="A714" i="2"/>
  <c r="T714" i="2" s="1"/>
  <c r="A715" i="2"/>
  <c r="T715" i="2" s="1"/>
  <c r="A716" i="2"/>
  <c r="T716" i="2" s="1"/>
  <c r="A717" i="2"/>
  <c r="T717" i="2" s="1"/>
  <c r="A718" i="2"/>
  <c r="T718" i="2" s="1"/>
  <c r="A719" i="2"/>
  <c r="T719" i="2" s="1"/>
  <c r="A720" i="2"/>
  <c r="T720" i="2" s="1"/>
  <c r="A721" i="2"/>
  <c r="T721" i="2" s="1"/>
  <c r="A722" i="2"/>
  <c r="T722" i="2" s="1"/>
  <c r="A723" i="2"/>
  <c r="T723" i="2" s="1"/>
  <c r="A724" i="2"/>
  <c r="T724" i="2" s="1"/>
  <c r="A725" i="2"/>
  <c r="T725" i="2" s="1"/>
  <c r="A726" i="2"/>
  <c r="T726" i="2" s="1"/>
  <c r="A727" i="2"/>
  <c r="T727" i="2" s="1"/>
  <c r="A728" i="2"/>
  <c r="T728" i="2" s="1"/>
  <c r="A729" i="2"/>
  <c r="T729" i="2" s="1"/>
  <c r="A730" i="2"/>
  <c r="T730" i="2" s="1"/>
  <c r="A731" i="2"/>
  <c r="T731" i="2" s="1"/>
  <c r="A732" i="2"/>
  <c r="T732" i="2" s="1"/>
  <c r="A733" i="2"/>
  <c r="T733" i="2" s="1"/>
  <c r="A734" i="2"/>
  <c r="T734" i="2" s="1"/>
  <c r="A735" i="2"/>
  <c r="T735" i="2" s="1"/>
  <c r="A736" i="2"/>
  <c r="T736" i="2" s="1"/>
  <c r="A737" i="2"/>
  <c r="T737" i="2" s="1"/>
  <c r="A738" i="2"/>
  <c r="T738" i="2" s="1"/>
  <c r="A739" i="2"/>
  <c r="T739" i="2" s="1"/>
  <c r="A740" i="2"/>
  <c r="T740" i="2" s="1"/>
  <c r="A741" i="2"/>
  <c r="T741" i="2" s="1"/>
  <c r="A742" i="2"/>
  <c r="T742" i="2" s="1"/>
  <c r="A743" i="2"/>
  <c r="T743" i="2" s="1"/>
  <c r="A744" i="2"/>
  <c r="T744" i="2" s="1"/>
  <c r="A745" i="2"/>
  <c r="T745" i="2" s="1"/>
  <c r="A746" i="2"/>
  <c r="T746" i="2" s="1"/>
  <c r="A747" i="2"/>
  <c r="T747" i="2" s="1"/>
  <c r="A748" i="2"/>
  <c r="T748" i="2" s="1"/>
  <c r="A749" i="2"/>
  <c r="T749" i="2" s="1"/>
  <c r="A750" i="2"/>
  <c r="T750" i="2" s="1"/>
  <c r="A751" i="2"/>
  <c r="T751" i="2" s="1"/>
  <c r="A752" i="2"/>
  <c r="T752" i="2" s="1"/>
  <c r="A753" i="2"/>
  <c r="T753" i="2" s="1"/>
  <c r="A754" i="2"/>
  <c r="T754" i="2" s="1"/>
  <c r="A755" i="2"/>
  <c r="T755" i="2" s="1"/>
  <c r="A756" i="2"/>
  <c r="T756" i="2" s="1"/>
  <c r="A757" i="2"/>
  <c r="T757" i="2" s="1"/>
  <c r="A758" i="2"/>
  <c r="T758" i="2" s="1"/>
  <c r="A759" i="2"/>
  <c r="T759" i="2" s="1"/>
  <c r="A760" i="2"/>
  <c r="T760" i="2" s="1"/>
  <c r="A761" i="2"/>
  <c r="T761" i="2" s="1"/>
  <c r="A762" i="2"/>
  <c r="T762" i="2" s="1"/>
  <c r="A763" i="2"/>
  <c r="T763" i="2" s="1"/>
  <c r="A764" i="2"/>
  <c r="T764" i="2" s="1"/>
  <c r="A765" i="2"/>
  <c r="T765" i="2" s="1"/>
  <c r="A766" i="2"/>
  <c r="T766" i="2" s="1"/>
  <c r="A767" i="2"/>
  <c r="T767" i="2" s="1"/>
  <c r="A768" i="2"/>
  <c r="T768" i="2" s="1"/>
  <c r="A769" i="2"/>
  <c r="T769" i="2" s="1"/>
  <c r="A770" i="2"/>
  <c r="T770" i="2" s="1"/>
  <c r="A771" i="2"/>
  <c r="T771" i="2" s="1"/>
  <c r="A772" i="2"/>
  <c r="T772" i="2" s="1"/>
  <c r="A773" i="2"/>
  <c r="T773" i="2" s="1"/>
  <c r="A774" i="2"/>
  <c r="T774" i="2" s="1"/>
  <c r="A775" i="2"/>
  <c r="T775" i="2" s="1"/>
  <c r="A776" i="2"/>
  <c r="T776" i="2" s="1"/>
  <c r="A777" i="2"/>
  <c r="T777" i="2" s="1"/>
  <c r="A778" i="2"/>
  <c r="T778" i="2" s="1"/>
  <c r="A779" i="2"/>
  <c r="T779" i="2" s="1"/>
  <c r="A780" i="2"/>
  <c r="T780" i="2" s="1"/>
  <c r="A781" i="2"/>
  <c r="T781" i="2" s="1"/>
  <c r="A782" i="2"/>
  <c r="T782" i="2" s="1"/>
  <c r="A783" i="2"/>
  <c r="T783" i="2" s="1"/>
  <c r="A784" i="2"/>
  <c r="T784" i="2" s="1"/>
  <c r="A785" i="2"/>
  <c r="T785" i="2" s="1"/>
  <c r="A786" i="2"/>
  <c r="T786" i="2" s="1"/>
  <c r="A787" i="2"/>
  <c r="T787" i="2" s="1"/>
  <c r="A788" i="2"/>
  <c r="T788" i="2" s="1"/>
  <c r="A789" i="2"/>
  <c r="T789" i="2" s="1"/>
  <c r="A790" i="2"/>
  <c r="T790" i="2" s="1"/>
  <c r="A791" i="2"/>
  <c r="T791" i="2" s="1"/>
  <c r="A792" i="2"/>
  <c r="T792" i="2" s="1"/>
  <c r="A793" i="2"/>
  <c r="T793" i="2" s="1"/>
  <c r="A794" i="2"/>
  <c r="T794" i="2" s="1"/>
  <c r="A795" i="2"/>
  <c r="T795" i="2" s="1"/>
  <c r="A796" i="2"/>
  <c r="T796" i="2" s="1"/>
  <c r="A797" i="2"/>
  <c r="T797" i="2" s="1"/>
  <c r="A798" i="2"/>
  <c r="T798" i="2" s="1"/>
  <c r="A799" i="2"/>
  <c r="T799" i="2" s="1"/>
  <c r="A800" i="2"/>
  <c r="T800" i="2" s="1"/>
  <c r="A801" i="2"/>
  <c r="T801" i="2" s="1"/>
  <c r="A802" i="2"/>
  <c r="T802" i="2" s="1"/>
  <c r="A803" i="2"/>
  <c r="T803" i="2" s="1"/>
  <c r="A804" i="2"/>
  <c r="T804" i="2" s="1"/>
  <c r="A805" i="2"/>
  <c r="T805" i="2" s="1"/>
  <c r="A806" i="2"/>
  <c r="T806" i="2" s="1"/>
  <c r="A807" i="2"/>
  <c r="T807" i="2" s="1"/>
  <c r="A808" i="2"/>
  <c r="T808" i="2" s="1"/>
  <c r="A809" i="2"/>
  <c r="T809" i="2" s="1"/>
  <c r="A810" i="2"/>
  <c r="T810" i="2" s="1"/>
  <c r="A811" i="2"/>
  <c r="T811" i="2" s="1"/>
  <c r="A812" i="2"/>
  <c r="T812" i="2" s="1"/>
  <c r="A813" i="2"/>
  <c r="T813" i="2" s="1"/>
  <c r="A814" i="2"/>
  <c r="T814" i="2" s="1"/>
  <c r="A815" i="2"/>
  <c r="T815" i="2" s="1"/>
  <c r="A816" i="2"/>
  <c r="T816" i="2" s="1"/>
  <c r="A817" i="2"/>
  <c r="T817" i="2" s="1"/>
  <c r="A818" i="2"/>
  <c r="T818" i="2" s="1"/>
  <c r="A819" i="2"/>
  <c r="T819" i="2" s="1"/>
  <c r="A820" i="2"/>
  <c r="T820" i="2" s="1"/>
  <c r="A821" i="2"/>
  <c r="T821" i="2" s="1"/>
  <c r="A822" i="2"/>
  <c r="T822" i="2" s="1"/>
  <c r="A823" i="2"/>
  <c r="T823" i="2" s="1"/>
  <c r="A824" i="2"/>
  <c r="T824" i="2" s="1"/>
  <c r="A825" i="2"/>
  <c r="T825" i="2" s="1"/>
  <c r="A826" i="2"/>
  <c r="T826" i="2" s="1"/>
  <c r="A827" i="2"/>
  <c r="T827" i="2" s="1"/>
  <c r="A828" i="2"/>
  <c r="T828" i="2" s="1"/>
  <c r="A829" i="2"/>
  <c r="T829" i="2" s="1"/>
  <c r="A830" i="2"/>
  <c r="T830" i="2" s="1"/>
  <c r="A831" i="2"/>
  <c r="T831" i="2" s="1"/>
  <c r="A832" i="2"/>
  <c r="T832" i="2" s="1"/>
  <c r="A833" i="2"/>
  <c r="T833" i="2" s="1"/>
  <c r="A834" i="2"/>
  <c r="T834" i="2" s="1"/>
  <c r="A835" i="2"/>
  <c r="T835" i="2" s="1"/>
  <c r="A836" i="2"/>
  <c r="T836" i="2" s="1"/>
  <c r="A837" i="2"/>
  <c r="T837" i="2" s="1"/>
  <c r="A838" i="2"/>
  <c r="T838" i="2" s="1"/>
  <c r="A839" i="2"/>
  <c r="T839" i="2" s="1"/>
  <c r="A840" i="2"/>
  <c r="T840" i="2" s="1"/>
  <c r="A841" i="2"/>
  <c r="T841" i="2" s="1"/>
  <c r="A842" i="2"/>
  <c r="T842" i="2" s="1"/>
  <c r="A843" i="2"/>
  <c r="T843" i="2" s="1"/>
  <c r="A844" i="2"/>
  <c r="T844" i="2" s="1"/>
  <c r="A845" i="2"/>
  <c r="T845" i="2" s="1"/>
  <c r="A846" i="2"/>
  <c r="T846" i="2" s="1"/>
  <c r="A847" i="2"/>
  <c r="T847" i="2" s="1"/>
  <c r="A848" i="2"/>
  <c r="T848" i="2" s="1"/>
  <c r="A849" i="2"/>
  <c r="T849" i="2" s="1"/>
  <c r="A850" i="2"/>
  <c r="T850" i="2" s="1"/>
  <c r="A851" i="2"/>
  <c r="T851" i="2" s="1"/>
  <c r="A852" i="2"/>
  <c r="T852" i="2" s="1"/>
  <c r="A853" i="2"/>
  <c r="T853" i="2" s="1"/>
  <c r="A854" i="2"/>
  <c r="T854" i="2" s="1"/>
  <c r="A855" i="2"/>
  <c r="T855" i="2" s="1"/>
  <c r="A856" i="2"/>
  <c r="T856" i="2" s="1"/>
  <c r="A857" i="2"/>
  <c r="T857" i="2" s="1"/>
  <c r="A858" i="2"/>
  <c r="T858" i="2" s="1"/>
  <c r="A859" i="2"/>
  <c r="T859" i="2" s="1"/>
  <c r="A860" i="2"/>
  <c r="T860" i="2" s="1"/>
  <c r="A861" i="2"/>
  <c r="T861" i="2" s="1"/>
  <c r="A862" i="2"/>
  <c r="T862" i="2" s="1"/>
  <c r="A863" i="2"/>
  <c r="T863" i="2" s="1"/>
  <c r="A864" i="2"/>
  <c r="T864" i="2" s="1"/>
  <c r="A865" i="2"/>
  <c r="T865" i="2" s="1"/>
  <c r="A866" i="2"/>
  <c r="T866" i="2" s="1"/>
  <c r="A867" i="2"/>
  <c r="T867" i="2" s="1"/>
  <c r="A868" i="2"/>
  <c r="T868" i="2" s="1"/>
  <c r="A869" i="2"/>
  <c r="T869" i="2" s="1"/>
  <c r="A870" i="2"/>
  <c r="T870" i="2" s="1"/>
  <c r="A871" i="2"/>
  <c r="T871" i="2" s="1"/>
  <c r="A872" i="2"/>
  <c r="T872" i="2" s="1"/>
  <c r="A873" i="2"/>
  <c r="T873" i="2" s="1"/>
  <c r="A874" i="2"/>
  <c r="T874" i="2" s="1"/>
  <c r="A875" i="2"/>
  <c r="T875" i="2" s="1"/>
  <c r="A876" i="2"/>
  <c r="T876" i="2" s="1"/>
  <c r="A877" i="2"/>
  <c r="T877" i="2" s="1"/>
  <c r="A878" i="2"/>
  <c r="T878" i="2" s="1"/>
  <c r="A879" i="2"/>
  <c r="T879" i="2" s="1"/>
  <c r="A880" i="2"/>
  <c r="T880" i="2" s="1"/>
  <c r="A881" i="2"/>
  <c r="T881" i="2" s="1"/>
  <c r="A882" i="2"/>
  <c r="T882" i="2" s="1"/>
  <c r="A883" i="2"/>
  <c r="T883" i="2" s="1"/>
  <c r="A884" i="2"/>
  <c r="T884" i="2" s="1"/>
  <c r="A885" i="2"/>
  <c r="T885" i="2" s="1"/>
  <c r="A886" i="2"/>
  <c r="T886" i="2" s="1"/>
  <c r="A887" i="2"/>
  <c r="T887" i="2" s="1"/>
  <c r="A888" i="2"/>
  <c r="T888" i="2" s="1"/>
  <c r="A889" i="2"/>
  <c r="T889" i="2" s="1"/>
  <c r="A890" i="2"/>
  <c r="T890" i="2" s="1"/>
  <c r="A891" i="2"/>
  <c r="T891" i="2" s="1"/>
  <c r="A892" i="2"/>
  <c r="T892" i="2" s="1"/>
  <c r="A893" i="2"/>
  <c r="T893" i="2" s="1"/>
  <c r="A894" i="2"/>
  <c r="T894" i="2" s="1"/>
  <c r="A895" i="2"/>
  <c r="T895" i="2" s="1"/>
  <c r="A896" i="2"/>
  <c r="T896" i="2" s="1"/>
  <c r="A897" i="2"/>
  <c r="T897" i="2" s="1"/>
  <c r="A898" i="2"/>
  <c r="T898" i="2" s="1"/>
  <c r="A899" i="2"/>
  <c r="T899" i="2" s="1"/>
  <c r="A900" i="2"/>
  <c r="T900" i="2" s="1"/>
  <c r="A901" i="2"/>
  <c r="T901" i="2" s="1"/>
  <c r="A902" i="2"/>
  <c r="T902" i="2" s="1"/>
  <c r="A903" i="2"/>
  <c r="T903" i="2" s="1"/>
  <c r="A904" i="2"/>
  <c r="T904" i="2" s="1"/>
  <c r="A905" i="2"/>
  <c r="T905" i="2" s="1"/>
  <c r="A906" i="2"/>
  <c r="T906" i="2" s="1"/>
  <c r="A907" i="2"/>
  <c r="T907" i="2" s="1"/>
  <c r="A908" i="2"/>
  <c r="T908" i="2" s="1"/>
  <c r="A909" i="2"/>
  <c r="T909" i="2" s="1"/>
  <c r="A910" i="2"/>
  <c r="T910" i="2" s="1"/>
  <c r="A911" i="2"/>
  <c r="T911" i="2" s="1"/>
  <c r="A912" i="2"/>
  <c r="T912" i="2" s="1"/>
  <c r="A913" i="2"/>
  <c r="T913" i="2" s="1"/>
  <c r="A914" i="2"/>
  <c r="T914" i="2" s="1"/>
  <c r="A915" i="2"/>
  <c r="T915" i="2" s="1"/>
  <c r="A916" i="2"/>
  <c r="T916" i="2" s="1"/>
  <c r="A917" i="2"/>
  <c r="T917" i="2" s="1"/>
  <c r="A918" i="2"/>
  <c r="T918" i="2" s="1"/>
  <c r="A919" i="2"/>
  <c r="T919" i="2" s="1"/>
  <c r="A920" i="2"/>
  <c r="T920" i="2" s="1"/>
  <c r="A921" i="2"/>
  <c r="T921" i="2" s="1"/>
  <c r="A922" i="2"/>
  <c r="T922" i="2" s="1"/>
  <c r="A923" i="2"/>
  <c r="T923" i="2" s="1"/>
  <c r="A924" i="2"/>
  <c r="T924" i="2" s="1"/>
  <c r="A925" i="2"/>
  <c r="T925" i="2" s="1"/>
  <c r="A926" i="2"/>
  <c r="T926" i="2" s="1"/>
  <c r="A927" i="2"/>
  <c r="T927" i="2" s="1"/>
  <c r="A928" i="2"/>
  <c r="T928" i="2" s="1"/>
  <c r="A929" i="2"/>
  <c r="T929" i="2" s="1"/>
  <c r="A930" i="2"/>
  <c r="T930" i="2" s="1"/>
  <c r="A931" i="2"/>
  <c r="T931" i="2" s="1"/>
  <c r="A932" i="2"/>
  <c r="T932" i="2" s="1"/>
  <c r="A933" i="2"/>
  <c r="T933" i="2" s="1"/>
  <c r="A934" i="2"/>
  <c r="T934" i="2" s="1"/>
  <c r="A935" i="2"/>
  <c r="T935" i="2" s="1"/>
  <c r="A936" i="2"/>
  <c r="T936" i="2" s="1"/>
  <c r="A937" i="2"/>
  <c r="T937" i="2" s="1"/>
  <c r="A938" i="2"/>
  <c r="T938" i="2" s="1"/>
  <c r="A939" i="2"/>
  <c r="T939" i="2" s="1"/>
  <c r="A940" i="2"/>
  <c r="T940" i="2" s="1"/>
  <c r="A941" i="2"/>
  <c r="T941" i="2" s="1"/>
  <c r="A942" i="2"/>
  <c r="T942" i="2" s="1"/>
  <c r="A943" i="2"/>
  <c r="T943" i="2" s="1"/>
  <c r="A944" i="2"/>
  <c r="T944" i="2" s="1"/>
  <c r="A945" i="2"/>
  <c r="T945" i="2" s="1"/>
  <c r="A946" i="2"/>
  <c r="T946" i="2" s="1"/>
  <c r="A947" i="2"/>
  <c r="T947" i="2" s="1"/>
  <c r="A948" i="2"/>
  <c r="T948" i="2" s="1"/>
  <c r="A949" i="2"/>
  <c r="T949" i="2" s="1"/>
  <c r="A950" i="2"/>
  <c r="T950" i="2" s="1"/>
  <c r="A951" i="2"/>
  <c r="T951" i="2" s="1"/>
  <c r="A952" i="2"/>
  <c r="T952" i="2" s="1"/>
  <c r="A953" i="2"/>
  <c r="T953" i="2" s="1"/>
  <c r="A954" i="2"/>
  <c r="T954" i="2" s="1"/>
  <c r="A955" i="2"/>
  <c r="T955" i="2" s="1"/>
  <c r="A956" i="2"/>
  <c r="T956" i="2" s="1"/>
  <c r="A957" i="2"/>
  <c r="T957" i="2" s="1"/>
  <c r="A958" i="2"/>
  <c r="T958" i="2" s="1"/>
  <c r="A959" i="2"/>
  <c r="T959" i="2" s="1"/>
  <c r="A960" i="2"/>
  <c r="T960" i="2" s="1"/>
  <c r="A961" i="2"/>
  <c r="T961" i="2" s="1"/>
  <c r="A962" i="2"/>
  <c r="T962" i="2" s="1"/>
  <c r="A963" i="2"/>
  <c r="T963" i="2" s="1"/>
  <c r="A964" i="2"/>
  <c r="T964" i="2" s="1"/>
  <c r="A965" i="2"/>
  <c r="T965" i="2" s="1"/>
  <c r="A966" i="2"/>
  <c r="T966" i="2" s="1"/>
  <c r="A967" i="2"/>
  <c r="T967" i="2" s="1"/>
  <c r="A968" i="2"/>
  <c r="T968" i="2" s="1"/>
  <c r="A969" i="2"/>
  <c r="T969" i="2" s="1"/>
  <c r="A970" i="2"/>
  <c r="T970" i="2" s="1"/>
  <c r="A971" i="2"/>
  <c r="T971" i="2" s="1"/>
  <c r="A972" i="2"/>
  <c r="T972" i="2" s="1"/>
  <c r="A973" i="2"/>
  <c r="T973" i="2" s="1"/>
  <c r="A974" i="2"/>
  <c r="T974" i="2" s="1"/>
  <c r="A975" i="2"/>
  <c r="T975" i="2" s="1"/>
  <c r="A976" i="2"/>
  <c r="T976" i="2" s="1"/>
  <c r="A977" i="2"/>
  <c r="T977" i="2" s="1"/>
  <c r="A978" i="2"/>
  <c r="T978" i="2" s="1"/>
  <c r="A979" i="2"/>
  <c r="T979" i="2" s="1"/>
  <c r="A980" i="2"/>
  <c r="T980" i="2" s="1"/>
  <c r="A981" i="2"/>
  <c r="T981" i="2" s="1"/>
  <c r="A982" i="2"/>
  <c r="T982" i="2" s="1"/>
  <c r="A983" i="2"/>
  <c r="T983" i="2" s="1"/>
  <c r="A984" i="2"/>
  <c r="T984" i="2" s="1"/>
  <c r="A985" i="2"/>
  <c r="T985" i="2" s="1"/>
  <c r="A986" i="2"/>
  <c r="T986" i="2" s="1"/>
  <c r="A987" i="2"/>
  <c r="T987" i="2" s="1"/>
  <c r="A988" i="2"/>
  <c r="T988" i="2" s="1"/>
  <c r="A989" i="2"/>
  <c r="T989" i="2" s="1"/>
  <c r="A990" i="2"/>
  <c r="T990" i="2" s="1"/>
  <c r="A991" i="2"/>
  <c r="T991" i="2" s="1"/>
  <c r="A992" i="2"/>
  <c r="T992" i="2" s="1"/>
  <c r="A993" i="2"/>
  <c r="T993" i="2" s="1"/>
  <c r="A994" i="2"/>
  <c r="T994" i="2" s="1"/>
  <c r="A995" i="2"/>
  <c r="T995" i="2" s="1"/>
  <c r="A996" i="2"/>
  <c r="T996" i="2" s="1"/>
  <c r="A997" i="2"/>
  <c r="T997" i="2" s="1"/>
  <c r="A998" i="2"/>
  <c r="T998" i="2" s="1"/>
  <c r="A999" i="2"/>
  <c r="T999" i="2" s="1"/>
  <c r="A1000" i="2"/>
  <c r="T1000" i="2" s="1"/>
  <c r="A1001" i="2"/>
  <c r="T1001" i="2" s="1"/>
  <c r="A1002" i="2"/>
  <c r="T1002" i="2" s="1"/>
  <c r="A1003" i="2"/>
  <c r="T1003" i="2" s="1"/>
  <c r="A1004" i="2"/>
  <c r="T1004" i="2" s="1"/>
  <c r="A1005" i="2"/>
  <c r="T1005" i="2" s="1"/>
  <c r="A1006" i="2"/>
  <c r="T1006" i="2" s="1"/>
  <c r="A1007" i="2"/>
  <c r="T1007" i="2" s="1"/>
  <c r="A1008" i="2"/>
  <c r="T1008" i="2" s="1"/>
  <c r="A1009" i="2"/>
  <c r="T1009" i="2" s="1"/>
  <c r="A1010" i="2"/>
  <c r="T1010" i="2" s="1"/>
  <c r="A1011" i="2"/>
  <c r="T1011" i="2" s="1"/>
  <c r="A1012" i="2"/>
  <c r="T1012" i="2" s="1"/>
  <c r="A1013" i="2"/>
  <c r="T1013" i="2" s="1"/>
  <c r="A1014" i="2"/>
  <c r="T1014" i="2" s="1"/>
  <c r="A1015" i="2"/>
  <c r="T1015" i="2" s="1"/>
  <c r="A1016" i="2"/>
  <c r="T1016" i="2" s="1"/>
  <c r="A1017" i="2"/>
  <c r="T1017" i="2" s="1"/>
  <c r="A1018" i="2"/>
  <c r="T1018" i="2" s="1"/>
  <c r="A1019" i="2"/>
  <c r="T1019" i="2" s="1"/>
  <c r="A1020" i="2"/>
  <c r="T1020" i="2" s="1"/>
  <c r="A1021" i="2"/>
  <c r="T1021" i="2" s="1"/>
  <c r="A1022" i="2"/>
  <c r="T1022" i="2" s="1"/>
  <c r="A1023" i="2"/>
  <c r="T1023" i="2" s="1"/>
  <c r="A1024" i="2"/>
  <c r="T1024" i="2" s="1"/>
  <c r="A1025" i="2"/>
  <c r="T1025" i="2" s="1"/>
  <c r="A1026" i="2"/>
  <c r="T1026" i="2" s="1"/>
  <c r="A1027" i="2"/>
  <c r="T1027" i="2" s="1"/>
  <c r="A1028" i="2"/>
  <c r="T1028" i="2" s="1"/>
  <c r="A1029" i="2"/>
  <c r="T1029" i="2" s="1"/>
  <c r="A1030" i="2"/>
  <c r="T1030" i="2" s="1"/>
  <c r="A1031" i="2"/>
  <c r="T1031" i="2" s="1"/>
  <c r="A1032" i="2"/>
  <c r="T1032" i="2" s="1"/>
  <c r="A1033" i="2"/>
  <c r="T1033" i="2" s="1"/>
  <c r="A1034" i="2"/>
  <c r="T1034" i="2" s="1"/>
  <c r="A1035" i="2"/>
  <c r="T1035" i="2" s="1"/>
  <c r="A1036" i="2"/>
  <c r="T1036" i="2" s="1"/>
  <c r="A1037" i="2"/>
  <c r="T1037" i="2" s="1"/>
  <c r="A1038" i="2"/>
  <c r="T1038" i="2" s="1"/>
  <c r="A1039" i="2"/>
  <c r="T1039" i="2" s="1"/>
  <c r="A1040" i="2"/>
  <c r="T1040" i="2" s="1"/>
  <c r="A1041" i="2"/>
  <c r="T1041" i="2" s="1"/>
  <c r="A1042" i="2"/>
  <c r="T1042" i="2" s="1"/>
  <c r="A1043" i="2"/>
  <c r="T1043" i="2" s="1"/>
  <c r="A1044" i="2"/>
  <c r="T1044" i="2" s="1"/>
  <c r="A1045" i="2"/>
  <c r="T1045" i="2" s="1"/>
  <c r="A1046" i="2"/>
  <c r="T1046" i="2" s="1"/>
  <c r="A1047" i="2"/>
  <c r="T1047" i="2" s="1"/>
  <c r="A1048" i="2"/>
  <c r="T1048" i="2" s="1"/>
  <c r="A1049" i="2"/>
  <c r="T1049" i="2" s="1"/>
  <c r="A1050" i="2"/>
  <c r="T1050" i="2" s="1"/>
  <c r="A1051" i="2"/>
  <c r="T1051" i="2" s="1"/>
  <c r="A1052" i="2"/>
  <c r="T1052" i="2" s="1"/>
  <c r="A1053" i="2"/>
  <c r="T1053" i="2" s="1"/>
  <c r="A1054" i="2"/>
  <c r="T1054" i="2" s="1"/>
  <c r="A1055" i="2"/>
  <c r="T1055" i="2" s="1"/>
  <c r="A1056" i="2"/>
  <c r="T1056" i="2" s="1"/>
  <c r="A1057" i="2"/>
  <c r="T1057" i="2" s="1"/>
  <c r="A1058" i="2"/>
  <c r="T1058" i="2" s="1"/>
  <c r="A1059" i="2"/>
  <c r="T1059" i="2" s="1"/>
  <c r="A1060" i="2"/>
  <c r="T1060" i="2" s="1"/>
  <c r="A1061" i="2"/>
  <c r="T1061" i="2" s="1"/>
  <c r="A1062" i="2"/>
  <c r="T1062" i="2" s="1"/>
  <c r="A1063" i="2"/>
  <c r="T1063" i="2" s="1"/>
  <c r="A1064" i="2"/>
  <c r="T1064" i="2" s="1"/>
  <c r="A1065" i="2"/>
  <c r="T1065" i="2" s="1"/>
  <c r="A1066" i="2"/>
  <c r="T1066" i="2" s="1"/>
  <c r="A1067" i="2"/>
  <c r="T1067" i="2" s="1"/>
  <c r="A1068" i="2"/>
  <c r="T1068" i="2" s="1"/>
  <c r="A1069" i="2"/>
  <c r="T1069" i="2" s="1"/>
  <c r="A1070" i="2"/>
  <c r="T1070" i="2" s="1"/>
  <c r="A1071" i="2"/>
  <c r="T1071" i="2" s="1"/>
  <c r="A1072" i="2"/>
  <c r="T1072" i="2" s="1"/>
  <c r="A1073" i="2"/>
  <c r="T1073" i="2" s="1"/>
  <c r="A1074" i="2"/>
  <c r="T1074" i="2" s="1"/>
  <c r="A1075" i="2"/>
  <c r="T1075" i="2" s="1"/>
  <c r="A1076" i="2"/>
  <c r="T1076" i="2" s="1"/>
  <c r="A1077" i="2"/>
  <c r="T1077" i="2" s="1"/>
  <c r="A1078" i="2"/>
  <c r="T1078" i="2" s="1"/>
  <c r="A1079" i="2"/>
  <c r="T1079" i="2" s="1"/>
  <c r="A1080" i="2"/>
  <c r="T1080" i="2" s="1"/>
  <c r="A1081" i="2"/>
  <c r="T1081" i="2" s="1"/>
  <c r="A1082" i="2"/>
  <c r="T1082" i="2" s="1"/>
  <c r="A1083" i="2"/>
  <c r="T1083" i="2" s="1"/>
  <c r="A1084" i="2"/>
  <c r="T1084" i="2" s="1"/>
  <c r="A1085" i="2"/>
  <c r="T1085" i="2" s="1"/>
  <c r="A1086" i="2"/>
  <c r="T1086" i="2" s="1"/>
  <c r="A1087" i="2"/>
  <c r="T1087" i="2" s="1"/>
  <c r="A1088" i="2"/>
  <c r="T1088" i="2" s="1"/>
  <c r="A1089" i="2"/>
  <c r="T1089" i="2" s="1"/>
  <c r="A1090" i="2"/>
  <c r="T1090" i="2" s="1"/>
  <c r="A1091" i="2"/>
  <c r="T1091" i="2" s="1"/>
  <c r="A1092" i="2"/>
  <c r="T1092" i="2" s="1"/>
  <c r="A1093" i="2"/>
  <c r="T1093" i="2" s="1"/>
  <c r="A1094" i="2"/>
  <c r="T1094" i="2" s="1"/>
  <c r="A1095" i="2"/>
  <c r="T1095" i="2" s="1"/>
  <c r="A1096" i="2"/>
  <c r="T1096" i="2" s="1"/>
  <c r="A1097" i="2"/>
  <c r="T1097" i="2" s="1"/>
  <c r="A1098" i="2"/>
  <c r="T1098" i="2" s="1"/>
  <c r="A1099" i="2"/>
  <c r="T1099" i="2" s="1"/>
  <c r="A1100" i="2"/>
  <c r="T1100" i="2" s="1"/>
  <c r="A1101" i="2"/>
  <c r="T1101" i="2" s="1"/>
  <c r="A1102" i="2"/>
  <c r="T1102" i="2" s="1"/>
  <c r="A1103" i="2"/>
  <c r="T1103" i="2" s="1"/>
  <c r="A1104" i="2"/>
  <c r="T1104" i="2" s="1"/>
  <c r="A1105" i="2"/>
  <c r="T1105" i="2" s="1"/>
  <c r="A1106" i="2"/>
  <c r="T1106" i="2" s="1"/>
  <c r="A1107" i="2"/>
  <c r="T1107" i="2" s="1"/>
  <c r="A1108" i="2"/>
  <c r="T1108" i="2" s="1"/>
  <c r="A1109" i="2"/>
  <c r="T1109" i="2" s="1"/>
  <c r="A1110" i="2"/>
  <c r="T1110" i="2" s="1"/>
  <c r="A1111" i="2"/>
  <c r="T1111" i="2" s="1"/>
  <c r="A1112" i="2"/>
  <c r="T1112" i="2" s="1"/>
  <c r="A1113" i="2"/>
  <c r="T1113" i="2" s="1"/>
  <c r="A1114" i="2"/>
  <c r="T1114" i="2" s="1"/>
  <c r="A1115" i="2"/>
  <c r="T1115" i="2" s="1"/>
  <c r="A1116" i="2"/>
  <c r="T1116" i="2" s="1"/>
  <c r="A1117" i="2"/>
  <c r="T1117" i="2" s="1"/>
  <c r="A1118" i="2"/>
  <c r="T1118" i="2" s="1"/>
  <c r="A1119" i="2"/>
  <c r="T1119" i="2" s="1"/>
  <c r="A1120" i="2"/>
  <c r="T1120" i="2" s="1"/>
  <c r="A1121" i="2"/>
  <c r="T1121" i="2" s="1"/>
  <c r="A1122" i="2"/>
  <c r="T1122" i="2" s="1"/>
  <c r="A1123" i="2"/>
  <c r="T1123" i="2" s="1"/>
  <c r="A1124" i="2"/>
  <c r="T1124" i="2" s="1"/>
  <c r="A1125" i="2"/>
  <c r="T1125" i="2" s="1"/>
  <c r="A1126" i="2"/>
  <c r="T1126" i="2" s="1"/>
  <c r="A1127" i="2"/>
  <c r="T1127" i="2" s="1"/>
  <c r="A1128" i="2"/>
  <c r="T1128" i="2" s="1"/>
  <c r="A1129" i="2"/>
  <c r="T1129" i="2" s="1"/>
  <c r="A1130" i="2"/>
  <c r="T1130" i="2" s="1"/>
  <c r="A1131" i="2"/>
  <c r="T1131" i="2" s="1"/>
  <c r="A1132" i="2"/>
  <c r="T1132" i="2" s="1"/>
  <c r="A1133" i="2"/>
  <c r="T1133" i="2" s="1"/>
  <c r="A1134" i="2"/>
  <c r="T1134" i="2" s="1"/>
  <c r="A1135" i="2"/>
  <c r="T1135" i="2" s="1"/>
  <c r="A1136" i="2"/>
  <c r="T1136" i="2" s="1"/>
  <c r="A1137" i="2"/>
  <c r="T1137" i="2" s="1"/>
  <c r="A1138" i="2"/>
  <c r="T1138" i="2" s="1"/>
  <c r="A1139" i="2"/>
  <c r="T1139" i="2" s="1"/>
  <c r="A1140" i="2"/>
  <c r="T1140" i="2" s="1"/>
  <c r="A1141" i="2"/>
  <c r="T1141" i="2" s="1"/>
  <c r="A1142" i="2"/>
  <c r="T1142" i="2" s="1"/>
  <c r="A1143" i="2"/>
  <c r="T1143" i="2" s="1"/>
  <c r="A1144" i="2"/>
  <c r="T1144" i="2" s="1"/>
  <c r="A1145" i="2"/>
  <c r="T1145" i="2" s="1"/>
  <c r="A1146" i="2"/>
  <c r="T1146" i="2" s="1"/>
  <c r="A1147" i="2"/>
  <c r="T1147" i="2" s="1"/>
  <c r="A1148" i="2"/>
  <c r="T1148" i="2" s="1"/>
  <c r="A1149" i="2"/>
  <c r="T1149" i="2" s="1"/>
  <c r="A1150" i="2"/>
  <c r="T1150" i="2" s="1"/>
  <c r="A1151" i="2"/>
  <c r="T1151" i="2" s="1"/>
  <c r="A1152" i="2"/>
  <c r="T1152" i="2" s="1"/>
  <c r="A1153" i="2"/>
  <c r="T1153" i="2" s="1"/>
  <c r="A1154" i="2"/>
  <c r="T1154" i="2" s="1"/>
  <c r="A1155" i="2"/>
  <c r="T1155" i="2" s="1"/>
  <c r="A1156" i="2"/>
  <c r="T1156" i="2" s="1"/>
  <c r="A1157" i="2"/>
  <c r="T1157" i="2" s="1"/>
  <c r="A1158" i="2"/>
  <c r="T1158" i="2" s="1"/>
  <c r="A1159" i="2"/>
  <c r="T1159" i="2" s="1"/>
  <c r="A1160" i="2"/>
  <c r="T1160" i="2" s="1"/>
  <c r="A1161" i="2"/>
  <c r="T1161" i="2" s="1"/>
  <c r="A1162" i="2"/>
  <c r="T1162" i="2" s="1"/>
  <c r="A1163" i="2"/>
  <c r="T1163" i="2" s="1"/>
  <c r="A1164" i="2"/>
  <c r="T1164" i="2" s="1"/>
  <c r="A1165" i="2"/>
  <c r="T1165" i="2" s="1"/>
  <c r="A1166" i="2"/>
  <c r="T1166" i="2" s="1"/>
  <c r="A1167" i="2"/>
  <c r="T1167" i="2" s="1"/>
  <c r="A1168" i="2"/>
  <c r="T1168" i="2" s="1"/>
  <c r="A1169" i="2"/>
  <c r="T1169" i="2" s="1"/>
  <c r="A1170" i="2"/>
  <c r="T1170" i="2" s="1"/>
  <c r="A1171" i="2"/>
  <c r="T1171" i="2" s="1"/>
  <c r="A1172" i="2"/>
  <c r="T1172" i="2" s="1"/>
  <c r="A1173" i="2"/>
  <c r="T1173" i="2" s="1"/>
  <c r="A1174" i="2"/>
  <c r="T1174" i="2" s="1"/>
  <c r="A1175" i="2"/>
  <c r="T1175" i="2" s="1"/>
  <c r="A1176" i="2"/>
  <c r="T1176" i="2" s="1"/>
  <c r="A1177" i="2"/>
  <c r="T1177" i="2" s="1"/>
  <c r="A1178" i="2"/>
  <c r="T1178" i="2" s="1"/>
  <c r="A1179" i="2"/>
  <c r="T1179" i="2" s="1"/>
  <c r="A1180" i="2"/>
  <c r="T1180" i="2" s="1"/>
  <c r="A1181" i="2"/>
  <c r="T1181" i="2" s="1"/>
  <c r="A1182" i="2"/>
  <c r="T1182" i="2" s="1"/>
  <c r="A1183" i="2"/>
  <c r="T1183" i="2" s="1"/>
  <c r="A1184" i="2"/>
  <c r="T1184" i="2" s="1"/>
  <c r="A1185" i="2"/>
  <c r="T1185" i="2" s="1"/>
  <c r="A1186" i="2"/>
  <c r="T1186" i="2" s="1"/>
  <c r="A1187" i="2"/>
  <c r="T1187" i="2" s="1"/>
  <c r="A1188" i="2"/>
  <c r="T1188" i="2" s="1"/>
  <c r="A1189" i="2"/>
  <c r="T1189" i="2" s="1"/>
  <c r="A1190" i="2"/>
  <c r="T1190" i="2" s="1"/>
  <c r="A1191" i="2"/>
  <c r="T1191" i="2" s="1"/>
  <c r="A1192" i="2"/>
  <c r="T1192" i="2" s="1"/>
  <c r="A1193" i="2"/>
  <c r="T1193" i="2" s="1"/>
  <c r="A1194" i="2"/>
  <c r="T1194" i="2" s="1"/>
  <c r="A1195" i="2"/>
  <c r="T1195" i="2" s="1"/>
  <c r="A1196" i="2"/>
  <c r="T1196" i="2" s="1"/>
  <c r="A1197" i="2"/>
  <c r="T1197" i="2" s="1"/>
  <c r="A1198" i="2"/>
  <c r="T1198" i="2" s="1"/>
  <c r="A1199" i="2"/>
  <c r="T1199" i="2" s="1"/>
  <c r="A1200" i="2"/>
  <c r="T1200" i="2" s="1"/>
  <c r="A1201" i="2"/>
  <c r="T1201" i="2" s="1"/>
  <c r="A1202" i="2"/>
  <c r="T1202" i="2" s="1"/>
  <c r="A1203" i="2"/>
  <c r="T1203" i="2" s="1"/>
  <c r="A1204" i="2"/>
  <c r="T1204" i="2" s="1"/>
  <c r="A1205" i="2"/>
  <c r="T1205" i="2" s="1"/>
  <c r="A1206" i="2"/>
  <c r="T1206" i="2" s="1"/>
  <c r="A1207" i="2"/>
  <c r="T1207" i="2" s="1"/>
  <c r="A1208" i="2"/>
  <c r="T1208" i="2" s="1"/>
  <c r="A1209" i="2"/>
  <c r="T1209" i="2" s="1"/>
  <c r="A1210" i="2"/>
  <c r="T1210" i="2" s="1"/>
  <c r="A1211" i="2"/>
  <c r="T1211" i="2" s="1"/>
  <c r="A1212" i="2"/>
  <c r="T1212" i="2" s="1"/>
  <c r="A1213" i="2"/>
  <c r="T1213" i="2" s="1"/>
  <c r="A1214" i="2"/>
  <c r="T1214" i="2" s="1"/>
  <c r="A1215" i="2"/>
  <c r="T1215" i="2" s="1"/>
  <c r="A1216" i="2"/>
  <c r="T1216" i="2" s="1"/>
  <c r="A1217" i="2"/>
  <c r="T1217" i="2" s="1"/>
  <c r="A1218" i="2"/>
  <c r="T1218" i="2" s="1"/>
  <c r="A1219" i="2"/>
  <c r="T1219" i="2" s="1"/>
  <c r="A1220" i="2"/>
  <c r="T1220" i="2" s="1"/>
  <c r="A1221" i="2"/>
  <c r="T1221" i="2" s="1"/>
  <c r="A1222" i="2"/>
  <c r="T1222" i="2" s="1"/>
  <c r="A1223" i="2"/>
  <c r="T1223" i="2" s="1"/>
  <c r="A1224" i="2"/>
  <c r="T1224" i="2" s="1"/>
  <c r="A1225" i="2"/>
  <c r="T1225" i="2" s="1"/>
  <c r="A1226" i="2"/>
  <c r="T1226" i="2" s="1"/>
  <c r="A1227" i="2"/>
  <c r="T1227" i="2" s="1"/>
  <c r="A1228" i="2"/>
  <c r="T1228" i="2" s="1"/>
  <c r="A1229" i="2"/>
  <c r="T1229" i="2" s="1"/>
  <c r="A1230" i="2"/>
  <c r="T1230" i="2" s="1"/>
  <c r="A1231" i="2"/>
  <c r="T1231" i="2" s="1"/>
  <c r="A1232" i="2"/>
  <c r="T1232" i="2" s="1"/>
  <c r="A1233" i="2"/>
  <c r="T1233" i="2" s="1"/>
  <c r="A1234" i="2"/>
  <c r="T1234" i="2" s="1"/>
  <c r="A1235" i="2"/>
  <c r="T1235" i="2" s="1"/>
  <c r="A1236" i="2"/>
  <c r="T1236" i="2" s="1"/>
  <c r="A1237" i="2"/>
  <c r="T1237" i="2" s="1"/>
  <c r="A1238" i="2"/>
  <c r="T1238" i="2" s="1"/>
  <c r="A1239" i="2"/>
  <c r="T1239" i="2" s="1"/>
  <c r="A1240" i="2"/>
  <c r="T1240" i="2" s="1"/>
  <c r="A1241" i="2"/>
  <c r="T1241" i="2" s="1"/>
  <c r="A1242" i="2"/>
  <c r="T1242" i="2" s="1"/>
  <c r="A1243" i="2"/>
  <c r="T1243" i="2" s="1"/>
  <c r="A1244" i="2"/>
  <c r="T1244" i="2" s="1"/>
  <c r="A1245" i="2"/>
  <c r="T1245" i="2" s="1"/>
  <c r="A1246" i="2"/>
  <c r="T1246" i="2" s="1"/>
  <c r="A1247" i="2"/>
  <c r="T1247" i="2" s="1"/>
  <c r="A1248" i="2"/>
  <c r="T1248" i="2" s="1"/>
  <c r="A1249" i="2"/>
  <c r="T1249" i="2" s="1"/>
  <c r="A1250" i="2"/>
  <c r="T1250" i="2" s="1"/>
  <c r="A1251" i="2"/>
  <c r="T1251" i="2" s="1"/>
  <c r="A1252" i="2"/>
  <c r="T1252" i="2" s="1"/>
  <c r="A1253" i="2"/>
  <c r="T1253" i="2" s="1"/>
  <c r="A1254" i="2"/>
  <c r="T1254" i="2" s="1"/>
  <c r="A1255" i="2"/>
  <c r="T1255" i="2" s="1"/>
  <c r="A1256" i="2"/>
  <c r="T1256" i="2" s="1"/>
  <c r="A1257" i="2"/>
  <c r="T1257" i="2" s="1"/>
  <c r="A1258" i="2"/>
  <c r="T1258" i="2" s="1"/>
  <c r="A1259" i="2"/>
  <c r="T1259" i="2" s="1"/>
  <c r="A1260" i="2"/>
  <c r="T1260" i="2" s="1"/>
  <c r="A1261" i="2"/>
  <c r="T1261" i="2" s="1"/>
  <c r="A1262" i="2"/>
  <c r="T1262" i="2" s="1"/>
  <c r="A1263" i="2"/>
  <c r="T1263" i="2" s="1"/>
  <c r="A1264" i="2"/>
  <c r="T1264" i="2" s="1"/>
  <c r="A1265" i="2"/>
  <c r="T1265" i="2" s="1"/>
  <c r="A1266" i="2"/>
  <c r="T1266" i="2" s="1"/>
  <c r="A1267" i="2"/>
  <c r="T1267" i="2" s="1"/>
  <c r="A1268" i="2"/>
  <c r="T1268" i="2" s="1"/>
  <c r="A1269" i="2"/>
  <c r="T1269" i="2" s="1"/>
  <c r="A1270" i="2"/>
  <c r="T1270" i="2" s="1"/>
  <c r="A1271" i="2"/>
  <c r="T1271" i="2" s="1"/>
  <c r="A1272" i="2"/>
  <c r="T1272" i="2" s="1"/>
  <c r="A1273" i="2"/>
  <c r="T1273" i="2" s="1"/>
  <c r="A1274" i="2"/>
  <c r="T1274" i="2" s="1"/>
  <c r="A1275" i="2"/>
  <c r="T1275" i="2" s="1"/>
  <c r="A1276" i="2"/>
  <c r="T1276" i="2" s="1"/>
  <c r="A1277" i="2"/>
  <c r="T1277" i="2" s="1"/>
  <c r="A1278" i="2"/>
  <c r="T1278" i="2" s="1"/>
  <c r="A1279" i="2"/>
  <c r="T1279" i="2" s="1"/>
  <c r="A1280" i="2"/>
  <c r="T1280" i="2" s="1"/>
  <c r="A1281" i="2"/>
  <c r="T1281" i="2" s="1"/>
  <c r="A1282" i="2"/>
  <c r="T1282" i="2" s="1"/>
  <c r="A1283" i="2"/>
  <c r="T1283" i="2" s="1"/>
  <c r="A1284" i="2"/>
  <c r="T1284" i="2" s="1"/>
  <c r="A1285" i="2"/>
  <c r="T1285" i="2" s="1"/>
  <c r="A1286" i="2"/>
  <c r="T1286" i="2" s="1"/>
  <c r="A1287" i="2"/>
  <c r="T1287" i="2" s="1"/>
  <c r="A1288" i="2"/>
  <c r="T1288" i="2" s="1"/>
  <c r="A1289" i="2"/>
  <c r="T1289" i="2" s="1"/>
  <c r="A1290" i="2"/>
  <c r="T1290" i="2" s="1"/>
  <c r="A1291" i="2"/>
  <c r="T1291" i="2" s="1"/>
  <c r="A1292" i="2"/>
  <c r="T1292" i="2" s="1"/>
  <c r="A1293" i="2"/>
  <c r="T1293" i="2" s="1"/>
  <c r="A1294" i="2"/>
  <c r="T1294" i="2" s="1"/>
  <c r="A1295" i="2"/>
  <c r="T1295" i="2" s="1"/>
  <c r="A1296" i="2"/>
  <c r="T1296" i="2" s="1"/>
  <c r="A1297" i="2"/>
  <c r="T1297" i="2" s="1"/>
  <c r="A1298" i="2"/>
  <c r="T1298" i="2" s="1"/>
  <c r="A1299" i="2"/>
  <c r="T1299" i="2" s="1"/>
  <c r="A1300" i="2"/>
  <c r="T1300" i="2" s="1"/>
  <c r="A1301" i="2"/>
  <c r="T1301" i="2" s="1"/>
  <c r="A1302" i="2"/>
  <c r="T1302" i="2" s="1"/>
  <c r="A1303" i="2"/>
  <c r="T1303" i="2" s="1"/>
  <c r="A1304" i="2"/>
  <c r="T1304" i="2" s="1"/>
  <c r="A1305" i="2"/>
  <c r="T1305" i="2" s="1"/>
  <c r="A1306" i="2"/>
  <c r="T1306" i="2" s="1"/>
  <c r="A1307" i="2"/>
  <c r="T1307" i="2" s="1"/>
  <c r="A1308" i="2"/>
  <c r="T1308" i="2" s="1"/>
  <c r="A1309" i="2"/>
  <c r="T1309" i="2" s="1"/>
  <c r="A1310" i="2"/>
  <c r="T1310" i="2" s="1"/>
  <c r="A1311" i="2"/>
  <c r="T1311" i="2" s="1"/>
  <c r="A1312" i="2"/>
  <c r="T1312" i="2" s="1"/>
  <c r="A1313" i="2"/>
  <c r="T1313" i="2" s="1"/>
  <c r="A1314" i="2"/>
  <c r="T1314" i="2" s="1"/>
  <c r="A1315" i="2"/>
  <c r="T1315" i="2" s="1"/>
  <c r="A1316" i="2"/>
  <c r="T1316" i="2" s="1"/>
  <c r="A1317" i="2"/>
  <c r="T1317" i="2" s="1"/>
  <c r="A1318" i="2"/>
  <c r="T1318" i="2" s="1"/>
  <c r="A1319" i="2"/>
  <c r="T1319" i="2" s="1"/>
  <c r="A1320" i="2"/>
  <c r="T1320" i="2" s="1"/>
  <c r="A1321" i="2"/>
  <c r="T1321" i="2" s="1"/>
  <c r="A1322" i="2"/>
  <c r="T1322" i="2" s="1"/>
  <c r="A1323" i="2"/>
  <c r="T1323" i="2" s="1"/>
  <c r="A1324" i="2"/>
  <c r="T1324" i="2" s="1"/>
  <c r="A1325" i="2"/>
  <c r="T1325" i="2" s="1"/>
  <c r="A1326" i="2"/>
  <c r="T1326" i="2" s="1"/>
  <c r="A1327" i="2"/>
  <c r="T1327" i="2" s="1"/>
  <c r="A1328" i="2"/>
  <c r="T1328" i="2" s="1"/>
  <c r="A1329" i="2"/>
  <c r="T1329" i="2" s="1"/>
  <c r="A1330" i="2"/>
  <c r="T1330" i="2" s="1"/>
  <c r="A1331" i="2"/>
  <c r="T1331" i="2" s="1"/>
  <c r="A1332" i="2"/>
  <c r="T1332" i="2" s="1"/>
  <c r="A1333" i="2"/>
  <c r="T1333" i="2" s="1"/>
  <c r="A1334" i="2"/>
  <c r="T1334" i="2" s="1"/>
  <c r="A1335" i="2"/>
  <c r="T1335" i="2" s="1"/>
  <c r="A1336" i="2"/>
  <c r="T1336" i="2" s="1"/>
  <c r="A1337" i="2"/>
  <c r="T1337" i="2" s="1"/>
  <c r="A1338" i="2"/>
  <c r="T1338" i="2" s="1"/>
  <c r="A1339" i="2"/>
  <c r="T1339" i="2" s="1"/>
  <c r="A1340" i="2"/>
  <c r="T1340" i="2" s="1"/>
  <c r="A1341" i="2"/>
  <c r="T1341" i="2" s="1"/>
  <c r="A1342" i="2"/>
  <c r="T1342" i="2" s="1"/>
  <c r="A1343" i="2"/>
  <c r="T1343" i="2" s="1"/>
  <c r="A1344" i="2"/>
  <c r="T1344" i="2" s="1"/>
  <c r="A1345" i="2"/>
  <c r="T1345" i="2" s="1"/>
  <c r="A1346" i="2"/>
  <c r="T1346" i="2" s="1"/>
  <c r="A1347" i="2"/>
  <c r="T1347" i="2" s="1"/>
  <c r="A1348" i="2"/>
  <c r="T1348" i="2" s="1"/>
  <c r="A1349" i="2"/>
  <c r="T1349" i="2" s="1"/>
  <c r="A1350" i="2"/>
  <c r="T1350" i="2" s="1"/>
  <c r="A1351" i="2"/>
  <c r="T1351" i="2" s="1"/>
  <c r="A1352" i="2"/>
  <c r="T1352" i="2" s="1"/>
  <c r="A1353" i="2"/>
  <c r="T1353" i="2" s="1"/>
  <c r="A1354" i="2"/>
  <c r="T1354" i="2" s="1"/>
  <c r="A1355" i="2"/>
  <c r="T1355" i="2" s="1"/>
  <c r="A1356" i="2"/>
  <c r="T1356" i="2" s="1"/>
  <c r="A1357" i="2"/>
  <c r="T1357" i="2" s="1"/>
  <c r="A1358" i="2"/>
  <c r="T1358" i="2" s="1"/>
  <c r="A1359" i="2"/>
  <c r="T1359" i="2" s="1"/>
  <c r="A1360" i="2"/>
  <c r="T1360" i="2" s="1"/>
  <c r="A1361" i="2"/>
  <c r="T1361" i="2" s="1"/>
  <c r="A1362" i="2"/>
  <c r="T1362" i="2" s="1"/>
  <c r="A1363" i="2"/>
  <c r="T1363" i="2" s="1"/>
  <c r="A1364" i="2"/>
  <c r="T1364" i="2" s="1"/>
  <c r="A1365" i="2"/>
  <c r="T1365" i="2" s="1"/>
  <c r="A1366" i="2"/>
  <c r="T1366" i="2" s="1"/>
  <c r="A1367" i="2"/>
  <c r="T1367" i="2" s="1"/>
  <c r="A1368" i="2"/>
  <c r="T1368" i="2" s="1"/>
  <c r="A1369" i="2"/>
  <c r="T1369" i="2" s="1"/>
  <c r="A1370" i="2"/>
  <c r="T1370" i="2" s="1"/>
  <c r="A1371" i="2"/>
  <c r="T1371" i="2" s="1"/>
  <c r="A1372" i="2"/>
  <c r="T1372" i="2" s="1"/>
  <c r="A1373" i="2"/>
  <c r="T1373" i="2" s="1"/>
  <c r="A1374" i="2"/>
  <c r="T1374" i="2" s="1"/>
  <c r="A1375" i="2"/>
  <c r="T1375" i="2" s="1"/>
  <c r="A1376" i="2"/>
  <c r="T1376" i="2" s="1"/>
  <c r="A1377" i="2"/>
  <c r="T1377" i="2" s="1"/>
  <c r="A1378" i="2"/>
  <c r="T1378" i="2" s="1"/>
  <c r="A1379" i="2"/>
  <c r="T1379" i="2" s="1"/>
  <c r="A1380" i="2"/>
  <c r="T1380" i="2" s="1"/>
  <c r="A1381" i="2"/>
  <c r="T1381" i="2" s="1"/>
  <c r="A1382" i="2"/>
  <c r="T1382" i="2" s="1"/>
  <c r="A1383" i="2"/>
  <c r="T1383" i="2" s="1"/>
  <c r="A1384" i="2"/>
  <c r="T1384" i="2" s="1"/>
  <c r="A1385" i="2"/>
  <c r="T1385" i="2" s="1"/>
  <c r="A1386" i="2"/>
  <c r="T1386" i="2" s="1"/>
  <c r="A1387" i="2"/>
  <c r="T1387" i="2" s="1"/>
  <c r="A1388" i="2"/>
  <c r="T1388" i="2" s="1"/>
  <c r="A1389" i="2"/>
  <c r="T1389" i="2" s="1"/>
  <c r="A1390" i="2"/>
  <c r="T1390" i="2" s="1"/>
  <c r="A1391" i="2"/>
  <c r="T1391" i="2" s="1"/>
  <c r="A1392" i="2"/>
  <c r="T1392" i="2" s="1"/>
  <c r="A1393" i="2"/>
  <c r="T1393" i="2" s="1"/>
  <c r="A1394" i="2"/>
  <c r="T1394" i="2" s="1"/>
  <c r="A1395" i="2"/>
  <c r="T1395" i="2" s="1"/>
  <c r="A1396" i="2"/>
  <c r="T1396" i="2" s="1"/>
  <c r="A1397" i="2"/>
  <c r="T1397" i="2" s="1"/>
  <c r="A1398" i="2"/>
  <c r="T1398" i="2" s="1"/>
  <c r="A1399" i="2"/>
  <c r="T1399" i="2" s="1"/>
  <c r="A1400" i="2"/>
  <c r="T1400" i="2" s="1"/>
  <c r="A1401" i="2"/>
  <c r="T1401" i="2" s="1"/>
  <c r="A1402" i="2"/>
  <c r="T1402" i="2" s="1"/>
  <c r="A1403" i="2"/>
  <c r="T1403" i="2" s="1"/>
  <c r="A1404" i="2"/>
  <c r="T1404" i="2" s="1"/>
  <c r="A1405" i="2"/>
  <c r="T1405" i="2" s="1"/>
  <c r="A1406" i="2"/>
  <c r="T1406" i="2" s="1"/>
  <c r="A1407" i="2"/>
  <c r="T1407" i="2" s="1"/>
  <c r="A1408" i="2"/>
  <c r="T1408" i="2" s="1"/>
  <c r="A1409" i="2"/>
  <c r="T1409" i="2" s="1"/>
  <c r="A1410" i="2"/>
  <c r="T1410" i="2" s="1"/>
  <c r="A1411" i="2"/>
  <c r="T1411" i="2" s="1"/>
  <c r="A1412" i="2"/>
  <c r="T1412" i="2" s="1"/>
  <c r="A1413" i="2"/>
  <c r="T1413" i="2" s="1"/>
  <c r="A1414" i="2"/>
  <c r="T1414" i="2" s="1"/>
  <c r="A1415" i="2"/>
  <c r="T1415" i="2" s="1"/>
  <c r="A1416" i="2"/>
  <c r="T1416" i="2" s="1"/>
  <c r="A1417" i="2"/>
  <c r="T1417" i="2" s="1"/>
  <c r="A1418" i="2"/>
  <c r="T1418" i="2" s="1"/>
  <c r="A1419" i="2"/>
  <c r="T1419" i="2" s="1"/>
  <c r="A1420" i="2"/>
  <c r="T1420" i="2" s="1"/>
  <c r="A1421" i="2"/>
  <c r="T1421" i="2" s="1"/>
  <c r="A1422" i="2"/>
  <c r="T1422" i="2" s="1"/>
  <c r="A1423" i="2"/>
  <c r="T1423" i="2" s="1"/>
  <c r="A1424" i="2"/>
  <c r="T1424" i="2" s="1"/>
  <c r="A1425" i="2"/>
  <c r="T1425" i="2" s="1"/>
  <c r="A1426" i="2"/>
  <c r="T1426" i="2" s="1"/>
  <c r="A1427" i="2"/>
  <c r="T1427" i="2" s="1"/>
  <c r="A1428" i="2"/>
  <c r="T1428" i="2" s="1"/>
  <c r="A1429" i="2"/>
  <c r="T1429" i="2" s="1"/>
  <c r="A1430" i="2"/>
  <c r="T1430" i="2" s="1"/>
  <c r="A1431" i="2"/>
  <c r="T1431" i="2" s="1"/>
  <c r="A1432" i="2"/>
  <c r="T1432" i="2" s="1"/>
  <c r="A1433" i="2"/>
  <c r="T1433" i="2" s="1"/>
  <c r="A1434" i="2"/>
  <c r="T1434" i="2" s="1"/>
  <c r="A1435" i="2"/>
  <c r="T1435" i="2" s="1"/>
  <c r="A1436" i="2"/>
  <c r="T1436" i="2" s="1"/>
  <c r="A1437" i="2"/>
  <c r="T1437" i="2" s="1"/>
  <c r="A1438" i="2"/>
  <c r="T1438" i="2" s="1"/>
  <c r="A1439" i="2"/>
  <c r="T1439" i="2" s="1"/>
  <c r="A1440" i="2"/>
  <c r="T1440" i="2" s="1"/>
  <c r="A1441" i="2"/>
  <c r="T1441" i="2" s="1"/>
  <c r="A1442" i="2"/>
  <c r="T1442" i="2" s="1"/>
  <c r="A1443" i="2"/>
  <c r="T1443" i="2" s="1"/>
  <c r="A1444" i="2"/>
  <c r="T1444" i="2" s="1"/>
  <c r="A1445" i="2"/>
  <c r="T1445" i="2" s="1"/>
  <c r="A1446" i="2"/>
  <c r="T1446" i="2" s="1"/>
  <c r="A1447" i="2"/>
  <c r="T1447" i="2" s="1"/>
  <c r="A1448" i="2"/>
  <c r="T1448" i="2" s="1"/>
  <c r="A1449" i="2"/>
  <c r="T1449" i="2" s="1"/>
  <c r="A1450" i="2"/>
  <c r="T1450" i="2" s="1"/>
  <c r="A1451" i="2"/>
  <c r="T1451" i="2" s="1"/>
  <c r="A1452" i="2"/>
  <c r="T1452" i="2" s="1"/>
  <c r="A1453" i="2"/>
  <c r="T1453" i="2" s="1"/>
  <c r="A1454" i="2"/>
  <c r="T1454" i="2" s="1"/>
  <c r="A1455" i="2"/>
  <c r="T1455" i="2" s="1"/>
  <c r="A1456" i="2"/>
  <c r="T1456" i="2" s="1"/>
  <c r="A1457" i="2"/>
  <c r="T1457" i="2" s="1"/>
  <c r="A1458" i="2"/>
  <c r="T1458" i="2" s="1"/>
  <c r="A1459" i="2"/>
  <c r="T1459" i="2" s="1"/>
  <c r="A1460" i="2"/>
  <c r="T1460" i="2" s="1"/>
  <c r="A1461" i="2"/>
  <c r="T1461" i="2" s="1"/>
  <c r="A1462" i="2"/>
  <c r="T1462" i="2" s="1"/>
  <c r="A1463" i="2"/>
  <c r="T1463" i="2" s="1"/>
  <c r="A1464" i="2"/>
  <c r="T1464" i="2" s="1"/>
  <c r="A1465" i="2"/>
  <c r="T1465" i="2" s="1"/>
  <c r="A1466" i="2"/>
  <c r="T1466" i="2" s="1"/>
  <c r="A1467" i="2"/>
  <c r="T1467" i="2" s="1"/>
  <c r="A1468" i="2"/>
  <c r="T1468" i="2" s="1"/>
  <c r="A1469" i="2"/>
  <c r="T1469" i="2" s="1"/>
  <c r="A1470" i="2"/>
  <c r="T1470" i="2" s="1"/>
  <c r="A1471" i="2"/>
  <c r="T1471" i="2" s="1"/>
  <c r="A1472" i="2"/>
  <c r="T1472" i="2" s="1"/>
  <c r="A1473" i="2"/>
  <c r="T1473" i="2" s="1"/>
  <c r="A1474" i="2"/>
  <c r="T1474" i="2" s="1"/>
  <c r="A1475" i="2"/>
  <c r="T1475" i="2" s="1"/>
  <c r="A1476" i="2"/>
  <c r="T1476" i="2" s="1"/>
  <c r="A1477" i="2"/>
  <c r="T1477" i="2" s="1"/>
  <c r="A1478" i="2"/>
  <c r="T1478" i="2" s="1"/>
  <c r="A1479" i="2"/>
  <c r="T1479" i="2" s="1"/>
  <c r="A1480" i="2"/>
  <c r="T1480" i="2" s="1"/>
  <c r="A1481" i="2"/>
  <c r="T1481" i="2" s="1"/>
  <c r="A1482" i="2"/>
  <c r="T1482" i="2" s="1"/>
  <c r="A1483" i="2"/>
  <c r="T1483" i="2" s="1"/>
  <c r="A1484" i="2"/>
  <c r="T1484" i="2" s="1"/>
  <c r="A1485" i="2"/>
  <c r="T1485" i="2" s="1"/>
  <c r="A1486" i="2"/>
  <c r="T1486" i="2" s="1"/>
  <c r="A1487" i="2"/>
  <c r="T1487" i="2" s="1"/>
  <c r="A1488" i="2"/>
  <c r="T1488" i="2" s="1"/>
  <c r="A1489" i="2"/>
  <c r="T1489" i="2" s="1"/>
  <c r="A1490" i="2"/>
  <c r="T1490" i="2" s="1"/>
  <c r="A1491" i="2"/>
  <c r="T1491" i="2" s="1"/>
  <c r="A1492" i="2"/>
  <c r="T1492" i="2" s="1"/>
  <c r="A1493" i="2"/>
  <c r="T1493" i="2" s="1"/>
  <c r="A1494" i="2"/>
  <c r="T1494" i="2" s="1"/>
  <c r="A1495" i="2"/>
  <c r="T1495" i="2" s="1"/>
  <c r="A1496" i="2"/>
  <c r="T1496" i="2" s="1"/>
  <c r="A1497" i="2"/>
  <c r="T1497" i="2" s="1"/>
  <c r="A1498" i="2"/>
  <c r="T1498" i="2" s="1"/>
  <c r="A1499" i="2"/>
  <c r="T1499" i="2" s="1"/>
  <c r="A1500" i="2"/>
  <c r="T1500" i="2" s="1"/>
  <c r="A1501" i="2"/>
  <c r="T1501" i="2" s="1"/>
  <c r="A1502" i="2"/>
  <c r="T1502" i="2" s="1"/>
  <c r="A1503" i="2"/>
  <c r="T1503" i="2" s="1"/>
  <c r="A1504" i="2"/>
  <c r="T1504" i="2" s="1"/>
  <c r="A1505" i="2"/>
  <c r="T1505" i="2" s="1"/>
  <c r="A1506" i="2"/>
  <c r="T1506" i="2" s="1"/>
  <c r="A1507" i="2"/>
  <c r="T1507" i="2" s="1"/>
  <c r="A1508" i="2"/>
  <c r="T1508" i="2" s="1"/>
  <c r="A1509" i="2"/>
  <c r="T1509" i="2" s="1"/>
  <c r="A1510" i="2"/>
  <c r="T1510" i="2" s="1"/>
  <c r="A1511" i="2"/>
  <c r="T1511" i="2" s="1"/>
  <c r="A1512" i="2"/>
  <c r="T1512" i="2" s="1"/>
  <c r="A1513" i="2"/>
  <c r="T1513" i="2" s="1"/>
  <c r="A1514" i="2"/>
  <c r="T1514" i="2" s="1"/>
  <c r="A1515" i="2"/>
  <c r="T1515" i="2" s="1"/>
  <c r="A1516" i="2"/>
  <c r="T1516" i="2" s="1"/>
  <c r="A1517" i="2"/>
  <c r="T1517" i="2" s="1"/>
  <c r="A1518" i="2"/>
  <c r="T1518" i="2" s="1"/>
  <c r="A1519" i="2"/>
  <c r="T1519" i="2" s="1"/>
  <c r="A1520" i="2"/>
  <c r="T1520" i="2" s="1"/>
  <c r="A1521" i="2"/>
  <c r="T1521" i="2" s="1"/>
  <c r="A1522" i="2"/>
  <c r="T1522" i="2" s="1"/>
  <c r="A1523" i="2"/>
  <c r="T1523" i="2" s="1"/>
  <c r="A1524" i="2"/>
  <c r="T1524" i="2" s="1"/>
  <c r="A1525" i="2"/>
  <c r="T1525" i="2" s="1"/>
  <c r="A1526" i="2"/>
  <c r="T1526" i="2" s="1"/>
  <c r="A1527" i="2"/>
  <c r="T1527" i="2" s="1"/>
  <c r="A1528" i="2"/>
  <c r="T1528" i="2" s="1"/>
  <c r="A1529" i="2"/>
  <c r="T1529" i="2" s="1"/>
  <c r="A1530" i="2"/>
  <c r="T1530" i="2" s="1"/>
  <c r="A1531" i="2"/>
  <c r="T1531" i="2" s="1"/>
  <c r="A1532" i="2"/>
  <c r="T1532" i="2" s="1"/>
  <c r="A1533" i="2"/>
  <c r="T1533" i="2" s="1"/>
  <c r="A1534" i="2"/>
  <c r="T1534" i="2" s="1"/>
  <c r="A1535" i="2"/>
  <c r="T1535" i="2" s="1"/>
  <c r="A1536" i="2"/>
  <c r="T1536" i="2" s="1"/>
  <c r="A1537" i="2"/>
  <c r="T1537" i="2" s="1"/>
  <c r="A1538" i="2"/>
  <c r="T1538" i="2" s="1"/>
  <c r="A1539" i="2"/>
  <c r="T1539" i="2" s="1"/>
  <c r="A1540" i="2"/>
  <c r="T1540" i="2" s="1"/>
  <c r="A1541" i="2"/>
  <c r="T1541" i="2" s="1"/>
  <c r="A1542" i="2"/>
  <c r="T1542" i="2" s="1"/>
  <c r="A1543" i="2"/>
  <c r="T1543" i="2" s="1"/>
  <c r="A1544" i="2"/>
  <c r="T1544" i="2" s="1"/>
  <c r="A1545" i="2"/>
  <c r="T1545" i="2" s="1"/>
  <c r="A1546" i="2"/>
  <c r="T1546" i="2" s="1"/>
  <c r="A1547" i="2"/>
  <c r="T1547" i="2" s="1"/>
  <c r="A1548" i="2"/>
  <c r="T1548" i="2" s="1"/>
  <c r="A1549" i="2"/>
  <c r="T1549" i="2" s="1"/>
  <c r="A1550" i="2"/>
  <c r="T1550" i="2" s="1"/>
  <c r="A1551" i="2"/>
  <c r="T1551" i="2" s="1"/>
  <c r="A1552" i="2"/>
  <c r="T1552" i="2" s="1"/>
  <c r="A1553" i="2"/>
  <c r="T1553" i="2" s="1"/>
  <c r="A1554" i="2"/>
  <c r="T1554" i="2" s="1"/>
  <c r="A1555" i="2"/>
  <c r="T1555" i="2" s="1"/>
  <c r="A1556" i="2"/>
  <c r="T1556" i="2" s="1"/>
  <c r="A1557" i="2"/>
  <c r="T1557" i="2" s="1"/>
  <c r="A1558" i="2"/>
  <c r="T1558" i="2" s="1"/>
  <c r="A1559" i="2"/>
  <c r="T1559" i="2" s="1"/>
  <c r="A1560" i="2"/>
  <c r="T1560" i="2" s="1"/>
  <c r="A1561" i="2"/>
  <c r="T1561" i="2" s="1"/>
  <c r="A1562" i="2"/>
  <c r="T1562" i="2" s="1"/>
  <c r="A1563" i="2"/>
  <c r="T1563" i="2" s="1"/>
  <c r="A1564" i="2"/>
  <c r="T1564" i="2" s="1"/>
  <c r="A1565" i="2"/>
  <c r="T1565" i="2" s="1"/>
  <c r="A1566" i="2"/>
  <c r="T1566" i="2" s="1"/>
  <c r="A1567" i="2"/>
  <c r="T1567" i="2" s="1"/>
  <c r="A1568" i="2"/>
  <c r="T1568" i="2" s="1"/>
  <c r="A1569" i="2"/>
  <c r="T1569" i="2" s="1"/>
  <c r="A1570" i="2"/>
  <c r="T1570" i="2" s="1"/>
  <c r="A1571" i="2"/>
  <c r="T1571" i="2" s="1"/>
  <c r="A1572" i="2"/>
  <c r="T1572" i="2" s="1"/>
  <c r="A1573" i="2"/>
  <c r="T1573" i="2" s="1"/>
  <c r="A1574" i="2"/>
  <c r="T1574" i="2" s="1"/>
  <c r="A1575" i="2"/>
  <c r="T1575" i="2" s="1"/>
  <c r="A1576" i="2"/>
  <c r="T1576" i="2" s="1"/>
  <c r="A1577" i="2"/>
  <c r="T1577" i="2" s="1"/>
  <c r="A1578" i="2"/>
  <c r="T1578" i="2" s="1"/>
  <c r="A1579" i="2"/>
  <c r="T1579" i="2" s="1"/>
  <c r="A1580" i="2"/>
  <c r="T1580" i="2" s="1"/>
  <c r="A1581" i="2"/>
  <c r="T1581" i="2" s="1"/>
  <c r="A1582" i="2"/>
  <c r="T1582" i="2" s="1"/>
  <c r="A1583" i="2"/>
  <c r="T1583" i="2" s="1"/>
  <c r="A1584" i="2"/>
  <c r="T1584" i="2" s="1"/>
  <c r="A1585" i="2"/>
  <c r="T1585" i="2" s="1"/>
  <c r="A1586" i="2"/>
  <c r="T1586" i="2" s="1"/>
  <c r="A1587" i="2"/>
  <c r="T1587" i="2" s="1"/>
  <c r="A1588" i="2"/>
  <c r="T1588" i="2" s="1"/>
  <c r="A1589" i="2"/>
  <c r="T1589" i="2" s="1"/>
  <c r="A1590" i="2"/>
  <c r="T1590" i="2" s="1"/>
  <c r="A1591" i="2"/>
  <c r="T1591" i="2" s="1"/>
  <c r="A1592" i="2"/>
  <c r="T1592" i="2" s="1"/>
  <c r="A1593" i="2"/>
  <c r="T1593" i="2" s="1"/>
  <c r="A1594" i="2"/>
  <c r="T1594" i="2" s="1"/>
  <c r="A1595" i="2"/>
  <c r="T1595" i="2" s="1"/>
  <c r="A1596" i="2"/>
  <c r="T1596" i="2" s="1"/>
  <c r="A1597" i="2"/>
  <c r="T1597" i="2" s="1"/>
  <c r="A1598" i="2"/>
  <c r="T1598" i="2" s="1"/>
  <c r="A1599" i="2"/>
  <c r="T1599" i="2" s="1"/>
  <c r="A1600" i="2"/>
  <c r="T1600" i="2" s="1"/>
  <c r="A1601" i="2"/>
  <c r="T1601" i="2" s="1"/>
  <c r="A1602" i="2"/>
  <c r="T1602" i="2" s="1"/>
  <c r="A1603" i="2"/>
  <c r="T1603" i="2" s="1"/>
  <c r="A1604" i="2"/>
  <c r="T1604" i="2" s="1"/>
  <c r="A1605" i="2"/>
  <c r="T1605" i="2" s="1"/>
  <c r="A1606" i="2"/>
  <c r="T1606" i="2" s="1"/>
  <c r="A1607" i="2"/>
  <c r="T1607" i="2" s="1"/>
  <c r="A1608" i="2"/>
  <c r="T1608" i="2" s="1"/>
  <c r="A1609" i="2"/>
  <c r="T1609" i="2" s="1"/>
  <c r="A1610" i="2"/>
  <c r="T1610" i="2" s="1"/>
  <c r="A1611" i="2"/>
  <c r="T1611" i="2" s="1"/>
  <c r="A1612" i="2"/>
  <c r="T1612" i="2" s="1"/>
  <c r="A1613" i="2"/>
  <c r="T1613" i="2" s="1"/>
  <c r="A1614" i="2"/>
  <c r="T1614" i="2" s="1"/>
  <c r="A1615" i="2"/>
  <c r="T1615" i="2" s="1"/>
  <c r="A1616" i="2"/>
  <c r="T1616" i="2" s="1"/>
  <c r="A1617" i="2"/>
  <c r="T1617" i="2" s="1"/>
  <c r="A1618" i="2"/>
  <c r="T1618" i="2" s="1"/>
  <c r="A1619" i="2"/>
  <c r="T1619" i="2" s="1"/>
  <c r="A1620" i="2"/>
  <c r="T1620" i="2" s="1"/>
  <c r="A1621" i="2"/>
  <c r="T1621" i="2" s="1"/>
  <c r="A1622" i="2"/>
  <c r="T1622" i="2" s="1"/>
  <c r="A1623" i="2"/>
  <c r="T1623" i="2" s="1"/>
  <c r="A1624" i="2"/>
  <c r="T1624" i="2" s="1"/>
  <c r="A1625" i="2"/>
  <c r="T1625" i="2" s="1"/>
  <c r="A1626" i="2"/>
  <c r="T1626" i="2" s="1"/>
  <c r="A1627" i="2"/>
  <c r="T1627" i="2" s="1"/>
  <c r="A1628" i="2"/>
  <c r="T1628" i="2" s="1"/>
  <c r="A1629" i="2"/>
  <c r="T1629" i="2" s="1"/>
  <c r="A1630" i="2"/>
  <c r="T1630" i="2" s="1"/>
  <c r="A1631" i="2"/>
  <c r="T1631" i="2" s="1"/>
  <c r="A1632" i="2"/>
  <c r="T1632" i="2" s="1"/>
  <c r="A1633" i="2"/>
  <c r="T1633" i="2" s="1"/>
  <c r="A1634" i="2"/>
  <c r="T1634" i="2" s="1"/>
  <c r="A1635" i="2"/>
  <c r="T1635" i="2" s="1"/>
  <c r="A1636" i="2"/>
  <c r="T1636" i="2" s="1"/>
  <c r="A1637" i="2"/>
  <c r="T1637" i="2" s="1"/>
  <c r="A1638" i="2"/>
  <c r="T1638" i="2" s="1"/>
  <c r="A1639" i="2"/>
  <c r="T1639" i="2" s="1"/>
  <c r="A1640" i="2"/>
  <c r="T1640" i="2" s="1"/>
  <c r="A1641" i="2"/>
  <c r="T1641" i="2" s="1"/>
  <c r="A1642" i="2"/>
  <c r="T1642" i="2" s="1"/>
  <c r="A1643" i="2"/>
  <c r="T1643" i="2" s="1"/>
  <c r="A1644" i="2"/>
  <c r="T1644" i="2" s="1"/>
  <c r="A1645" i="2"/>
  <c r="T1645" i="2" s="1"/>
  <c r="A1646" i="2"/>
  <c r="T1646" i="2" s="1"/>
  <c r="A1647" i="2"/>
  <c r="T1647" i="2" s="1"/>
  <c r="A1648" i="2"/>
  <c r="T1648" i="2" s="1"/>
  <c r="A1649" i="2"/>
  <c r="T1649" i="2" s="1"/>
  <c r="A1650" i="2"/>
  <c r="T1650" i="2" s="1"/>
  <c r="A1651" i="2"/>
  <c r="T1651" i="2" s="1"/>
  <c r="A1652" i="2"/>
  <c r="T1652" i="2" s="1"/>
  <c r="A1653" i="2"/>
  <c r="T1653" i="2" s="1"/>
  <c r="A1654" i="2"/>
  <c r="T1654" i="2" s="1"/>
  <c r="A1655" i="2"/>
  <c r="T1655" i="2" s="1"/>
  <c r="A1656" i="2"/>
  <c r="T1656" i="2" s="1"/>
  <c r="A1657" i="2"/>
  <c r="T1657" i="2" s="1"/>
  <c r="A1658" i="2"/>
  <c r="T1658" i="2" s="1"/>
  <c r="A1659" i="2"/>
  <c r="T1659" i="2" s="1"/>
  <c r="A1660" i="2"/>
  <c r="T1660" i="2" s="1"/>
  <c r="A1661" i="2"/>
  <c r="T1661" i="2" s="1"/>
  <c r="A1662" i="2"/>
  <c r="T1662" i="2" s="1"/>
  <c r="A1663" i="2"/>
  <c r="T1663" i="2" s="1"/>
  <c r="A1664" i="2"/>
  <c r="T1664" i="2" s="1"/>
  <c r="A1665" i="2"/>
  <c r="T1665" i="2" s="1"/>
  <c r="A1666" i="2"/>
  <c r="T1666" i="2" s="1"/>
  <c r="A1667" i="2"/>
  <c r="T1667" i="2" s="1"/>
  <c r="A1668" i="2"/>
  <c r="T1668" i="2" s="1"/>
  <c r="A1669" i="2"/>
  <c r="T1669" i="2" s="1"/>
  <c r="A1670" i="2"/>
  <c r="T1670" i="2" s="1"/>
  <c r="A1671" i="2"/>
  <c r="T1671" i="2" s="1"/>
  <c r="A1672" i="2"/>
  <c r="T1672" i="2" s="1"/>
  <c r="A1673" i="2"/>
  <c r="T1673" i="2" s="1"/>
  <c r="A1674" i="2"/>
  <c r="T1674" i="2" s="1"/>
  <c r="A1675" i="2"/>
  <c r="T1675" i="2" s="1"/>
  <c r="A1676" i="2"/>
  <c r="T1676" i="2" s="1"/>
  <c r="A1677" i="2"/>
  <c r="T1677" i="2" s="1"/>
  <c r="A1678" i="2"/>
  <c r="T1678" i="2" s="1"/>
  <c r="A1679" i="2"/>
  <c r="T1679" i="2" s="1"/>
  <c r="A1680" i="2"/>
  <c r="T1680" i="2" s="1"/>
  <c r="A1681" i="2"/>
  <c r="T1681" i="2" s="1"/>
  <c r="A1682" i="2"/>
  <c r="T1682" i="2" s="1"/>
  <c r="A1683" i="2"/>
  <c r="T1683" i="2" s="1"/>
  <c r="A1684" i="2"/>
  <c r="T1684" i="2" s="1"/>
  <c r="A1685" i="2"/>
  <c r="T1685" i="2" s="1"/>
  <c r="A1686" i="2"/>
  <c r="T1686" i="2" s="1"/>
  <c r="A1687" i="2"/>
  <c r="T1687" i="2" s="1"/>
  <c r="A1688" i="2"/>
  <c r="T1688" i="2" s="1"/>
  <c r="A1689" i="2"/>
  <c r="T1689" i="2" s="1"/>
  <c r="A1690" i="2"/>
  <c r="T1690" i="2" s="1"/>
  <c r="A1691" i="2"/>
  <c r="T1691" i="2" s="1"/>
  <c r="A1692" i="2"/>
  <c r="T1692" i="2" s="1"/>
  <c r="A1693" i="2"/>
  <c r="T1693" i="2" s="1"/>
  <c r="A1694" i="2"/>
  <c r="T1694" i="2" s="1"/>
  <c r="A1695" i="2"/>
  <c r="T1695" i="2" s="1"/>
  <c r="A1696" i="2"/>
  <c r="T1696" i="2" s="1"/>
  <c r="A1697" i="2"/>
  <c r="T1697" i="2" s="1"/>
  <c r="A1698" i="2"/>
  <c r="T1698" i="2" s="1"/>
  <c r="A1699" i="2"/>
  <c r="T1699" i="2" s="1"/>
  <c r="A1700" i="2"/>
  <c r="T1700" i="2" s="1"/>
  <c r="A1701" i="2"/>
  <c r="T1701" i="2" s="1"/>
  <c r="A1702" i="2"/>
  <c r="T1702" i="2" s="1"/>
  <c r="A1703" i="2"/>
  <c r="T1703" i="2" s="1"/>
  <c r="A1704" i="2"/>
  <c r="T1704" i="2" s="1"/>
  <c r="A1705" i="2"/>
  <c r="T1705" i="2" s="1"/>
  <c r="A1706" i="2"/>
  <c r="T1706" i="2" s="1"/>
  <c r="A1707" i="2"/>
  <c r="T1707" i="2" s="1"/>
  <c r="A1708" i="2"/>
  <c r="T1708" i="2" s="1"/>
  <c r="A1709" i="2"/>
  <c r="T1709" i="2" s="1"/>
  <c r="A1710" i="2"/>
  <c r="T1710" i="2" s="1"/>
  <c r="A1711" i="2"/>
  <c r="T1711" i="2" s="1"/>
  <c r="A1712" i="2"/>
  <c r="T1712" i="2" s="1"/>
  <c r="A1713" i="2"/>
  <c r="T1713" i="2" s="1"/>
  <c r="A1714" i="2"/>
  <c r="T1714" i="2" s="1"/>
  <c r="A1715" i="2"/>
  <c r="T1715" i="2" s="1"/>
  <c r="A1716" i="2"/>
  <c r="T1716" i="2" s="1"/>
  <c r="A1717" i="2"/>
  <c r="T1717" i="2" s="1"/>
  <c r="A1718" i="2"/>
  <c r="T1718" i="2" s="1"/>
  <c r="A1719" i="2"/>
  <c r="T1719" i="2" s="1"/>
  <c r="A1720" i="2"/>
  <c r="T1720" i="2" s="1"/>
  <c r="A1721" i="2"/>
  <c r="T1721" i="2" s="1"/>
  <c r="A1722" i="2"/>
  <c r="T1722" i="2" s="1"/>
  <c r="A1723" i="2"/>
  <c r="T1723" i="2" s="1"/>
  <c r="A1724" i="2"/>
  <c r="T1724" i="2" s="1"/>
  <c r="A1725" i="2"/>
  <c r="T1725" i="2" s="1"/>
  <c r="A1726" i="2"/>
  <c r="T1726" i="2" s="1"/>
  <c r="A1727" i="2"/>
  <c r="T1727" i="2" s="1"/>
  <c r="A1728" i="2"/>
  <c r="T1728" i="2" s="1"/>
  <c r="A1729" i="2"/>
  <c r="T1729" i="2" s="1"/>
  <c r="A1730" i="2"/>
  <c r="T1730" i="2" s="1"/>
  <c r="A1731" i="2"/>
  <c r="T1731" i="2" s="1"/>
  <c r="A1732" i="2"/>
  <c r="T1732" i="2" s="1"/>
  <c r="A1733" i="2"/>
  <c r="T1733" i="2" s="1"/>
  <c r="A1734" i="2"/>
  <c r="T1734" i="2" s="1"/>
  <c r="A1735" i="2"/>
  <c r="T1735" i="2" s="1"/>
  <c r="A1736" i="2"/>
  <c r="T1736" i="2" s="1"/>
  <c r="A1737" i="2"/>
  <c r="T1737" i="2" s="1"/>
  <c r="A1738" i="2"/>
  <c r="T1738" i="2" s="1"/>
  <c r="A1739" i="2"/>
  <c r="T1739" i="2" s="1"/>
  <c r="A1740" i="2"/>
  <c r="T1740" i="2" s="1"/>
  <c r="A1741" i="2"/>
  <c r="T1741" i="2" s="1"/>
  <c r="A1742" i="2"/>
  <c r="T1742" i="2" s="1"/>
  <c r="A1743" i="2"/>
  <c r="T1743" i="2" s="1"/>
  <c r="A1744" i="2"/>
  <c r="T1744" i="2" s="1"/>
  <c r="A1745" i="2"/>
  <c r="T1745" i="2" s="1"/>
  <c r="A1746" i="2"/>
  <c r="T1746" i="2" s="1"/>
  <c r="A1747" i="2"/>
  <c r="T1747" i="2" s="1"/>
  <c r="A1748" i="2"/>
  <c r="T1748" i="2" s="1"/>
  <c r="A1749" i="2"/>
  <c r="T1749" i="2" s="1"/>
  <c r="A1750" i="2"/>
  <c r="T1750" i="2" s="1"/>
  <c r="A1751" i="2"/>
  <c r="T1751" i="2" s="1"/>
  <c r="A1752" i="2"/>
  <c r="T1752" i="2" s="1"/>
  <c r="A1753" i="2"/>
  <c r="T1753" i="2" s="1"/>
  <c r="A1754" i="2"/>
  <c r="T1754" i="2" s="1"/>
  <c r="A1755" i="2"/>
  <c r="T1755" i="2" s="1"/>
  <c r="A1756" i="2"/>
  <c r="T1756" i="2" s="1"/>
  <c r="A1757" i="2"/>
  <c r="T1757" i="2" s="1"/>
  <c r="A1758" i="2"/>
  <c r="T1758" i="2" s="1"/>
  <c r="A1759" i="2"/>
  <c r="T1759" i="2" s="1"/>
  <c r="A1760" i="2"/>
  <c r="T1760" i="2" s="1"/>
  <c r="A1761" i="2"/>
  <c r="T1761" i="2" s="1"/>
  <c r="A1762" i="2"/>
  <c r="T1762" i="2" s="1"/>
  <c r="A1763" i="2"/>
  <c r="T1763" i="2" s="1"/>
  <c r="A1764" i="2"/>
  <c r="T1764" i="2" s="1"/>
  <c r="A1765" i="2"/>
  <c r="T1765" i="2" s="1"/>
  <c r="A1766" i="2"/>
  <c r="T1766" i="2" s="1"/>
  <c r="A1767" i="2"/>
  <c r="T1767" i="2" s="1"/>
  <c r="A1768" i="2"/>
  <c r="T1768" i="2" s="1"/>
  <c r="A1769" i="2"/>
  <c r="T1769" i="2" s="1"/>
  <c r="A1770" i="2"/>
  <c r="T1770" i="2" s="1"/>
  <c r="A1771" i="2"/>
  <c r="T1771" i="2" s="1"/>
  <c r="A1772" i="2"/>
  <c r="T1772" i="2" s="1"/>
  <c r="A1773" i="2"/>
  <c r="T1773" i="2" s="1"/>
  <c r="A1774" i="2"/>
  <c r="T1774" i="2" s="1"/>
  <c r="A1775" i="2"/>
  <c r="T1775" i="2" s="1"/>
  <c r="A1776" i="2"/>
  <c r="T1776" i="2" s="1"/>
  <c r="A1777" i="2"/>
  <c r="T1777" i="2" s="1"/>
  <c r="A1778" i="2"/>
  <c r="T1778" i="2" s="1"/>
  <c r="A1779" i="2"/>
  <c r="T1779" i="2" s="1"/>
  <c r="A1780" i="2"/>
  <c r="T1780" i="2" s="1"/>
  <c r="A1781" i="2"/>
  <c r="T1781" i="2" s="1"/>
  <c r="A1782" i="2"/>
  <c r="T1782" i="2" s="1"/>
  <c r="A1783" i="2"/>
  <c r="T1783" i="2" s="1"/>
  <c r="A1784" i="2"/>
  <c r="T1784" i="2" s="1"/>
  <c r="A1785" i="2"/>
  <c r="T1785" i="2" s="1"/>
  <c r="A1786" i="2"/>
  <c r="T1786" i="2" s="1"/>
  <c r="A1787" i="2"/>
  <c r="T1787" i="2" s="1"/>
  <c r="A1788" i="2"/>
  <c r="T1788" i="2" s="1"/>
  <c r="A1789" i="2"/>
  <c r="T1789" i="2" s="1"/>
  <c r="A1790" i="2"/>
  <c r="T1790" i="2" s="1"/>
  <c r="A1791" i="2"/>
  <c r="T1791" i="2" s="1"/>
  <c r="A1792" i="2"/>
  <c r="T1792" i="2" s="1"/>
  <c r="A1793" i="2"/>
  <c r="T1793" i="2" s="1"/>
  <c r="A1794" i="2"/>
  <c r="T1794" i="2" s="1"/>
  <c r="A1795" i="2"/>
  <c r="T1795" i="2" s="1"/>
  <c r="A1796" i="2"/>
  <c r="T1796" i="2" s="1"/>
  <c r="A1797" i="2"/>
  <c r="T1797" i="2" s="1"/>
  <c r="A1798" i="2"/>
  <c r="T1798" i="2" s="1"/>
  <c r="A1799" i="2"/>
  <c r="T1799" i="2" s="1"/>
  <c r="A1800" i="2"/>
  <c r="T1800" i="2" s="1"/>
  <c r="A1801" i="2"/>
  <c r="T1801" i="2" s="1"/>
  <c r="A1802" i="2"/>
  <c r="T1802" i="2" s="1"/>
  <c r="A1803" i="2"/>
  <c r="T1803" i="2" s="1"/>
  <c r="A1804" i="2"/>
  <c r="T1804" i="2" s="1"/>
  <c r="A1805" i="2"/>
  <c r="T1805" i="2" s="1"/>
  <c r="A1806" i="2"/>
  <c r="T1806" i="2" s="1"/>
  <c r="A1807" i="2"/>
  <c r="T1807" i="2" s="1"/>
  <c r="A1808" i="2"/>
  <c r="T1808" i="2" s="1"/>
  <c r="A1809" i="2"/>
  <c r="T1809" i="2" s="1"/>
  <c r="A1810" i="2"/>
  <c r="T1810" i="2" s="1"/>
  <c r="A1811" i="2"/>
  <c r="T1811" i="2" s="1"/>
  <c r="A1812" i="2"/>
  <c r="T1812" i="2" s="1"/>
  <c r="A1813" i="2"/>
  <c r="T1813" i="2" s="1"/>
  <c r="A1814" i="2"/>
  <c r="T1814" i="2" s="1"/>
  <c r="A1815" i="2"/>
  <c r="T1815" i="2" s="1"/>
  <c r="A1816" i="2"/>
  <c r="T1816" i="2" s="1"/>
  <c r="A1817" i="2"/>
  <c r="T1817" i="2" s="1"/>
  <c r="A1818" i="2"/>
  <c r="T1818" i="2" s="1"/>
  <c r="A1819" i="2"/>
  <c r="T1819" i="2" s="1"/>
  <c r="A1820" i="2"/>
  <c r="T1820" i="2" s="1"/>
  <c r="A1821" i="2"/>
  <c r="T1821" i="2" s="1"/>
  <c r="A1822" i="2"/>
  <c r="T1822" i="2" s="1"/>
  <c r="A1823" i="2"/>
  <c r="T1823" i="2" s="1"/>
  <c r="A1824" i="2"/>
  <c r="T1824" i="2" s="1"/>
  <c r="A1825" i="2"/>
  <c r="T1825" i="2" s="1"/>
  <c r="A1826" i="2"/>
  <c r="T1826" i="2" s="1"/>
  <c r="A1827" i="2"/>
  <c r="T1827" i="2" s="1"/>
  <c r="A1828" i="2"/>
  <c r="T1828" i="2" s="1"/>
  <c r="A1829" i="2"/>
  <c r="T1829" i="2" s="1"/>
  <c r="A1830" i="2"/>
  <c r="T1830" i="2" s="1"/>
  <c r="A1831" i="2"/>
  <c r="T1831" i="2" s="1"/>
  <c r="A1832" i="2"/>
  <c r="T1832" i="2" s="1"/>
  <c r="A1833" i="2"/>
  <c r="T1833" i="2" s="1"/>
  <c r="A1834" i="2"/>
  <c r="T1834" i="2" s="1"/>
  <c r="A1835" i="2"/>
  <c r="T1835" i="2" s="1"/>
  <c r="A1836" i="2"/>
  <c r="T1836" i="2" s="1"/>
  <c r="A1837" i="2"/>
  <c r="T1837" i="2" s="1"/>
  <c r="A1838" i="2"/>
  <c r="T1838" i="2" s="1"/>
  <c r="A1839" i="2"/>
  <c r="T1839" i="2" s="1"/>
  <c r="A1840" i="2"/>
  <c r="T1840" i="2" s="1"/>
  <c r="A1841" i="2"/>
  <c r="T1841" i="2" s="1"/>
  <c r="A1842" i="2"/>
  <c r="T1842" i="2" s="1"/>
  <c r="A1843" i="2"/>
  <c r="T1843" i="2" s="1"/>
  <c r="A1844" i="2"/>
  <c r="T1844" i="2" s="1"/>
  <c r="A1845" i="2"/>
  <c r="T1845" i="2" s="1"/>
  <c r="A1846" i="2"/>
  <c r="T1846" i="2" s="1"/>
  <c r="A1847" i="2"/>
  <c r="T1847" i="2" s="1"/>
  <c r="A1848" i="2"/>
  <c r="T1848" i="2" s="1"/>
  <c r="A1849" i="2"/>
  <c r="T1849" i="2" s="1"/>
  <c r="A1850" i="2"/>
  <c r="T1850" i="2" s="1"/>
  <c r="A1851" i="2"/>
  <c r="T1851" i="2" s="1"/>
  <c r="A1852" i="2"/>
  <c r="T1852" i="2" s="1"/>
  <c r="A1853" i="2"/>
  <c r="T1853" i="2" s="1"/>
  <c r="A1854" i="2"/>
  <c r="T1854" i="2" s="1"/>
  <c r="A1855" i="2"/>
  <c r="T1855" i="2" s="1"/>
  <c r="A1856" i="2"/>
  <c r="T1856" i="2" s="1"/>
  <c r="A1857" i="2"/>
  <c r="T1857" i="2" s="1"/>
  <c r="A1858" i="2"/>
  <c r="T1858" i="2" s="1"/>
  <c r="A1859" i="2"/>
  <c r="T1859" i="2" s="1"/>
  <c r="A1860" i="2"/>
  <c r="T1860" i="2" s="1"/>
  <c r="A1861" i="2"/>
  <c r="T1861" i="2" s="1"/>
  <c r="A1862" i="2"/>
  <c r="T1862" i="2" s="1"/>
  <c r="A1863" i="2"/>
  <c r="T1863" i="2" s="1"/>
  <c r="A1864" i="2"/>
  <c r="T1864" i="2" s="1"/>
  <c r="A1865" i="2"/>
  <c r="T1865" i="2" s="1"/>
  <c r="A1866" i="2"/>
  <c r="T1866" i="2" s="1"/>
  <c r="A1867" i="2"/>
  <c r="T1867" i="2" s="1"/>
  <c r="A1868" i="2"/>
  <c r="T1868" i="2" s="1"/>
  <c r="A1869" i="2"/>
  <c r="T1869" i="2" s="1"/>
  <c r="A1870" i="2"/>
  <c r="T1870" i="2" s="1"/>
  <c r="A1871" i="2"/>
  <c r="T1871" i="2" s="1"/>
  <c r="A1872" i="2"/>
  <c r="T1872" i="2" s="1"/>
  <c r="A1873" i="2"/>
  <c r="T1873" i="2" s="1"/>
  <c r="A1874" i="2"/>
  <c r="T1874" i="2" s="1"/>
  <c r="A1875" i="2"/>
  <c r="T1875" i="2" s="1"/>
  <c r="A1876" i="2"/>
  <c r="T1876" i="2" s="1"/>
  <c r="A1877" i="2"/>
  <c r="T1877" i="2" s="1"/>
  <c r="A1878" i="2"/>
  <c r="T1878" i="2" s="1"/>
  <c r="A1879" i="2"/>
  <c r="T1879" i="2" s="1"/>
  <c r="A1880" i="2"/>
  <c r="T1880" i="2" s="1"/>
  <c r="A1881" i="2"/>
  <c r="T1881" i="2" s="1"/>
  <c r="A1882" i="2"/>
  <c r="T1882" i="2" s="1"/>
  <c r="A1883" i="2"/>
  <c r="T1883" i="2" s="1"/>
  <c r="A1884" i="2"/>
  <c r="T1884" i="2" s="1"/>
  <c r="A1885" i="2"/>
  <c r="T1885" i="2" s="1"/>
  <c r="A1886" i="2"/>
  <c r="T1886" i="2" s="1"/>
  <c r="A1887" i="2"/>
  <c r="T1887" i="2" s="1"/>
  <c r="A1888" i="2"/>
  <c r="T1888" i="2" s="1"/>
  <c r="A1889" i="2"/>
  <c r="T1889" i="2" s="1"/>
  <c r="A1890" i="2"/>
  <c r="T1890" i="2" s="1"/>
  <c r="A1891" i="2"/>
  <c r="T1891" i="2" s="1"/>
  <c r="A1892" i="2"/>
  <c r="T1892" i="2" s="1"/>
  <c r="A1893" i="2"/>
  <c r="T1893" i="2" s="1"/>
  <c r="A1894" i="2"/>
  <c r="T1894" i="2" s="1"/>
  <c r="A1895" i="2"/>
  <c r="T1895" i="2" s="1"/>
  <c r="A1896" i="2"/>
  <c r="T1896" i="2" s="1"/>
  <c r="A1897" i="2"/>
  <c r="T1897" i="2" s="1"/>
  <c r="A1898" i="2"/>
  <c r="T1898" i="2" s="1"/>
  <c r="A1899" i="2"/>
  <c r="T1899" i="2" s="1"/>
  <c r="A1900" i="2"/>
  <c r="T1900" i="2" s="1"/>
  <c r="A1901" i="2"/>
  <c r="T1901" i="2" s="1"/>
  <c r="A1902" i="2"/>
  <c r="T1902" i="2" s="1"/>
  <c r="A1903" i="2"/>
  <c r="T1903" i="2" s="1"/>
  <c r="A1904" i="2"/>
  <c r="T1904" i="2" s="1"/>
  <c r="A1905" i="2"/>
  <c r="T1905" i="2" s="1"/>
  <c r="A1906" i="2"/>
  <c r="T1906" i="2" s="1"/>
  <c r="A1907" i="2"/>
  <c r="T1907" i="2" s="1"/>
  <c r="A1908" i="2"/>
  <c r="T1908" i="2" s="1"/>
  <c r="A1909" i="2"/>
  <c r="T1909" i="2" s="1"/>
  <c r="A1910" i="2"/>
  <c r="T1910" i="2" s="1"/>
  <c r="A1911" i="2"/>
  <c r="T1911" i="2" s="1"/>
  <c r="A1912" i="2"/>
  <c r="T1912" i="2" s="1"/>
  <c r="A1913" i="2"/>
  <c r="T1913" i="2" s="1"/>
  <c r="A1914" i="2"/>
  <c r="T1914" i="2" s="1"/>
  <c r="A1915" i="2"/>
  <c r="T1915" i="2" s="1"/>
  <c r="A1916" i="2"/>
  <c r="T1916" i="2" s="1"/>
  <c r="A1917" i="2"/>
  <c r="T1917" i="2" s="1"/>
  <c r="A1918" i="2"/>
  <c r="T1918" i="2" s="1"/>
  <c r="A1919" i="2"/>
  <c r="T1919" i="2" s="1"/>
  <c r="A1920" i="2"/>
  <c r="T1920" i="2" s="1"/>
  <c r="A1921" i="2"/>
  <c r="T1921" i="2" s="1"/>
  <c r="A1922" i="2"/>
  <c r="T1922" i="2" s="1"/>
  <c r="A1923" i="2"/>
  <c r="T1923" i="2" s="1"/>
  <c r="A1924" i="2"/>
  <c r="T1924" i="2" s="1"/>
  <c r="A1925" i="2"/>
  <c r="T1925" i="2" s="1"/>
  <c r="A1926" i="2"/>
  <c r="T1926" i="2" s="1"/>
  <c r="A1927" i="2"/>
  <c r="T1927" i="2" s="1"/>
  <c r="A1928" i="2"/>
  <c r="T1928" i="2" s="1"/>
  <c r="A1929" i="2"/>
  <c r="T1929" i="2" s="1"/>
  <c r="A1930" i="2"/>
  <c r="T1930" i="2" s="1"/>
  <c r="A1931" i="2"/>
  <c r="T1931" i="2" s="1"/>
  <c r="A1932" i="2"/>
  <c r="T1932" i="2" s="1"/>
  <c r="A1933" i="2"/>
  <c r="T1933" i="2" s="1"/>
  <c r="A1934" i="2"/>
  <c r="T1934" i="2" s="1"/>
  <c r="A1935" i="2"/>
  <c r="T1935" i="2" s="1"/>
  <c r="A1936" i="2"/>
  <c r="T1936" i="2" s="1"/>
  <c r="A1937" i="2"/>
  <c r="T1937" i="2" s="1"/>
  <c r="A1938" i="2"/>
  <c r="T1938" i="2" s="1"/>
  <c r="A1939" i="2"/>
  <c r="T1939" i="2" s="1"/>
  <c r="A1940" i="2"/>
  <c r="T1940" i="2" s="1"/>
  <c r="A1941" i="2"/>
  <c r="T1941" i="2" s="1"/>
  <c r="A1942" i="2"/>
  <c r="T1942" i="2" s="1"/>
  <c r="A1943" i="2"/>
  <c r="T1943" i="2" s="1"/>
  <c r="A1944" i="2"/>
  <c r="T1944" i="2" s="1"/>
  <c r="A1945" i="2"/>
  <c r="T1945" i="2" s="1"/>
  <c r="A1946" i="2"/>
  <c r="T1946" i="2" s="1"/>
  <c r="A1947" i="2"/>
  <c r="T1947" i="2" s="1"/>
  <c r="A1948" i="2"/>
  <c r="T1948" i="2" s="1"/>
  <c r="A1949" i="2"/>
  <c r="T1949" i="2" s="1"/>
  <c r="A1950" i="2"/>
  <c r="T1950" i="2" s="1"/>
  <c r="A1951" i="2"/>
  <c r="T1951" i="2" s="1"/>
  <c r="A1952" i="2"/>
  <c r="T1952" i="2" s="1"/>
  <c r="A1953" i="2"/>
  <c r="T1953" i="2" s="1"/>
  <c r="A1954" i="2"/>
  <c r="T1954" i="2" s="1"/>
  <c r="A1955" i="2"/>
  <c r="T1955" i="2" s="1"/>
  <c r="A1956" i="2"/>
  <c r="T1956" i="2" s="1"/>
  <c r="A1957" i="2"/>
  <c r="T1957" i="2" s="1"/>
  <c r="A1958" i="2"/>
  <c r="T1958" i="2" s="1"/>
  <c r="A1959" i="2"/>
  <c r="T1959" i="2" s="1"/>
  <c r="A1960" i="2"/>
  <c r="T1960" i="2" s="1"/>
  <c r="A1961" i="2"/>
  <c r="T1961" i="2" s="1"/>
  <c r="A1962" i="2"/>
  <c r="T1962" i="2" s="1"/>
  <c r="A1963" i="2"/>
  <c r="T1963" i="2" s="1"/>
  <c r="A1964" i="2"/>
  <c r="T1964" i="2" s="1"/>
  <c r="A1965" i="2"/>
  <c r="T1965" i="2" s="1"/>
  <c r="A1966" i="2"/>
  <c r="T1966" i="2" s="1"/>
  <c r="A1967" i="2"/>
  <c r="T1967" i="2" s="1"/>
  <c r="A1968" i="2"/>
  <c r="T1968" i="2" s="1"/>
  <c r="A1969" i="2"/>
  <c r="T1969" i="2" s="1"/>
  <c r="A1970" i="2"/>
  <c r="T1970" i="2" s="1"/>
  <c r="A1971" i="2"/>
  <c r="T1971" i="2" s="1"/>
  <c r="A1972" i="2"/>
  <c r="T1972" i="2" s="1"/>
  <c r="A1973" i="2"/>
  <c r="T1973" i="2" s="1"/>
  <c r="A1974" i="2"/>
  <c r="T1974" i="2" s="1"/>
  <c r="A1975" i="2"/>
  <c r="T1975" i="2" s="1"/>
  <c r="A1976" i="2"/>
  <c r="T1976" i="2" s="1"/>
  <c r="A1977" i="2"/>
  <c r="T1977" i="2" s="1"/>
  <c r="A1978" i="2"/>
  <c r="T1978" i="2" s="1"/>
  <c r="A1979" i="2"/>
  <c r="T1979" i="2" s="1"/>
  <c r="A1980" i="2"/>
  <c r="T1980" i="2" s="1"/>
  <c r="A1981" i="2"/>
  <c r="T1981" i="2" s="1"/>
  <c r="A1982" i="2"/>
  <c r="T1982" i="2" s="1"/>
  <c r="A1983" i="2"/>
  <c r="T1983" i="2" s="1"/>
  <c r="A1984" i="2"/>
  <c r="T1984" i="2" s="1"/>
  <c r="A1985" i="2"/>
  <c r="T1985" i="2" s="1"/>
  <c r="A1986" i="2"/>
  <c r="T1986" i="2" s="1"/>
  <c r="A1987" i="2"/>
  <c r="T1987" i="2" s="1"/>
  <c r="A1988" i="2"/>
  <c r="T1988" i="2" s="1"/>
  <c r="A1989" i="2"/>
  <c r="T1989" i="2" s="1"/>
  <c r="A1990" i="2"/>
  <c r="T1990" i="2" s="1"/>
  <c r="A1991" i="2"/>
  <c r="T1991" i="2" s="1"/>
  <c r="A1992" i="2"/>
  <c r="T1992" i="2" s="1"/>
  <c r="A1993" i="2"/>
  <c r="T1993" i="2" s="1"/>
  <c r="A1994" i="2"/>
  <c r="T1994" i="2" s="1"/>
  <c r="A1995" i="2"/>
  <c r="T1995" i="2" s="1"/>
  <c r="A1996" i="2"/>
  <c r="T1996" i="2" s="1"/>
  <c r="A1997" i="2"/>
  <c r="T1997" i="2" s="1"/>
  <c r="A1998" i="2"/>
  <c r="T1998" i="2" s="1"/>
  <c r="A1999" i="2"/>
  <c r="T1999" i="2" s="1"/>
  <c r="A2000" i="2"/>
  <c r="T2000" i="2" s="1"/>
  <c r="A10" i="2"/>
  <c r="T10" i="2" s="1"/>
  <c r="A9" i="2"/>
  <c r="T9" i="2" s="1"/>
  <c r="A8" i="2"/>
  <c r="T8" i="2" s="1"/>
  <c r="A7" i="2"/>
  <c r="T7" i="2" s="1"/>
  <c r="B61" i="8" l="1"/>
  <c r="B60" i="8"/>
  <c r="B59" i="8"/>
  <c r="B58" i="8"/>
  <c r="B57" i="8"/>
  <c r="B56" i="8"/>
  <c r="B55" i="8"/>
  <c r="B54" i="8"/>
  <c r="B53" i="8"/>
  <c r="B52" i="8"/>
  <c r="B51" i="8"/>
  <c r="B50" i="8"/>
  <c r="B49" i="8"/>
  <c r="B48" i="8"/>
  <c r="B47" i="8"/>
  <c r="B46" i="8"/>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4" i="8"/>
  <c r="B63" i="8" l="1"/>
  <c r="AK63" i="8" s="1"/>
  <c r="AL63" i="8" s="1"/>
  <c r="B62" i="8"/>
  <c r="AK62" i="8" s="1"/>
  <c r="AL62" i="8" s="1"/>
  <c r="B65" i="8"/>
  <c r="R6" i="8"/>
  <c r="S6" i="8" s="1"/>
  <c r="U6" i="8" s="1"/>
  <c r="AH6" i="8"/>
  <c r="AI6" i="8" s="1"/>
  <c r="Z6" i="8"/>
  <c r="AA6" i="8" s="1"/>
  <c r="AC6" i="8" s="1"/>
  <c r="N6" i="8"/>
  <c r="O6" i="8" s="1"/>
  <c r="Q6" i="8" s="1"/>
  <c r="AD6" i="8"/>
  <c r="AE6" i="8" s="1"/>
  <c r="AK6" i="8"/>
  <c r="AL6" i="8" s="1"/>
  <c r="J6" i="8"/>
  <c r="K6" i="8" s="1"/>
  <c r="M6" i="8" s="1"/>
  <c r="F6" i="8"/>
  <c r="G6" i="8" s="1"/>
  <c r="I6" i="8" s="1"/>
  <c r="R14" i="8"/>
  <c r="S14" i="8"/>
  <c r="Z14" i="8"/>
  <c r="N14" i="8"/>
  <c r="AK14" i="8"/>
  <c r="AL14" i="8" s="1"/>
  <c r="AI14" i="8"/>
  <c r="AD14" i="8"/>
  <c r="O14" i="8"/>
  <c r="AH14" i="8"/>
  <c r="W14" i="8"/>
  <c r="F14" i="8"/>
  <c r="G14" i="8"/>
  <c r="AE14" i="8"/>
  <c r="AA14" i="8"/>
  <c r="J14" i="8"/>
  <c r="K14" i="8"/>
  <c r="D22" i="8"/>
  <c r="R22" i="8"/>
  <c r="S22" i="8" s="1"/>
  <c r="U22" i="8" s="1"/>
  <c r="Z22" i="8"/>
  <c r="AA22" i="8" s="1"/>
  <c r="AC22" i="8" s="1"/>
  <c r="N22" i="8"/>
  <c r="O22" i="8" s="1"/>
  <c r="Q22" i="8" s="1"/>
  <c r="AK22" i="8"/>
  <c r="AL22" i="8" s="1"/>
  <c r="AD22" i="8"/>
  <c r="AE22" i="8" s="1"/>
  <c r="AG22" i="8" s="1"/>
  <c r="F22" i="8"/>
  <c r="G22" i="8" s="1"/>
  <c r="I22" i="8" s="1"/>
  <c r="J22" i="8"/>
  <c r="K22" i="8" s="1"/>
  <c r="M22" i="8" s="1"/>
  <c r="AH22" i="8"/>
  <c r="AI22" i="8" s="1"/>
  <c r="R30" i="8"/>
  <c r="AI30" i="8"/>
  <c r="S30" i="8"/>
  <c r="AH30" i="8"/>
  <c r="Z30" i="8"/>
  <c r="N30" i="8"/>
  <c r="AK30" i="8"/>
  <c r="AL30" i="8" s="1"/>
  <c r="AD30" i="8"/>
  <c r="O30" i="8"/>
  <c r="AE30" i="8"/>
  <c r="F30" i="8"/>
  <c r="J30" i="8"/>
  <c r="G30" i="8"/>
  <c r="W30" i="8"/>
  <c r="K30" i="8"/>
  <c r="AA30" i="8"/>
  <c r="R38" i="8"/>
  <c r="S38" i="8"/>
  <c r="AK38" i="8"/>
  <c r="AL38" i="8" s="1"/>
  <c r="AI38" i="8"/>
  <c r="AE38" i="8"/>
  <c r="Z38" i="8"/>
  <c r="N38" i="8"/>
  <c r="AH38" i="8"/>
  <c r="AD38" i="8"/>
  <c r="O38" i="8"/>
  <c r="W38" i="8"/>
  <c r="AA38" i="8"/>
  <c r="G38" i="8"/>
  <c r="J38" i="8"/>
  <c r="F38" i="8"/>
  <c r="K38" i="8"/>
  <c r="AH46" i="8"/>
  <c r="R46" i="8"/>
  <c r="AK46" i="8"/>
  <c r="AL46" i="8" s="1"/>
  <c r="AE46" i="8"/>
  <c r="S46" i="8"/>
  <c r="Z46" i="8"/>
  <c r="N46" i="8"/>
  <c r="AD46" i="8"/>
  <c r="O46" i="8"/>
  <c r="W46" i="8"/>
  <c r="AI46" i="8"/>
  <c r="G46" i="8"/>
  <c r="F46" i="8"/>
  <c r="AA46" i="8"/>
  <c r="J46" i="8"/>
  <c r="K46" i="8"/>
  <c r="AK54" i="8"/>
  <c r="AL54" i="8" s="1"/>
  <c r="AH54" i="8"/>
  <c r="R54" i="8"/>
  <c r="AE54" i="8"/>
  <c r="S54" i="8"/>
  <c r="Z54" i="8"/>
  <c r="N54" i="8"/>
  <c r="AD54" i="8"/>
  <c r="O54" i="8"/>
  <c r="AI54" i="8"/>
  <c r="AA54" i="8"/>
  <c r="G54" i="8"/>
  <c r="W54" i="8"/>
  <c r="J54" i="8"/>
  <c r="K54" i="8"/>
  <c r="F54" i="8"/>
  <c r="AE23" i="8"/>
  <c r="W23" i="8"/>
  <c r="S23" i="8"/>
  <c r="AK23" i="8"/>
  <c r="AL23" i="8" s="1"/>
  <c r="AD23" i="8"/>
  <c r="AI23" i="8"/>
  <c r="Z23" i="8"/>
  <c r="AH23" i="8"/>
  <c r="AA23" i="8"/>
  <c r="O23" i="8"/>
  <c r="N23" i="8"/>
  <c r="K23" i="8"/>
  <c r="J23" i="8"/>
  <c r="R23" i="8"/>
  <c r="G23" i="8"/>
  <c r="F23" i="8"/>
  <c r="AH31" i="8"/>
  <c r="AE31" i="8"/>
  <c r="W31" i="8"/>
  <c r="S31" i="8"/>
  <c r="AK31" i="8"/>
  <c r="AL31" i="8" s="1"/>
  <c r="AD31" i="8"/>
  <c r="Z31" i="8"/>
  <c r="AA31" i="8"/>
  <c r="O31" i="8"/>
  <c r="R31" i="8"/>
  <c r="F31" i="8"/>
  <c r="J31" i="8"/>
  <c r="AI31" i="8"/>
  <c r="N31" i="8"/>
  <c r="G31" i="8"/>
  <c r="K31" i="8"/>
  <c r="AK39" i="8"/>
  <c r="AL39" i="8" s="1"/>
  <c r="AD39" i="8"/>
  <c r="AE39" i="8" s="1"/>
  <c r="AG39" i="8" s="1"/>
  <c r="Z39" i="8"/>
  <c r="AA39" i="8" s="1"/>
  <c r="AC39" i="8" s="1"/>
  <c r="AH39" i="8"/>
  <c r="AI39" i="8" s="1"/>
  <c r="J39" i="8"/>
  <c r="K39" i="8" s="1"/>
  <c r="M39" i="8" s="1"/>
  <c r="F39" i="8"/>
  <c r="G39" i="8" s="1"/>
  <c r="I39" i="8" s="1"/>
  <c r="N39" i="8"/>
  <c r="O39" i="8" s="1"/>
  <c r="Q39" i="8" s="1"/>
  <c r="R39" i="8"/>
  <c r="S39" i="8" s="1"/>
  <c r="U39" i="8" s="1"/>
  <c r="AE47" i="8"/>
  <c r="W47" i="8"/>
  <c r="S47" i="8"/>
  <c r="AD47" i="8"/>
  <c r="AI47" i="8"/>
  <c r="Z47" i="8"/>
  <c r="AH47" i="8"/>
  <c r="AA47" i="8"/>
  <c r="O47" i="8"/>
  <c r="R47" i="8"/>
  <c r="F47" i="8"/>
  <c r="AK47" i="8"/>
  <c r="AL47" i="8" s="1"/>
  <c r="N47" i="8"/>
  <c r="J47" i="8"/>
  <c r="K47" i="8"/>
  <c r="G47" i="8"/>
  <c r="AE55" i="8"/>
  <c r="W55" i="8"/>
  <c r="S55" i="8"/>
  <c r="AD55" i="8"/>
  <c r="AI55" i="8"/>
  <c r="Z55" i="8"/>
  <c r="AK55" i="8"/>
  <c r="AL55" i="8" s="1"/>
  <c r="AH55" i="8"/>
  <c r="AA55" i="8"/>
  <c r="O55" i="8"/>
  <c r="N55" i="8"/>
  <c r="K55" i="8"/>
  <c r="J55" i="8"/>
  <c r="F55" i="8"/>
  <c r="R55" i="8"/>
  <c r="G55" i="8"/>
  <c r="AH8" i="8"/>
  <c r="W8" i="8"/>
  <c r="N8" i="8"/>
  <c r="AK8" i="8"/>
  <c r="AL8" i="8" s="1"/>
  <c r="AA8" i="8"/>
  <c r="Z8" i="8"/>
  <c r="R8" i="8"/>
  <c r="AI8" i="8"/>
  <c r="AE8" i="8"/>
  <c r="K8" i="8"/>
  <c r="O8" i="8"/>
  <c r="J8" i="8"/>
  <c r="G8" i="8"/>
  <c r="AD8" i="8"/>
  <c r="S8" i="8"/>
  <c r="F8" i="8"/>
  <c r="AI16" i="8"/>
  <c r="W16" i="8"/>
  <c r="AH16" i="8"/>
  <c r="N16" i="8"/>
  <c r="AE16" i="8"/>
  <c r="AA16" i="8"/>
  <c r="Z16" i="8"/>
  <c r="R16" i="8"/>
  <c r="K16" i="8"/>
  <c r="J16" i="8"/>
  <c r="AK16" i="8"/>
  <c r="AL16" i="8" s="1"/>
  <c r="AD16" i="8"/>
  <c r="O16" i="8"/>
  <c r="G16" i="8"/>
  <c r="F16" i="8"/>
  <c r="S16" i="8"/>
  <c r="W24" i="8"/>
  <c r="N24" i="8"/>
  <c r="AH24" i="8"/>
  <c r="AA24" i="8"/>
  <c r="Z24" i="8"/>
  <c r="R24" i="8"/>
  <c r="AK24" i="8"/>
  <c r="AL24" i="8" s="1"/>
  <c r="AD24" i="8"/>
  <c r="AE24" i="8"/>
  <c r="S24" i="8"/>
  <c r="G24" i="8"/>
  <c r="AI24" i="8"/>
  <c r="J24" i="8"/>
  <c r="O24" i="8"/>
  <c r="K24" i="8"/>
  <c r="F24" i="8"/>
  <c r="AE32" i="8"/>
  <c r="W32" i="8"/>
  <c r="N32" i="8"/>
  <c r="AI32" i="8"/>
  <c r="AA32" i="8"/>
  <c r="AH32" i="8"/>
  <c r="Z32" i="8"/>
  <c r="R32" i="8"/>
  <c r="J32" i="8"/>
  <c r="AK32" i="8"/>
  <c r="AL32" i="8" s="1"/>
  <c r="S32" i="8"/>
  <c r="G32" i="8"/>
  <c r="AD32" i="8"/>
  <c r="F32" i="8"/>
  <c r="K32" i="8"/>
  <c r="O32" i="8"/>
  <c r="AK40" i="8"/>
  <c r="AL40" i="8" s="1"/>
  <c r="AI40" i="8"/>
  <c r="W40" i="8"/>
  <c r="AH40" i="8"/>
  <c r="N40" i="8"/>
  <c r="AE40" i="8"/>
  <c r="AA40" i="8"/>
  <c r="Z40" i="8"/>
  <c r="R40" i="8"/>
  <c r="O40" i="8"/>
  <c r="J40" i="8"/>
  <c r="G40" i="8"/>
  <c r="K40" i="8"/>
  <c r="AD40" i="8"/>
  <c r="S40" i="8"/>
  <c r="F40" i="8"/>
  <c r="W48" i="8"/>
  <c r="N48" i="8"/>
  <c r="AH48" i="8"/>
  <c r="AA48" i="8"/>
  <c r="AK48" i="8"/>
  <c r="AL48" i="8" s="1"/>
  <c r="Z48" i="8"/>
  <c r="R48" i="8"/>
  <c r="K48" i="8"/>
  <c r="J48" i="8"/>
  <c r="AD48" i="8"/>
  <c r="O48" i="8"/>
  <c r="G48" i="8"/>
  <c r="S48" i="8"/>
  <c r="AI48" i="8"/>
  <c r="AE48" i="8"/>
  <c r="F48" i="8"/>
  <c r="W56" i="8"/>
  <c r="N56" i="8"/>
  <c r="AH56" i="8"/>
  <c r="AK56" i="8"/>
  <c r="AL56" i="8" s="1"/>
  <c r="AA56" i="8"/>
  <c r="Z56" i="8"/>
  <c r="R56" i="8"/>
  <c r="AI56" i="8"/>
  <c r="AD56" i="8"/>
  <c r="S56" i="8"/>
  <c r="AE56" i="8"/>
  <c r="J56" i="8"/>
  <c r="O56" i="8"/>
  <c r="G56" i="8"/>
  <c r="K56" i="8"/>
  <c r="F56" i="8"/>
  <c r="AH7" i="8"/>
  <c r="AI7" i="8" s="1"/>
  <c r="AD7" i="8"/>
  <c r="AE7" i="8" s="1"/>
  <c r="AG7" i="8" s="1"/>
  <c r="AK7" i="8"/>
  <c r="AL7" i="8" s="1"/>
  <c r="Z7" i="8"/>
  <c r="AA7" i="8" s="1"/>
  <c r="AC7" i="8" s="1"/>
  <c r="F7" i="8"/>
  <c r="G7" i="8" s="1"/>
  <c r="I7" i="8" s="1"/>
  <c r="J7" i="8"/>
  <c r="K7" i="8" s="1"/>
  <c r="M7" i="8" s="1"/>
  <c r="N7" i="8"/>
  <c r="O7" i="8" s="1"/>
  <c r="Q7" i="8" s="1"/>
  <c r="R7" i="8"/>
  <c r="S7" i="8" s="1"/>
  <c r="U7" i="8" s="1"/>
  <c r="AH17" i="8"/>
  <c r="AI17" i="8" s="1"/>
  <c r="N17" i="8"/>
  <c r="O17" i="8" s="1"/>
  <c r="Q17" i="8" s="1"/>
  <c r="AK17" i="8"/>
  <c r="AL17" i="8" s="1"/>
  <c r="AD17" i="8"/>
  <c r="AE17" i="8" s="1"/>
  <c r="R17" i="8"/>
  <c r="S17" i="8" s="1"/>
  <c r="U17" i="8" s="1"/>
  <c r="J17" i="8"/>
  <c r="K17" i="8" s="1"/>
  <c r="M17" i="8" s="1"/>
  <c r="Z17" i="8"/>
  <c r="AA17" i="8" s="1"/>
  <c r="AC17" i="8" s="1"/>
  <c r="F17" i="8"/>
  <c r="G17" i="8" s="1"/>
  <c r="I17" i="8" s="1"/>
  <c r="W25" i="8"/>
  <c r="O25" i="8"/>
  <c r="AI25" i="8"/>
  <c r="N25" i="8"/>
  <c r="AK25" i="8"/>
  <c r="AL25" i="8" s="1"/>
  <c r="AH25" i="8"/>
  <c r="AD25" i="8"/>
  <c r="AE25" i="8"/>
  <c r="AA25" i="8"/>
  <c r="S25" i="8"/>
  <c r="R25" i="8"/>
  <c r="J25" i="8"/>
  <c r="F25" i="8"/>
  <c r="K25" i="8"/>
  <c r="G25" i="8"/>
  <c r="Z25" i="8"/>
  <c r="AK33" i="8"/>
  <c r="AL33" i="8" s="1"/>
  <c r="N33" i="8"/>
  <c r="O33" i="8" s="1"/>
  <c r="Q33" i="8" s="1"/>
  <c r="AD33" i="8"/>
  <c r="AE33" i="8" s="1"/>
  <c r="AG33" i="8" s="1"/>
  <c r="AH33" i="8"/>
  <c r="AI33" i="8" s="1"/>
  <c r="R33" i="8"/>
  <c r="S33" i="8" s="1"/>
  <c r="U33" i="8" s="1"/>
  <c r="J33" i="8"/>
  <c r="K33" i="8" s="1"/>
  <c r="M33" i="8" s="1"/>
  <c r="F33" i="8"/>
  <c r="G33" i="8" s="1"/>
  <c r="I33" i="8" s="1"/>
  <c r="Z33" i="8"/>
  <c r="AA33" i="8" s="1"/>
  <c r="AC33" i="8" s="1"/>
  <c r="AH41" i="8"/>
  <c r="W41" i="8"/>
  <c r="O41" i="8"/>
  <c r="N41" i="8"/>
  <c r="AD41" i="8"/>
  <c r="AA41" i="8"/>
  <c r="S41" i="8"/>
  <c r="R41" i="8"/>
  <c r="AE41" i="8"/>
  <c r="J41" i="8"/>
  <c r="F41" i="8"/>
  <c r="G41" i="8"/>
  <c r="K41" i="8"/>
  <c r="AK41" i="8"/>
  <c r="AL41" i="8" s="1"/>
  <c r="AI41" i="8"/>
  <c r="Z41" i="8"/>
  <c r="W49" i="8"/>
  <c r="O49" i="8"/>
  <c r="AI49" i="8"/>
  <c r="N49" i="8"/>
  <c r="AH49" i="8"/>
  <c r="AD49" i="8"/>
  <c r="AE49" i="8"/>
  <c r="AA49" i="8"/>
  <c r="S49" i="8"/>
  <c r="AK49" i="8"/>
  <c r="AL49" i="8" s="1"/>
  <c r="R49" i="8"/>
  <c r="J49" i="8"/>
  <c r="Z49" i="8"/>
  <c r="G49" i="8"/>
  <c r="F49" i="8"/>
  <c r="K49" i="8"/>
  <c r="W57" i="8"/>
  <c r="O57" i="8"/>
  <c r="AI57" i="8"/>
  <c r="N57" i="8"/>
  <c r="AH57" i="8"/>
  <c r="AD57" i="8"/>
  <c r="AE57" i="8"/>
  <c r="AA57" i="8"/>
  <c r="S57" i="8"/>
  <c r="R57" i="8"/>
  <c r="J57" i="8"/>
  <c r="F57" i="8"/>
  <c r="K57" i="8"/>
  <c r="G57" i="8"/>
  <c r="Z57" i="8"/>
  <c r="AK57" i="8"/>
  <c r="AL57" i="8" s="1"/>
  <c r="AE9" i="8"/>
  <c r="W9" i="8"/>
  <c r="O9" i="8"/>
  <c r="N9" i="8"/>
  <c r="AD9" i="8"/>
  <c r="AA9" i="8"/>
  <c r="S9" i="8"/>
  <c r="AI9" i="8"/>
  <c r="R9" i="8"/>
  <c r="AH9" i="8"/>
  <c r="K9" i="8"/>
  <c r="J9" i="8"/>
  <c r="F9" i="8"/>
  <c r="G9" i="8"/>
  <c r="AK9" i="8"/>
  <c r="AL9" i="8" s="1"/>
  <c r="Z9" i="8"/>
  <c r="Z18" i="8"/>
  <c r="N18" i="8"/>
  <c r="AK18" i="8"/>
  <c r="AL18" i="8" s="1"/>
  <c r="AD18" i="8"/>
  <c r="O18" i="8"/>
  <c r="R18" i="8"/>
  <c r="S18" i="8"/>
  <c r="AI18" i="8"/>
  <c r="AE18" i="8"/>
  <c r="K18" i="8"/>
  <c r="AH18" i="8"/>
  <c r="G18" i="8"/>
  <c r="AA18" i="8"/>
  <c r="F18" i="8"/>
  <c r="J18" i="8"/>
  <c r="W18" i="8"/>
  <c r="AH26" i="8"/>
  <c r="AI26" i="8" s="1"/>
  <c r="Z26" i="8"/>
  <c r="AA26" i="8" s="1"/>
  <c r="AC26" i="8" s="1"/>
  <c r="N26" i="8"/>
  <c r="O26" i="8" s="1"/>
  <c r="Q26" i="8" s="1"/>
  <c r="AK26" i="8"/>
  <c r="AL26" i="8" s="1"/>
  <c r="AD26" i="8"/>
  <c r="AE26" i="8" s="1"/>
  <c r="R26" i="8"/>
  <c r="S26" i="8" s="1"/>
  <c r="U26" i="8" s="1"/>
  <c r="J26" i="8"/>
  <c r="K26" i="8" s="1"/>
  <c r="M26" i="8" s="1"/>
  <c r="F26" i="8"/>
  <c r="G26" i="8" s="1"/>
  <c r="I26" i="8" s="1"/>
  <c r="AK34" i="8"/>
  <c r="AL34" i="8" s="1"/>
  <c r="Z34" i="8"/>
  <c r="N34" i="8"/>
  <c r="AD34" i="8"/>
  <c r="O34" i="8"/>
  <c r="AI34" i="8"/>
  <c r="AE34" i="8"/>
  <c r="R34" i="8"/>
  <c r="S34" i="8"/>
  <c r="K34" i="8"/>
  <c r="G34" i="8"/>
  <c r="AA34" i="8"/>
  <c r="J34" i="8"/>
  <c r="AH34" i="8"/>
  <c r="F34" i="8"/>
  <c r="W34" i="8"/>
  <c r="Z42" i="8"/>
  <c r="N42" i="8"/>
  <c r="AD42" i="8"/>
  <c r="O42" i="8"/>
  <c r="R42" i="8"/>
  <c r="AI42" i="8"/>
  <c r="S42" i="8"/>
  <c r="AK42" i="8"/>
  <c r="AL42" i="8" s="1"/>
  <c r="AH42" i="8"/>
  <c r="K42" i="8"/>
  <c r="W42" i="8"/>
  <c r="G42" i="8"/>
  <c r="F42" i="8"/>
  <c r="AE42" i="8"/>
  <c r="AA42" i="8"/>
  <c r="J42" i="8"/>
  <c r="AH50" i="8"/>
  <c r="Z50" i="8"/>
  <c r="N50" i="8"/>
  <c r="AD50" i="8"/>
  <c r="O50" i="8"/>
  <c r="AK50" i="8"/>
  <c r="AL50" i="8" s="1"/>
  <c r="R50" i="8"/>
  <c r="AE50" i="8"/>
  <c r="S50" i="8"/>
  <c r="K50" i="8"/>
  <c r="G50" i="8"/>
  <c r="AA50" i="8"/>
  <c r="F50" i="8"/>
  <c r="AI50" i="8"/>
  <c r="J50" i="8"/>
  <c r="W50" i="8"/>
  <c r="AH58" i="8"/>
  <c r="Z58" i="8"/>
  <c r="N58" i="8"/>
  <c r="AD58" i="8"/>
  <c r="O58" i="8"/>
  <c r="AK58" i="8"/>
  <c r="AL58" i="8" s="1"/>
  <c r="R58" i="8"/>
  <c r="AE58" i="8"/>
  <c r="S58" i="8"/>
  <c r="AA58" i="8"/>
  <c r="K58" i="8"/>
  <c r="W58" i="8"/>
  <c r="G58" i="8"/>
  <c r="F58" i="8"/>
  <c r="J58" i="8"/>
  <c r="AI58" i="8"/>
  <c r="R5" i="8"/>
  <c r="S5" i="8" s="1"/>
  <c r="U5" i="8" s="1"/>
  <c r="N5" i="8"/>
  <c r="O5" i="8" s="1"/>
  <c r="Q5" i="8" s="1"/>
  <c r="AD5" i="8"/>
  <c r="AE5" i="8" s="1"/>
  <c r="AK5" i="8"/>
  <c r="AL5" i="8" s="1"/>
  <c r="J5" i="8"/>
  <c r="K5" i="8" s="1"/>
  <c r="M5" i="8" s="1"/>
  <c r="AH5" i="8"/>
  <c r="AI5" i="8" s="1"/>
  <c r="Z5" i="8"/>
  <c r="AA5" i="8" s="1"/>
  <c r="AC5" i="8" s="1"/>
  <c r="F5" i="8"/>
  <c r="G5" i="8" s="1"/>
  <c r="I5" i="8" s="1"/>
  <c r="Z10" i="8"/>
  <c r="AA10" i="8" s="1"/>
  <c r="AC10" i="8" s="1"/>
  <c r="N10" i="8"/>
  <c r="O10" i="8" s="1"/>
  <c r="Q10" i="8" s="1"/>
  <c r="AD10" i="8"/>
  <c r="AE10" i="8" s="1"/>
  <c r="AK10" i="8"/>
  <c r="AL10" i="8" s="1"/>
  <c r="AH10" i="8"/>
  <c r="AI10" i="8" s="1"/>
  <c r="R10" i="8"/>
  <c r="S10" i="8" s="1"/>
  <c r="U10" i="8" s="1"/>
  <c r="F10" i="8"/>
  <c r="G10" i="8" s="1"/>
  <c r="I10" i="8" s="1"/>
  <c r="J10" i="8"/>
  <c r="K10" i="8" s="1"/>
  <c r="M10" i="8" s="1"/>
  <c r="AD11" i="8"/>
  <c r="AK11" i="8"/>
  <c r="AL11" i="8" s="1"/>
  <c r="AE11" i="8"/>
  <c r="Z11" i="8"/>
  <c r="AI11" i="8"/>
  <c r="AA11" i="8"/>
  <c r="O11" i="8"/>
  <c r="W11" i="8"/>
  <c r="S11" i="8"/>
  <c r="G11" i="8"/>
  <c r="K11" i="8"/>
  <c r="F11" i="8"/>
  <c r="R11" i="8"/>
  <c r="J11" i="8"/>
  <c r="N11" i="8"/>
  <c r="AH11" i="8"/>
  <c r="AK19" i="8"/>
  <c r="AL19" i="8" s="1"/>
  <c r="AD19" i="8"/>
  <c r="Z19" i="8"/>
  <c r="AA19" i="8"/>
  <c r="O19" i="8"/>
  <c r="AI19" i="8"/>
  <c r="AH19" i="8"/>
  <c r="W19" i="8"/>
  <c r="S19" i="8"/>
  <c r="G19" i="8"/>
  <c r="N19" i="8"/>
  <c r="K19" i="8"/>
  <c r="F19" i="8"/>
  <c r="J19" i="8"/>
  <c r="R19" i="8"/>
  <c r="AE19" i="8"/>
  <c r="AK27" i="8"/>
  <c r="AL27" i="8" s="1"/>
  <c r="AD27" i="8"/>
  <c r="Z27" i="8"/>
  <c r="AA27" i="8"/>
  <c r="O27" i="8"/>
  <c r="AE27" i="8"/>
  <c r="AI27" i="8"/>
  <c r="W27" i="8"/>
  <c r="S27" i="8"/>
  <c r="G27" i="8"/>
  <c r="K27" i="8"/>
  <c r="F27" i="8"/>
  <c r="R27" i="8"/>
  <c r="AH27" i="8"/>
  <c r="J27" i="8"/>
  <c r="N27" i="8"/>
  <c r="AI35" i="8"/>
  <c r="AD35" i="8"/>
  <c r="AH35" i="8"/>
  <c r="Z35" i="8"/>
  <c r="AA35" i="8"/>
  <c r="O35" i="8"/>
  <c r="W35" i="8"/>
  <c r="S35" i="8"/>
  <c r="R35" i="8"/>
  <c r="G35" i="8"/>
  <c r="AK35" i="8"/>
  <c r="AL35" i="8" s="1"/>
  <c r="N35" i="8"/>
  <c r="J35" i="8"/>
  <c r="K35" i="8"/>
  <c r="F35" i="8"/>
  <c r="AE35" i="8"/>
  <c r="AD43" i="8"/>
  <c r="AE43" i="8"/>
  <c r="Z43" i="8"/>
  <c r="AA43" i="8"/>
  <c r="O43" i="8"/>
  <c r="AK43" i="8"/>
  <c r="AL43" i="8" s="1"/>
  <c r="AH43" i="8"/>
  <c r="W43" i="8"/>
  <c r="S43" i="8"/>
  <c r="G43" i="8"/>
  <c r="K43" i="8"/>
  <c r="F43" i="8"/>
  <c r="R43" i="8"/>
  <c r="J43" i="8"/>
  <c r="N43" i="8"/>
  <c r="AI43" i="8"/>
  <c r="AD51" i="8"/>
  <c r="Z51" i="8"/>
  <c r="AA51" i="8"/>
  <c r="O51" i="8"/>
  <c r="AI51" i="8"/>
  <c r="AH51" i="8"/>
  <c r="AE51" i="8"/>
  <c r="W51" i="8"/>
  <c r="S51" i="8"/>
  <c r="AK51" i="8"/>
  <c r="AL51" i="8" s="1"/>
  <c r="G51" i="8"/>
  <c r="N51" i="8"/>
  <c r="K51" i="8"/>
  <c r="F51" i="8"/>
  <c r="J51" i="8"/>
  <c r="R51" i="8"/>
  <c r="AK59" i="8"/>
  <c r="AL59" i="8" s="1"/>
  <c r="AD59" i="8"/>
  <c r="Z59" i="8"/>
  <c r="AA59" i="8"/>
  <c r="O59" i="8"/>
  <c r="AI59" i="8"/>
  <c r="AH59" i="8"/>
  <c r="AE59" i="8"/>
  <c r="W59" i="8"/>
  <c r="S59" i="8"/>
  <c r="G59" i="8"/>
  <c r="K59" i="8"/>
  <c r="F59" i="8"/>
  <c r="R59" i="8"/>
  <c r="J59" i="8"/>
  <c r="N59" i="8"/>
  <c r="W15" i="8"/>
  <c r="S15" i="8"/>
  <c r="AK15" i="8"/>
  <c r="AL15" i="8" s="1"/>
  <c r="AH15" i="8"/>
  <c r="AD15" i="8"/>
  <c r="AE15" i="8"/>
  <c r="Z15" i="8"/>
  <c r="AA15" i="8"/>
  <c r="O15" i="8"/>
  <c r="AI15" i="8"/>
  <c r="N15" i="8"/>
  <c r="J15" i="8"/>
  <c r="F15" i="8"/>
  <c r="K15" i="8"/>
  <c r="G15" i="8"/>
  <c r="R15" i="8"/>
  <c r="AK4" i="8"/>
  <c r="AL4" i="8" s="1"/>
  <c r="Z4" i="8"/>
  <c r="AA4" i="8" s="1"/>
  <c r="AC4" i="8" s="1"/>
  <c r="R4" i="8"/>
  <c r="S4" i="8" s="1"/>
  <c r="U4" i="8" s="1"/>
  <c r="AH4" i="8"/>
  <c r="AI4" i="8" s="1"/>
  <c r="AD4" i="8"/>
  <c r="AE4" i="8" s="1"/>
  <c r="V4" i="8"/>
  <c r="W4" i="8" s="1"/>
  <c r="Y4" i="8" s="1"/>
  <c r="N4" i="8"/>
  <c r="O4" i="8" s="1"/>
  <c r="Q4" i="8" s="1"/>
  <c r="J4" i="8"/>
  <c r="K4" i="8" s="1"/>
  <c r="M4" i="8" s="1"/>
  <c r="AH12" i="8"/>
  <c r="AI12" i="8" s="1"/>
  <c r="Z12" i="8"/>
  <c r="AA12" i="8" s="1"/>
  <c r="AC12" i="8" s="1"/>
  <c r="R12" i="8"/>
  <c r="S12" i="8" s="1"/>
  <c r="U12" i="8" s="1"/>
  <c r="N12" i="8"/>
  <c r="O12" i="8" s="1"/>
  <c r="Q12" i="8" s="1"/>
  <c r="F12" i="8"/>
  <c r="G12" i="8" s="1"/>
  <c r="I12" i="8" s="1"/>
  <c r="AK12" i="8"/>
  <c r="AL12" i="8" s="1"/>
  <c r="AD12" i="8"/>
  <c r="AE12" i="8" s="1"/>
  <c r="AG12" i="8" s="1"/>
  <c r="J12" i="8"/>
  <c r="K12" i="8" s="1"/>
  <c r="M12" i="8" s="1"/>
  <c r="AE20" i="8"/>
  <c r="AA20" i="8"/>
  <c r="AI20" i="8"/>
  <c r="Z20" i="8"/>
  <c r="R20" i="8"/>
  <c r="W20" i="8"/>
  <c r="N20" i="8"/>
  <c r="AH20" i="8"/>
  <c r="F20" i="8"/>
  <c r="AK20" i="8"/>
  <c r="AL20" i="8" s="1"/>
  <c r="AD20" i="8"/>
  <c r="K20" i="8"/>
  <c r="J20" i="8"/>
  <c r="O20" i="8"/>
  <c r="S20" i="8"/>
  <c r="G20" i="8"/>
  <c r="Z28" i="8"/>
  <c r="AA28" i="8" s="1"/>
  <c r="AC28" i="8" s="1"/>
  <c r="R28" i="8"/>
  <c r="S28" i="8" s="1"/>
  <c r="U28" i="8" s="1"/>
  <c r="AH28" i="8"/>
  <c r="AI28" i="8" s="1"/>
  <c r="N28" i="8"/>
  <c r="O28" i="8" s="1"/>
  <c r="Q28" i="8" s="1"/>
  <c r="F28" i="8"/>
  <c r="G28" i="8" s="1"/>
  <c r="I28" i="8" s="1"/>
  <c r="J28" i="8"/>
  <c r="K28" i="8" s="1"/>
  <c r="M28" i="8" s="1"/>
  <c r="AK28" i="8"/>
  <c r="AL28" i="8" s="1"/>
  <c r="AD28" i="8"/>
  <c r="AE28" i="8" s="1"/>
  <c r="AG28" i="8" s="1"/>
  <c r="Z36" i="8"/>
  <c r="AA36" i="8" s="1"/>
  <c r="AC36" i="8" s="1"/>
  <c r="R36" i="8"/>
  <c r="S36" i="8" s="1"/>
  <c r="U36" i="8" s="1"/>
  <c r="AK36" i="8"/>
  <c r="AL36" i="8" s="1"/>
  <c r="N36" i="8"/>
  <c r="O36" i="8" s="1"/>
  <c r="Q36" i="8" s="1"/>
  <c r="F36" i="8"/>
  <c r="G36" i="8" s="1"/>
  <c r="I36" i="8" s="1"/>
  <c r="AH36" i="8"/>
  <c r="AI36" i="8" s="1"/>
  <c r="J36" i="8"/>
  <c r="K36" i="8" s="1"/>
  <c r="M36" i="8" s="1"/>
  <c r="AD36" i="8"/>
  <c r="AE36" i="8" s="1"/>
  <c r="AG36" i="8" s="1"/>
  <c r="AH44" i="8"/>
  <c r="AI44" i="8" s="1"/>
  <c r="Z44" i="8"/>
  <c r="AA44" i="8" s="1"/>
  <c r="AC44" i="8" s="1"/>
  <c r="R44" i="8"/>
  <c r="S44" i="8" s="1"/>
  <c r="U44" i="8" s="1"/>
  <c r="N44" i="8"/>
  <c r="O44" i="8" s="1"/>
  <c r="Q44" i="8" s="1"/>
  <c r="F44" i="8"/>
  <c r="G44" i="8" s="1"/>
  <c r="I44" i="8" s="1"/>
  <c r="AK44" i="8"/>
  <c r="AL44" i="8" s="1"/>
  <c r="AD44" i="8"/>
  <c r="AE44" i="8" s="1"/>
  <c r="AG44" i="8" s="1"/>
  <c r="J44" i="8"/>
  <c r="K44" i="8" s="1"/>
  <c r="M44" i="8" s="1"/>
  <c r="AA52" i="8"/>
  <c r="AK52" i="8"/>
  <c r="AL52" i="8" s="1"/>
  <c r="Z52" i="8"/>
  <c r="R52" i="8"/>
  <c r="AH52" i="8"/>
  <c r="W52" i="8"/>
  <c r="N52" i="8"/>
  <c r="F52" i="8"/>
  <c r="J52" i="8"/>
  <c r="AD52" i="8"/>
  <c r="AE52" i="8"/>
  <c r="AI52" i="8"/>
  <c r="K52" i="8"/>
  <c r="G52" i="8"/>
  <c r="O52" i="8"/>
  <c r="S52" i="8"/>
  <c r="AA60" i="8"/>
  <c r="Z60" i="8"/>
  <c r="R60" i="8"/>
  <c r="AH60" i="8"/>
  <c r="W60" i="8"/>
  <c r="N60" i="8"/>
  <c r="F60" i="8"/>
  <c r="S60" i="8"/>
  <c r="K60" i="8"/>
  <c r="AI60" i="8"/>
  <c r="AK60" i="8"/>
  <c r="AL60" i="8" s="1"/>
  <c r="J60" i="8"/>
  <c r="O60" i="8"/>
  <c r="AD60" i="8"/>
  <c r="AE60" i="8"/>
  <c r="G60" i="8"/>
  <c r="AH13" i="8"/>
  <c r="AA13" i="8"/>
  <c r="S13" i="8"/>
  <c r="R13" i="8"/>
  <c r="AE13" i="8"/>
  <c r="W13" i="8"/>
  <c r="O13" i="8"/>
  <c r="N13" i="8"/>
  <c r="AK13" i="8"/>
  <c r="AL13" i="8" s="1"/>
  <c r="AD13" i="8"/>
  <c r="Z13" i="8"/>
  <c r="G13" i="8"/>
  <c r="AI13" i="8"/>
  <c r="K13" i="8"/>
  <c r="J13" i="8"/>
  <c r="F13" i="8"/>
  <c r="AI21" i="8"/>
  <c r="AA21" i="8"/>
  <c r="S21" i="8"/>
  <c r="AH21" i="8"/>
  <c r="AE21" i="8"/>
  <c r="R21" i="8"/>
  <c r="W21" i="8"/>
  <c r="O21" i="8"/>
  <c r="N21" i="8"/>
  <c r="AK21" i="8"/>
  <c r="AL21" i="8" s="1"/>
  <c r="AD21" i="8"/>
  <c r="Z21" i="8"/>
  <c r="K21" i="8"/>
  <c r="G21" i="8"/>
  <c r="J21" i="8"/>
  <c r="F21" i="8"/>
  <c r="AA29" i="8"/>
  <c r="S29" i="8"/>
  <c r="R29" i="8"/>
  <c r="AH29" i="8"/>
  <c r="W29" i="8"/>
  <c r="O29" i="8"/>
  <c r="N29" i="8"/>
  <c r="AK29" i="8"/>
  <c r="AL29" i="8" s="1"/>
  <c r="AD29" i="8"/>
  <c r="AE29" i="8"/>
  <c r="G29" i="8"/>
  <c r="K29" i="8"/>
  <c r="AI29" i="8"/>
  <c r="Z29" i="8"/>
  <c r="J29" i="8"/>
  <c r="F29" i="8"/>
  <c r="R37" i="8"/>
  <c r="S37" i="8" s="1"/>
  <c r="U37" i="8" s="1"/>
  <c r="AK37" i="8"/>
  <c r="AL37" i="8" s="1"/>
  <c r="N37" i="8"/>
  <c r="O37" i="8" s="1"/>
  <c r="Q37" i="8" s="1"/>
  <c r="AH37" i="8"/>
  <c r="AI37" i="8" s="1"/>
  <c r="AD37" i="8"/>
  <c r="AE37" i="8" s="1"/>
  <c r="AG37" i="8" s="1"/>
  <c r="Z37" i="8"/>
  <c r="AA37" i="8" s="1"/>
  <c r="AC37" i="8" s="1"/>
  <c r="J37" i="8"/>
  <c r="K37" i="8" s="1"/>
  <c r="M37" i="8" s="1"/>
  <c r="F37" i="8"/>
  <c r="G37" i="8" s="1"/>
  <c r="I37" i="8" s="1"/>
  <c r="AH45" i="8"/>
  <c r="AI45" i="8" s="1"/>
  <c r="R45" i="8"/>
  <c r="S45" i="8" s="1"/>
  <c r="U45" i="8" s="1"/>
  <c r="AK45" i="8"/>
  <c r="AL45" i="8" s="1"/>
  <c r="N45" i="8"/>
  <c r="O45" i="8" s="1"/>
  <c r="Q45" i="8" s="1"/>
  <c r="AD45" i="8"/>
  <c r="AE45" i="8" s="1"/>
  <c r="AG45" i="8" s="1"/>
  <c r="Z45" i="8"/>
  <c r="AA45" i="8" s="1"/>
  <c r="AC45" i="8" s="1"/>
  <c r="J45" i="8"/>
  <c r="K45" i="8" s="1"/>
  <c r="M45" i="8" s="1"/>
  <c r="F45" i="8"/>
  <c r="G45" i="8" s="1"/>
  <c r="I45" i="8" s="1"/>
  <c r="AE53" i="8"/>
  <c r="AA53" i="8"/>
  <c r="S53" i="8"/>
  <c r="AK53" i="8"/>
  <c r="AL53" i="8" s="1"/>
  <c r="AI53" i="8"/>
  <c r="R53" i="8"/>
  <c r="AH53" i="8"/>
  <c r="W53" i="8"/>
  <c r="O53" i="8"/>
  <c r="N53" i="8"/>
  <c r="AD53" i="8"/>
  <c r="G53" i="8"/>
  <c r="Z53" i="8"/>
  <c r="K53" i="8"/>
  <c r="J53" i="8"/>
  <c r="F53" i="8"/>
  <c r="R61" i="8"/>
  <c r="S61" i="8" s="1"/>
  <c r="U61" i="8" s="1"/>
  <c r="AH61" i="8"/>
  <c r="AI61" i="8" s="1"/>
  <c r="N61" i="8"/>
  <c r="O61" i="8" s="1"/>
  <c r="Q61" i="8" s="1"/>
  <c r="AK61" i="8"/>
  <c r="AL61" i="8" s="1"/>
  <c r="AD61" i="8"/>
  <c r="AE61" i="8" s="1"/>
  <c r="AG61" i="8" s="1"/>
  <c r="Z61" i="8"/>
  <c r="AA61" i="8" s="1"/>
  <c r="AC61" i="8" s="1"/>
  <c r="J61" i="8"/>
  <c r="K61" i="8" s="1"/>
  <c r="M61" i="8" s="1"/>
  <c r="F61" i="8"/>
  <c r="G61" i="8" s="1"/>
  <c r="I61" i="8" s="1"/>
  <c r="F4" i="8"/>
  <c r="G4" i="8" s="1"/>
  <c r="I4" i="8" s="1"/>
  <c r="AG59" i="8"/>
  <c r="M59" i="8"/>
  <c r="Y59" i="8"/>
  <c r="Q59" i="8"/>
  <c r="AC59" i="8"/>
  <c r="I59" i="8"/>
  <c r="U59" i="8"/>
  <c r="Q20" i="8"/>
  <c r="AC20" i="8"/>
  <c r="I20" i="8"/>
  <c r="U20" i="8"/>
  <c r="AG20" i="8"/>
  <c r="Y20" i="8"/>
  <c r="M20" i="8"/>
  <c r="M52" i="8"/>
  <c r="Y52" i="8"/>
  <c r="Q52" i="8"/>
  <c r="AC52" i="8"/>
  <c r="I52" i="8"/>
  <c r="AG52" i="8"/>
  <c r="U52" i="8"/>
  <c r="M60" i="8"/>
  <c r="Y60" i="8"/>
  <c r="AC60" i="8"/>
  <c r="Q60" i="8"/>
  <c r="I60" i="8"/>
  <c r="U60" i="8"/>
  <c r="AG60" i="8"/>
  <c r="Y11" i="8"/>
  <c r="Q11" i="8"/>
  <c r="AC11" i="8"/>
  <c r="I11" i="8"/>
  <c r="U11" i="8"/>
  <c r="M11" i="8"/>
  <c r="AG11" i="8"/>
  <c r="Q21" i="8"/>
  <c r="AC21" i="8"/>
  <c r="I21" i="8"/>
  <c r="AG21" i="8"/>
  <c r="U21" i="8"/>
  <c r="M21" i="8"/>
  <c r="Y21" i="8"/>
  <c r="Q29" i="8"/>
  <c r="AC29" i="8"/>
  <c r="I29" i="8"/>
  <c r="U29" i="8"/>
  <c r="AG29" i="8"/>
  <c r="M29" i="8"/>
  <c r="Y29" i="8"/>
  <c r="Y53" i="8"/>
  <c r="Q53" i="8"/>
  <c r="AC53" i="8"/>
  <c r="I53" i="8"/>
  <c r="U53" i="8"/>
  <c r="M53" i="8"/>
  <c r="AG53" i="8"/>
  <c r="Y27" i="8"/>
  <c r="I27" i="8"/>
  <c r="Q27" i="8"/>
  <c r="AC27" i="8"/>
  <c r="U27" i="8"/>
  <c r="M27" i="8"/>
  <c r="AG27" i="8"/>
  <c r="AC30" i="8"/>
  <c r="I30" i="8"/>
  <c r="U30" i="8"/>
  <c r="AG30" i="8"/>
  <c r="M30" i="8"/>
  <c r="Y30" i="8"/>
  <c r="Q30" i="8"/>
  <c r="Q38" i="8"/>
  <c r="AC38" i="8"/>
  <c r="AG38" i="8"/>
  <c r="I38" i="8"/>
  <c r="U38" i="8"/>
  <c r="M38" i="8"/>
  <c r="Y38" i="8"/>
  <c r="Q46" i="8"/>
  <c r="AG46" i="8"/>
  <c r="AC46" i="8"/>
  <c r="I46" i="8"/>
  <c r="U46" i="8"/>
  <c r="M46" i="8"/>
  <c r="Y46" i="8"/>
  <c r="Q54" i="8"/>
  <c r="AC54" i="8"/>
  <c r="I54" i="8"/>
  <c r="U54" i="8"/>
  <c r="AG54" i="8"/>
  <c r="M54" i="8"/>
  <c r="Y54" i="8"/>
  <c r="AC47" i="8"/>
  <c r="I47" i="8"/>
  <c r="U47" i="8"/>
  <c r="M47" i="8"/>
  <c r="AG47" i="8"/>
  <c r="Y47" i="8"/>
  <c r="Q47" i="8"/>
  <c r="Q55" i="8"/>
  <c r="AC55" i="8"/>
  <c r="I55" i="8"/>
  <c r="AG55" i="8"/>
  <c r="U55" i="8"/>
  <c r="M55" i="8"/>
  <c r="Y55" i="8"/>
  <c r="Y35" i="8"/>
  <c r="Q35" i="8"/>
  <c r="AC35" i="8"/>
  <c r="I35" i="8"/>
  <c r="U35" i="8"/>
  <c r="AG35" i="8"/>
  <c r="M35" i="8"/>
  <c r="Q13" i="8"/>
  <c r="AC13" i="8"/>
  <c r="I13" i="8"/>
  <c r="U13" i="8"/>
  <c r="AG13" i="8"/>
  <c r="M13" i="8"/>
  <c r="Y13" i="8"/>
  <c r="AC14" i="8"/>
  <c r="I14" i="8"/>
  <c r="U14" i="8"/>
  <c r="AG14" i="8"/>
  <c r="M14" i="8"/>
  <c r="Y14" i="8"/>
  <c r="Q14" i="8"/>
  <c r="I15" i="8"/>
  <c r="U15" i="8"/>
  <c r="AG15" i="8"/>
  <c r="M15" i="8"/>
  <c r="Y15" i="8"/>
  <c r="Q15" i="8"/>
  <c r="AC15" i="8"/>
  <c r="I23" i="8"/>
  <c r="U23" i="8"/>
  <c r="AG23" i="8"/>
  <c r="Y23" i="8"/>
  <c r="M23" i="8"/>
  <c r="AC23" i="8"/>
  <c r="Q23" i="8"/>
  <c r="I31" i="8"/>
  <c r="U31" i="8"/>
  <c r="AG31" i="8"/>
  <c r="M31" i="8"/>
  <c r="Y31" i="8"/>
  <c r="AC31" i="8"/>
  <c r="Q31" i="8"/>
  <c r="U8" i="8"/>
  <c r="AG8" i="8"/>
  <c r="M8" i="8"/>
  <c r="Y8" i="8"/>
  <c r="Q8" i="8"/>
  <c r="AC8" i="8"/>
  <c r="I8" i="8"/>
  <c r="U16" i="8"/>
  <c r="AG16" i="8"/>
  <c r="M16" i="8"/>
  <c r="Y16" i="8"/>
  <c r="Q16" i="8"/>
  <c r="I16" i="8"/>
  <c r="AC16" i="8"/>
  <c r="U24" i="8"/>
  <c r="AG24" i="8"/>
  <c r="M24" i="8"/>
  <c r="Y24" i="8"/>
  <c r="Q24" i="8"/>
  <c r="AC24" i="8"/>
  <c r="I24" i="8"/>
  <c r="U32" i="8"/>
  <c r="AG32" i="8"/>
  <c r="M32" i="8"/>
  <c r="Y32" i="8"/>
  <c r="Q32" i="8"/>
  <c r="I32" i="8"/>
  <c r="AC32" i="8"/>
  <c r="I40" i="8"/>
  <c r="U40" i="8"/>
  <c r="AG40" i="8"/>
  <c r="Y40" i="8"/>
  <c r="M40" i="8"/>
  <c r="Q40" i="8"/>
  <c r="AC40" i="8"/>
  <c r="I48" i="8"/>
  <c r="U48" i="8"/>
  <c r="AG48" i="8"/>
  <c r="M48" i="8"/>
  <c r="Y48" i="8"/>
  <c r="AC48" i="8"/>
  <c r="Q48" i="8"/>
  <c r="AC56" i="8"/>
  <c r="I56" i="8"/>
  <c r="U56" i="8"/>
  <c r="AG56" i="8"/>
  <c r="M56" i="8"/>
  <c r="Y56" i="8"/>
  <c r="Q56" i="8"/>
  <c r="Y19" i="8"/>
  <c r="Q19" i="8"/>
  <c r="I19" i="8"/>
  <c r="AC19" i="8"/>
  <c r="U19" i="8"/>
  <c r="AG19" i="8"/>
  <c r="M19" i="8"/>
  <c r="AG9" i="8"/>
  <c r="M9" i="8"/>
  <c r="Y9" i="8"/>
  <c r="Q9" i="8"/>
  <c r="AC9" i="8"/>
  <c r="U9" i="8"/>
  <c r="I9" i="8"/>
  <c r="AG25" i="8"/>
  <c r="M25" i="8"/>
  <c r="Y25" i="8"/>
  <c r="Q25" i="8"/>
  <c r="AC25" i="8"/>
  <c r="I25" i="8"/>
  <c r="U25" i="8"/>
  <c r="U41" i="8"/>
  <c r="AG41" i="8"/>
  <c r="M41" i="8"/>
  <c r="Y41" i="8"/>
  <c r="Q41" i="8"/>
  <c r="AC41" i="8"/>
  <c r="I41" i="8"/>
  <c r="U49" i="8"/>
  <c r="AG49" i="8"/>
  <c r="M49" i="8"/>
  <c r="Y49" i="8"/>
  <c r="Q49" i="8"/>
  <c r="I49" i="8"/>
  <c r="AC49" i="8"/>
  <c r="I57" i="8"/>
  <c r="U57" i="8"/>
  <c r="AG57" i="8"/>
  <c r="Y57" i="8"/>
  <c r="M57" i="8"/>
  <c r="Q57" i="8"/>
  <c r="AC57" i="8"/>
  <c r="M43" i="8"/>
  <c r="Y43" i="8"/>
  <c r="AC43" i="8"/>
  <c r="Q43" i="8"/>
  <c r="I43" i="8"/>
  <c r="AG43" i="8"/>
  <c r="U43" i="8"/>
  <c r="M18" i="8"/>
  <c r="Y18" i="8"/>
  <c r="AC18" i="8"/>
  <c r="Q18" i="8"/>
  <c r="I18" i="8"/>
  <c r="U18" i="8"/>
  <c r="AG18" i="8"/>
  <c r="M34" i="8"/>
  <c r="Y34" i="8"/>
  <c r="Q34" i="8"/>
  <c r="AC34" i="8"/>
  <c r="I34" i="8"/>
  <c r="U34" i="8"/>
  <c r="AG34" i="8"/>
  <c r="AG42" i="8"/>
  <c r="M42" i="8"/>
  <c r="Y42" i="8"/>
  <c r="Q42" i="8"/>
  <c r="AC42" i="8"/>
  <c r="I42" i="8"/>
  <c r="U42" i="8"/>
  <c r="AG50" i="8"/>
  <c r="M50" i="8"/>
  <c r="Y50" i="8"/>
  <c r="Q50" i="8"/>
  <c r="AC50" i="8"/>
  <c r="U50" i="8"/>
  <c r="I50" i="8"/>
  <c r="U58" i="8"/>
  <c r="AG58" i="8"/>
  <c r="M58" i="8"/>
  <c r="Y58" i="8"/>
  <c r="Q58" i="8"/>
  <c r="AC58" i="8"/>
  <c r="I58" i="8"/>
  <c r="AG5" i="8"/>
  <c r="V5" i="8"/>
  <c r="W5" i="8" s="1"/>
  <c r="Y5" i="8" s="1"/>
  <c r="V12" i="8"/>
  <c r="W12" i="8" s="1"/>
  <c r="Y12" i="8" s="1"/>
  <c r="V7" i="8"/>
  <c r="W7" i="8" s="1"/>
  <c r="Y7" i="8" s="1"/>
  <c r="V9" i="8"/>
  <c r="V25" i="8"/>
  <c r="V10" i="8"/>
  <c r="W10" i="8" s="1"/>
  <c r="Y10" i="8" s="1"/>
  <c r="V18" i="8"/>
  <c r="V26" i="8"/>
  <c r="W26" i="8" s="1"/>
  <c r="Y26" i="8" s="1"/>
  <c r="V34" i="8"/>
  <c r="V42" i="8"/>
  <c r="V50" i="8"/>
  <c r="V58" i="8"/>
  <c r="V11" i="8"/>
  <c r="V19" i="8"/>
  <c r="V27" i="8"/>
  <c r="V35" i="8"/>
  <c r="V43" i="8"/>
  <c r="V51" i="8"/>
  <c r="V59" i="8"/>
  <c r="V20" i="8"/>
  <c r="V28" i="8"/>
  <c r="W28" i="8" s="1"/>
  <c r="Y28" i="8" s="1"/>
  <c r="V36" i="8"/>
  <c r="W36" i="8" s="1"/>
  <c r="Y36" i="8" s="1"/>
  <c r="V44" i="8"/>
  <c r="W44" i="8" s="1"/>
  <c r="Y44" i="8" s="1"/>
  <c r="V52" i="8"/>
  <c r="V60" i="8"/>
  <c r="V21" i="8"/>
  <c r="V29" i="8"/>
  <c r="V37" i="8"/>
  <c r="W37" i="8" s="1"/>
  <c r="Y37" i="8" s="1"/>
  <c r="V45" i="8"/>
  <c r="W45" i="8" s="1"/>
  <c r="Y45" i="8" s="1"/>
  <c r="V53" i="8"/>
  <c r="V61" i="8"/>
  <c r="W61" i="8" s="1"/>
  <c r="Y61" i="8" s="1"/>
  <c r="V14" i="8"/>
  <c r="V22" i="8"/>
  <c r="W22" i="8" s="1"/>
  <c r="Y22" i="8" s="1"/>
  <c r="V30" i="8"/>
  <c r="V38" i="8"/>
  <c r="V46" i="8"/>
  <c r="V54" i="8"/>
  <c r="V13" i="8"/>
  <c r="V23" i="8"/>
  <c r="V31" i="8"/>
  <c r="V39" i="8"/>
  <c r="W39" i="8" s="1"/>
  <c r="Y39" i="8" s="1"/>
  <c r="V47" i="8"/>
  <c r="V55" i="8"/>
  <c r="V15" i="8"/>
  <c r="V8" i="8"/>
  <c r="V16" i="8"/>
  <c r="V24" i="8"/>
  <c r="V32" i="8"/>
  <c r="V40" i="8"/>
  <c r="V48" i="8"/>
  <c r="V56" i="8"/>
  <c r="V6" i="8"/>
  <c r="W6" i="8" s="1"/>
  <c r="Y6" i="8" s="1"/>
  <c r="V17" i="8"/>
  <c r="W17" i="8" s="1"/>
  <c r="Y17" i="8" s="1"/>
  <c r="V33" i="8"/>
  <c r="W33" i="8" s="1"/>
  <c r="Y33" i="8" s="1"/>
  <c r="V41" i="8"/>
  <c r="V49" i="8"/>
  <c r="V57" i="8"/>
  <c r="AG10" i="8"/>
  <c r="AG26" i="8"/>
  <c r="I51" i="8"/>
  <c r="Q51" i="8"/>
  <c r="M51" i="8"/>
  <c r="AG51" i="8"/>
  <c r="AC51" i="8"/>
  <c r="Y51" i="8"/>
  <c r="U51" i="8"/>
  <c r="AG4" i="8"/>
  <c r="AG6" i="8"/>
  <c r="AG17" i="8"/>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11" i="5"/>
  <c r="H10" i="5"/>
  <c r="H9" i="5"/>
  <c r="H8" i="5"/>
  <c r="H7" i="5"/>
  <c r="AK65" i="8" l="1"/>
  <c r="AL65" i="8" s="1"/>
  <c r="AD65" i="8"/>
  <c r="AE65" i="8" s="1"/>
  <c r="AH65" i="8"/>
  <c r="AI65" i="8" s="1"/>
  <c r="V65" i="8"/>
  <c r="W65" i="8" s="1"/>
  <c r="Z65" i="8"/>
  <c r="AA65" i="8" s="1"/>
  <c r="N65" i="8"/>
  <c r="O65" i="8" s="1"/>
  <c r="R65" i="8"/>
  <c r="S65" i="8" s="1"/>
  <c r="F65" i="8"/>
  <c r="J65" i="8"/>
  <c r="K65" i="8" s="1"/>
  <c r="D8" i="5"/>
  <c r="D9"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C8" i="5"/>
  <c r="E8" i="5" s="1"/>
  <c r="C9" i="5"/>
  <c r="E9" i="5" s="1"/>
  <c r="C10" i="5"/>
  <c r="E10" i="5" s="1"/>
  <c r="E11" i="5"/>
  <c r="C12" i="5"/>
  <c r="E12" i="5" s="1"/>
  <c r="C13" i="5"/>
  <c r="E13" i="5" s="1"/>
  <c r="C14" i="5"/>
  <c r="C15" i="5"/>
  <c r="E15" i="5" s="1"/>
  <c r="C16" i="5"/>
  <c r="E16" i="5" s="1"/>
  <c r="C17" i="5"/>
  <c r="E17" i="5" s="1"/>
  <c r="C18" i="5"/>
  <c r="E18" i="5" s="1"/>
  <c r="C19" i="5"/>
  <c r="E19" i="5" s="1"/>
  <c r="C20" i="5"/>
  <c r="E20" i="5" s="1"/>
  <c r="C21" i="5"/>
  <c r="E21" i="5" s="1"/>
  <c r="C22" i="5"/>
  <c r="E22" i="5" s="1"/>
  <c r="C23" i="5"/>
  <c r="E23" i="5" s="1"/>
  <c r="C24" i="5"/>
  <c r="E24" i="5" s="1"/>
  <c r="C25" i="5"/>
  <c r="E25" i="5" s="1"/>
  <c r="C26" i="5"/>
  <c r="E26" i="5" s="1"/>
  <c r="C27" i="5"/>
  <c r="E27" i="5" s="1"/>
  <c r="C28" i="5"/>
  <c r="E28" i="5" s="1"/>
  <c r="C29" i="5"/>
  <c r="E29" i="5" s="1"/>
  <c r="C30" i="5"/>
  <c r="E30" i="5" s="1"/>
  <c r="C31" i="5"/>
  <c r="E31" i="5" s="1"/>
  <c r="C32" i="5"/>
  <c r="E32" i="5" s="1"/>
  <c r="C33" i="5"/>
  <c r="E33" i="5" s="1"/>
  <c r="C34" i="5"/>
  <c r="E34" i="5" s="1"/>
  <c r="C35" i="5"/>
  <c r="E35" i="5" s="1"/>
  <c r="C36" i="5"/>
  <c r="E36" i="5" s="1"/>
  <c r="C37" i="5"/>
  <c r="E37" i="5" s="1"/>
  <c r="C38" i="5"/>
  <c r="E38" i="5" s="1"/>
  <c r="C39" i="5"/>
  <c r="E39" i="5" s="1"/>
  <c r="C40" i="5"/>
  <c r="E40" i="5" s="1"/>
  <c r="C41" i="5"/>
  <c r="E41" i="5" s="1"/>
  <c r="C42" i="5"/>
  <c r="E42" i="5" s="1"/>
  <c r="C43" i="5"/>
  <c r="E43" i="5" s="1"/>
  <c r="C44" i="5"/>
  <c r="E44" i="5" s="1"/>
  <c r="C45" i="5"/>
  <c r="E45" i="5" s="1"/>
  <c r="C46" i="5"/>
  <c r="E46" i="5" s="1"/>
  <c r="C47" i="5"/>
  <c r="E47" i="5" s="1"/>
  <c r="C48" i="5"/>
  <c r="E48" i="5" s="1"/>
  <c r="C49" i="5"/>
  <c r="E49" i="5" s="1"/>
  <c r="C50" i="5"/>
  <c r="E50" i="5" s="1"/>
  <c r="C51" i="5"/>
  <c r="E51" i="5" s="1"/>
  <c r="C52" i="5"/>
  <c r="E52" i="5" s="1"/>
  <c r="C53" i="5"/>
  <c r="E53" i="5" s="1"/>
  <c r="C54" i="5"/>
  <c r="E54" i="5" s="1"/>
  <c r="C55" i="5"/>
  <c r="E55" i="5" s="1"/>
  <c r="C56" i="5"/>
  <c r="E56" i="5" s="1"/>
  <c r="C57" i="5"/>
  <c r="E57" i="5" s="1"/>
  <c r="C58" i="5"/>
  <c r="E58" i="5" s="1"/>
  <c r="C59" i="5"/>
  <c r="E59" i="5" s="1"/>
  <c r="C60" i="5"/>
  <c r="E60" i="5" s="1"/>
  <c r="C61" i="5"/>
  <c r="E61" i="5" s="1"/>
  <c r="C62" i="5"/>
  <c r="E62" i="5" s="1"/>
  <c r="C63" i="5"/>
  <c r="E63" i="5" s="1"/>
  <c r="C64" i="5"/>
  <c r="E64" i="5" s="1"/>
  <c r="C65" i="5"/>
  <c r="E65" i="5" s="1"/>
  <c r="C66" i="5"/>
  <c r="E66" i="5" s="1"/>
  <c r="C67" i="5"/>
  <c r="E67" i="5" s="1"/>
  <c r="C68" i="5"/>
  <c r="E68" i="5" s="1"/>
  <c r="C69" i="5"/>
  <c r="E69" i="5" s="1"/>
  <c r="C70" i="5"/>
  <c r="E70" i="5" s="1"/>
  <c r="C71" i="5"/>
  <c r="E71" i="5" s="1"/>
  <c r="C72" i="5"/>
  <c r="E72" i="5" s="1"/>
  <c r="C73" i="5"/>
  <c r="E73" i="5" s="1"/>
  <c r="C74" i="5"/>
  <c r="E74" i="5" s="1"/>
  <c r="C75" i="5"/>
  <c r="E75" i="5" s="1"/>
  <c r="C76" i="5"/>
  <c r="E76" i="5" s="1"/>
  <c r="C77" i="5"/>
  <c r="E77" i="5" s="1"/>
  <c r="C78" i="5"/>
  <c r="E78" i="5" s="1"/>
  <c r="C79" i="5"/>
  <c r="E79" i="5" s="1"/>
  <c r="C80" i="5"/>
  <c r="E80" i="5" s="1"/>
  <c r="C81" i="5"/>
  <c r="E81" i="5" s="1"/>
  <c r="C82" i="5"/>
  <c r="E82" i="5" s="1"/>
  <c r="C83" i="5"/>
  <c r="E83" i="5" s="1"/>
  <c r="C84" i="5"/>
  <c r="E84" i="5" s="1"/>
  <c r="C85" i="5"/>
  <c r="E85" i="5" s="1"/>
  <c r="C86" i="5"/>
  <c r="E86" i="5" s="1"/>
  <c r="C87" i="5"/>
  <c r="E87" i="5" s="1"/>
  <c r="C88" i="5"/>
  <c r="E88" i="5" s="1"/>
  <c r="C89" i="5"/>
  <c r="E89" i="5" s="1"/>
  <c r="C90" i="5"/>
  <c r="E90" i="5" s="1"/>
  <c r="C91" i="5"/>
  <c r="E91" i="5" s="1"/>
  <c r="C92" i="5"/>
  <c r="E92" i="5" s="1"/>
  <c r="C93" i="5"/>
  <c r="E93" i="5" s="1"/>
  <c r="C94" i="5"/>
  <c r="E94" i="5" s="1"/>
  <c r="C95" i="5"/>
  <c r="E95" i="5" s="1"/>
  <c r="C96" i="5"/>
  <c r="E96" i="5" s="1"/>
  <c r="C97" i="5"/>
  <c r="E97" i="5" s="1"/>
  <c r="C98" i="5"/>
  <c r="E98" i="5" s="1"/>
  <c r="C99" i="5"/>
  <c r="E99" i="5" s="1"/>
  <c r="C100" i="5"/>
  <c r="E100" i="5" s="1"/>
  <c r="C101" i="5"/>
  <c r="E101" i="5" s="1"/>
  <c r="C102" i="5"/>
  <c r="E102" i="5" s="1"/>
  <c r="C103" i="5"/>
  <c r="E103" i="5" s="1"/>
  <c r="C104" i="5"/>
  <c r="E104" i="5" s="1"/>
  <c r="C105" i="5"/>
  <c r="E105" i="5" s="1"/>
  <c r="C106" i="5"/>
  <c r="E106" i="5" s="1"/>
  <c r="C107" i="5"/>
  <c r="E107" i="5" s="1"/>
  <c r="C108" i="5"/>
  <c r="E108" i="5" s="1"/>
  <c r="C109" i="5"/>
  <c r="E109" i="5" s="1"/>
  <c r="C110" i="5"/>
  <c r="E110" i="5" s="1"/>
  <c r="C111" i="5"/>
  <c r="E111" i="5" s="1"/>
  <c r="C112" i="5"/>
  <c r="E112" i="5" s="1"/>
  <c r="C113" i="5"/>
  <c r="E113" i="5" s="1"/>
  <c r="C114" i="5"/>
  <c r="E114" i="5" s="1"/>
  <c r="C115" i="5"/>
  <c r="E115" i="5" s="1"/>
  <c r="C116" i="5"/>
  <c r="E116" i="5" s="1"/>
  <c r="C117" i="5"/>
  <c r="E117" i="5" s="1"/>
  <c r="C118" i="5"/>
  <c r="E118" i="5" s="1"/>
  <c r="C119" i="5"/>
  <c r="E119" i="5" s="1"/>
  <c r="C120" i="5"/>
  <c r="E120" i="5" s="1"/>
  <c r="C121" i="5"/>
  <c r="E121" i="5" s="1"/>
  <c r="C122" i="5"/>
  <c r="E122" i="5" s="1"/>
  <c r="C123" i="5"/>
  <c r="E123" i="5" s="1"/>
  <c r="C124" i="5"/>
  <c r="E124" i="5" s="1"/>
  <c r="C125" i="5"/>
  <c r="E125" i="5" s="1"/>
  <c r="C126" i="5"/>
  <c r="E126" i="5" s="1"/>
  <c r="C127" i="5"/>
  <c r="E127" i="5" s="1"/>
  <c r="C128" i="5"/>
  <c r="E128" i="5" s="1"/>
  <c r="C129" i="5"/>
  <c r="E129" i="5" s="1"/>
  <c r="C130" i="5"/>
  <c r="E130" i="5" s="1"/>
  <c r="C131" i="5"/>
  <c r="E131" i="5" s="1"/>
  <c r="C132" i="5"/>
  <c r="E132" i="5" s="1"/>
  <c r="C133" i="5"/>
  <c r="E133" i="5" s="1"/>
  <c r="C134" i="5"/>
  <c r="E134" i="5" s="1"/>
  <c r="C135" i="5"/>
  <c r="E135" i="5" s="1"/>
  <c r="C136" i="5"/>
  <c r="E136" i="5" s="1"/>
  <c r="C137" i="5"/>
  <c r="E137" i="5" s="1"/>
  <c r="C138" i="5"/>
  <c r="E138" i="5" s="1"/>
  <c r="C139" i="5"/>
  <c r="E139" i="5" s="1"/>
  <c r="C140" i="5"/>
  <c r="E140" i="5" s="1"/>
  <c r="C141" i="5"/>
  <c r="E141" i="5" s="1"/>
  <c r="C142" i="5"/>
  <c r="E142" i="5" s="1"/>
  <c r="C143" i="5"/>
  <c r="E143" i="5" s="1"/>
  <c r="C144" i="5"/>
  <c r="E144" i="5" s="1"/>
  <c r="C145" i="5"/>
  <c r="E145" i="5" s="1"/>
  <c r="C146" i="5"/>
  <c r="E146" i="5" s="1"/>
  <c r="C147" i="5"/>
  <c r="E147" i="5" s="1"/>
  <c r="C148" i="5"/>
  <c r="E148" i="5" s="1"/>
  <c r="C149" i="5"/>
  <c r="E149" i="5" s="1"/>
  <c r="C150" i="5"/>
  <c r="E150" i="5" s="1"/>
  <c r="C151" i="5"/>
  <c r="E151" i="5" s="1"/>
  <c r="C152" i="5"/>
  <c r="E152" i="5" s="1"/>
  <c r="C153" i="5"/>
  <c r="E153" i="5" s="1"/>
  <c r="C154" i="5"/>
  <c r="E154" i="5" s="1"/>
  <c r="C155" i="5"/>
  <c r="E155" i="5" s="1"/>
  <c r="C156" i="5"/>
  <c r="E156" i="5" s="1"/>
  <c r="C157" i="5"/>
  <c r="E157" i="5" s="1"/>
  <c r="C158" i="5"/>
  <c r="E158" i="5" s="1"/>
  <c r="C159" i="5"/>
  <c r="E159" i="5" s="1"/>
  <c r="C160" i="5"/>
  <c r="E160" i="5" s="1"/>
  <c r="C161" i="5"/>
  <c r="E161" i="5" s="1"/>
  <c r="C162" i="5"/>
  <c r="E162" i="5" s="1"/>
  <c r="C163" i="5"/>
  <c r="E163" i="5" s="1"/>
  <c r="C164" i="5"/>
  <c r="E164" i="5" s="1"/>
  <c r="C165" i="5"/>
  <c r="E165" i="5" s="1"/>
  <c r="C166" i="5"/>
  <c r="E166" i="5" s="1"/>
  <c r="C167" i="5"/>
  <c r="E167" i="5" s="1"/>
  <c r="C168" i="5"/>
  <c r="E168" i="5" s="1"/>
  <c r="C169" i="5"/>
  <c r="E169" i="5" s="1"/>
  <c r="C170" i="5"/>
  <c r="E170" i="5" s="1"/>
  <c r="C171" i="5"/>
  <c r="E171" i="5" s="1"/>
  <c r="C172" i="5"/>
  <c r="E172" i="5" s="1"/>
  <c r="C173" i="5"/>
  <c r="E173" i="5" s="1"/>
  <c r="C174" i="5"/>
  <c r="E174" i="5" s="1"/>
  <c r="C175" i="5"/>
  <c r="E175" i="5" s="1"/>
  <c r="C176" i="5"/>
  <c r="E176" i="5" s="1"/>
  <c r="C177" i="5"/>
  <c r="E177" i="5" s="1"/>
  <c r="C178" i="5"/>
  <c r="E178" i="5" s="1"/>
  <c r="C179" i="5"/>
  <c r="E179" i="5" s="1"/>
  <c r="C180" i="5"/>
  <c r="E180" i="5" s="1"/>
  <c r="C181" i="5"/>
  <c r="E181" i="5" s="1"/>
  <c r="C182" i="5"/>
  <c r="E182" i="5" s="1"/>
  <c r="C183" i="5"/>
  <c r="E183" i="5" s="1"/>
  <c r="C184" i="5"/>
  <c r="E184" i="5" s="1"/>
  <c r="C185" i="5"/>
  <c r="E185" i="5" s="1"/>
  <c r="C186" i="5"/>
  <c r="E186" i="5" s="1"/>
  <c r="C187" i="5"/>
  <c r="E187" i="5" s="1"/>
  <c r="C188" i="5"/>
  <c r="E188" i="5" s="1"/>
  <c r="C189" i="5"/>
  <c r="E189" i="5" s="1"/>
  <c r="C190" i="5"/>
  <c r="E190" i="5" s="1"/>
  <c r="C191" i="5"/>
  <c r="E191" i="5" s="1"/>
  <c r="C192" i="5"/>
  <c r="E192" i="5" s="1"/>
  <c r="C193" i="5"/>
  <c r="E193" i="5" s="1"/>
  <c r="C194" i="5"/>
  <c r="E194" i="5" s="1"/>
  <c r="C195" i="5"/>
  <c r="E195" i="5" s="1"/>
  <c r="C196" i="5"/>
  <c r="E196" i="5" s="1"/>
  <c r="C197" i="5"/>
  <c r="E197" i="5" s="1"/>
  <c r="C198" i="5"/>
  <c r="E198" i="5" s="1"/>
  <c r="C199" i="5"/>
  <c r="E199" i="5" s="1"/>
  <c r="C200" i="5"/>
  <c r="E200" i="5" s="1"/>
  <c r="C201" i="5"/>
  <c r="E201" i="5" s="1"/>
  <c r="C202" i="5"/>
  <c r="E202" i="5" s="1"/>
  <c r="C203" i="5"/>
  <c r="E203" i="5" s="1"/>
  <c r="C204" i="5"/>
  <c r="E204" i="5" s="1"/>
  <c r="C205" i="5"/>
  <c r="E205" i="5" s="1"/>
  <c r="C206" i="5"/>
  <c r="E206" i="5" s="1"/>
  <c r="C207" i="5"/>
  <c r="E207" i="5" s="1"/>
  <c r="C208" i="5"/>
  <c r="E208" i="5" s="1"/>
  <c r="C209" i="5"/>
  <c r="E209" i="5" s="1"/>
  <c r="C210" i="5"/>
  <c r="E210" i="5" s="1"/>
  <c r="C211" i="5"/>
  <c r="E211" i="5" s="1"/>
  <c r="C212" i="5"/>
  <c r="E212" i="5" s="1"/>
  <c r="C213" i="5"/>
  <c r="E213" i="5" s="1"/>
  <c r="C214" i="5"/>
  <c r="E214" i="5" s="1"/>
  <c r="C215" i="5"/>
  <c r="E215" i="5" s="1"/>
  <c r="C216" i="5"/>
  <c r="E216" i="5" s="1"/>
  <c r="C217" i="5"/>
  <c r="E217" i="5" s="1"/>
  <c r="C218" i="5"/>
  <c r="E218" i="5" s="1"/>
  <c r="C219" i="5"/>
  <c r="E219" i="5" s="1"/>
  <c r="C220" i="5"/>
  <c r="E220" i="5" s="1"/>
  <c r="C221" i="5"/>
  <c r="E221" i="5" s="1"/>
  <c r="C222" i="5"/>
  <c r="E222" i="5" s="1"/>
  <c r="C223" i="5"/>
  <c r="E223" i="5" s="1"/>
  <c r="C224" i="5"/>
  <c r="E224" i="5" s="1"/>
  <c r="C225" i="5"/>
  <c r="E225" i="5" s="1"/>
  <c r="C226" i="5"/>
  <c r="E226" i="5" s="1"/>
  <c r="C227" i="5"/>
  <c r="E227" i="5" s="1"/>
  <c r="C228" i="5"/>
  <c r="E228" i="5" s="1"/>
  <c r="C229" i="5"/>
  <c r="E229" i="5" s="1"/>
  <c r="C230" i="5"/>
  <c r="E230" i="5" s="1"/>
  <c r="C231" i="5"/>
  <c r="E231" i="5" s="1"/>
  <c r="C232" i="5"/>
  <c r="E232" i="5" s="1"/>
  <c r="C233" i="5"/>
  <c r="E233" i="5" s="1"/>
  <c r="C234" i="5"/>
  <c r="E234" i="5" s="1"/>
  <c r="C235" i="5"/>
  <c r="E235" i="5" s="1"/>
  <c r="C236" i="5"/>
  <c r="E236" i="5" s="1"/>
  <c r="C237" i="5"/>
  <c r="E237" i="5" s="1"/>
  <c r="C238" i="5"/>
  <c r="E238" i="5" s="1"/>
  <c r="C239" i="5"/>
  <c r="E239" i="5" s="1"/>
  <c r="C240" i="5"/>
  <c r="E240" i="5" s="1"/>
  <c r="C241" i="5"/>
  <c r="E241" i="5" s="1"/>
  <c r="C242" i="5"/>
  <c r="E242" i="5" s="1"/>
  <c r="C243" i="5"/>
  <c r="E243" i="5" s="1"/>
  <c r="C244" i="5"/>
  <c r="E244" i="5" s="1"/>
  <c r="C245" i="5"/>
  <c r="E245" i="5" s="1"/>
  <c r="C246" i="5"/>
  <c r="E246" i="5" s="1"/>
  <c r="C247" i="5"/>
  <c r="E247" i="5" s="1"/>
  <c r="C248" i="5"/>
  <c r="E248" i="5" s="1"/>
  <c r="C249" i="5"/>
  <c r="E249" i="5" s="1"/>
  <c r="C250" i="5"/>
  <c r="E250" i="5" s="1"/>
  <c r="C251" i="5"/>
  <c r="E251" i="5" s="1"/>
  <c r="C252" i="5"/>
  <c r="E252" i="5" s="1"/>
  <c r="C253" i="5"/>
  <c r="E253" i="5" s="1"/>
  <c r="C254" i="5"/>
  <c r="E254" i="5" s="1"/>
  <c r="C255" i="5"/>
  <c r="E255" i="5" s="1"/>
  <c r="C256" i="5"/>
  <c r="E256" i="5" s="1"/>
  <c r="C257" i="5"/>
  <c r="E257" i="5" s="1"/>
  <c r="C258" i="5"/>
  <c r="E258" i="5" s="1"/>
  <c r="C259" i="5"/>
  <c r="E259" i="5" s="1"/>
  <c r="C260" i="5"/>
  <c r="E260" i="5" s="1"/>
  <c r="C261" i="5"/>
  <c r="E261" i="5" s="1"/>
  <c r="C262" i="5"/>
  <c r="E262" i="5" s="1"/>
  <c r="C263" i="5"/>
  <c r="E263" i="5" s="1"/>
  <c r="C264" i="5"/>
  <c r="E264" i="5" s="1"/>
  <c r="C265" i="5"/>
  <c r="E265" i="5" s="1"/>
  <c r="C266" i="5"/>
  <c r="E266" i="5" s="1"/>
  <c r="C267" i="5"/>
  <c r="E267" i="5" s="1"/>
  <c r="C268" i="5"/>
  <c r="E268" i="5" s="1"/>
  <c r="C269" i="5"/>
  <c r="E269" i="5" s="1"/>
  <c r="C270" i="5"/>
  <c r="E270" i="5" s="1"/>
  <c r="C271" i="5"/>
  <c r="E271" i="5" s="1"/>
  <c r="C272" i="5"/>
  <c r="E272" i="5" s="1"/>
  <c r="C273" i="5"/>
  <c r="E273" i="5" s="1"/>
  <c r="C274" i="5"/>
  <c r="E274" i="5" s="1"/>
  <c r="C275" i="5"/>
  <c r="E275" i="5" s="1"/>
  <c r="C276" i="5"/>
  <c r="E276" i="5" s="1"/>
  <c r="C277" i="5"/>
  <c r="E277" i="5" s="1"/>
  <c r="C278" i="5"/>
  <c r="E278" i="5" s="1"/>
  <c r="C279" i="5"/>
  <c r="E279" i="5" s="1"/>
  <c r="C280" i="5"/>
  <c r="E280" i="5" s="1"/>
  <c r="C281" i="5"/>
  <c r="E281" i="5" s="1"/>
  <c r="C282" i="5"/>
  <c r="E282" i="5" s="1"/>
  <c r="C283" i="5"/>
  <c r="E283" i="5" s="1"/>
  <c r="C284" i="5"/>
  <c r="E284" i="5" s="1"/>
  <c r="C285" i="5"/>
  <c r="E285" i="5" s="1"/>
  <c r="C286" i="5"/>
  <c r="E286" i="5" s="1"/>
  <c r="C287" i="5"/>
  <c r="E287" i="5" s="1"/>
  <c r="C288" i="5"/>
  <c r="E288" i="5" s="1"/>
  <c r="C289" i="5"/>
  <c r="E289" i="5" s="1"/>
  <c r="C290" i="5"/>
  <c r="E290" i="5" s="1"/>
  <c r="C291" i="5"/>
  <c r="E291" i="5" s="1"/>
  <c r="C292" i="5"/>
  <c r="E292" i="5" s="1"/>
  <c r="C293" i="5"/>
  <c r="E293" i="5" s="1"/>
  <c r="C294" i="5"/>
  <c r="E294" i="5" s="1"/>
  <c r="C295" i="5"/>
  <c r="E295" i="5" s="1"/>
  <c r="C296" i="5"/>
  <c r="E296" i="5" s="1"/>
  <c r="C297" i="5"/>
  <c r="E297" i="5" s="1"/>
  <c r="C298" i="5"/>
  <c r="E298" i="5" s="1"/>
  <c r="C299" i="5"/>
  <c r="E299" i="5" s="1"/>
  <c r="C300" i="5"/>
  <c r="E300" i="5" s="1"/>
  <c r="C301" i="5"/>
  <c r="E301" i="5" s="1"/>
  <c r="C302" i="5"/>
  <c r="E302" i="5" s="1"/>
  <c r="C303" i="5"/>
  <c r="E303" i="5" s="1"/>
  <c r="C304" i="5"/>
  <c r="E304" i="5" s="1"/>
  <c r="C305" i="5"/>
  <c r="E305" i="5" s="1"/>
  <c r="C306" i="5"/>
  <c r="E306" i="5" s="1"/>
  <c r="C307" i="5"/>
  <c r="E307" i="5" s="1"/>
  <c r="C308" i="5"/>
  <c r="E308" i="5" s="1"/>
  <c r="C309" i="5"/>
  <c r="E309" i="5" s="1"/>
  <c r="C310" i="5"/>
  <c r="E310" i="5" s="1"/>
  <c r="C311" i="5"/>
  <c r="E311" i="5" s="1"/>
  <c r="C312" i="5"/>
  <c r="E312" i="5" s="1"/>
  <c r="C313" i="5"/>
  <c r="E313" i="5" s="1"/>
  <c r="C314" i="5"/>
  <c r="E314" i="5" s="1"/>
  <c r="C315" i="5"/>
  <c r="E315" i="5" s="1"/>
  <c r="C316" i="5"/>
  <c r="E316" i="5" s="1"/>
  <c r="C317" i="5"/>
  <c r="E317" i="5" s="1"/>
  <c r="C318" i="5"/>
  <c r="E318" i="5" s="1"/>
  <c r="C319" i="5"/>
  <c r="E319" i="5" s="1"/>
  <c r="C320" i="5"/>
  <c r="E320" i="5" s="1"/>
  <c r="C321" i="5"/>
  <c r="E321" i="5" s="1"/>
  <c r="C322" i="5"/>
  <c r="E322" i="5" s="1"/>
  <c r="C323" i="5"/>
  <c r="E323" i="5" s="1"/>
  <c r="C324" i="5"/>
  <c r="E324" i="5" s="1"/>
  <c r="C325" i="5"/>
  <c r="E325" i="5" s="1"/>
  <c r="C326" i="5"/>
  <c r="E326" i="5" s="1"/>
  <c r="C327" i="5"/>
  <c r="E327" i="5" s="1"/>
  <c r="C328" i="5"/>
  <c r="E328" i="5" s="1"/>
  <c r="C329" i="5"/>
  <c r="E329" i="5" s="1"/>
  <c r="C330" i="5"/>
  <c r="E330" i="5" s="1"/>
  <c r="C331" i="5"/>
  <c r="E331" i="5" s="1"/>
  <c r="C332" i="5"/>
  <c r="E332" i="5" s="1"/>
  <c r="C333" i="5"/>
  <c r="E333" i="5" s="1"/>
  <c r="C334" i="5"/>
  <c r="E334" i="5" s="1"/>
  <c r="C335" i="5"/>
  <c r="E335" i="5" s="1"/>
  <c r="C336" i="5"/>
  <c r="E336" i="5" s="1"/>
  <c r="C337" i="5"/>
  <c r="E337" i="5" s="1"/>
  <c r="C338" i="5"/>
  <c r="E338" i="5" s="1"/>
  <c r="C339" i="5"/>
  <c r="E339" i="5" s="1"/>
  <c r="C340" i="5"/>
  <c r="E340" i="5" s="1"/>
  <c r="C341" i="5"/>
  <c r="E341" i="5" s="1"/>
  <c r="C342" i="5"/>
  <c r="E342" i="5" s="1"/>
  <c r="C343" i="5"/>
  <c r="E343" i="5" s="1"/>
  <c r="C344" i="5"/>
  <c r="E344" i="5" s="1"/>
  <c r="C345" i="5"/>
  <c r="E345" i="5" s="1"/>
  <c r="C346" i="5"/>
  <c r="E346" i="5" s="1"/>
  <c r="C347" i="5"/>
  <c r="E347" i="5" s="1"/>
  <c r="C348" i="5"/>
  <c r="E348" i="5" s="1"/>
  <c r="C349" i="5"/>
  <c r="E349" i="5" s="1"/>
  <c r="C350" i="5"/>
  <c r="E350" i="5" s="1"/>
  <c r="C351" i="5"/>
  <c r="E351" i="5" s="1"/>
  <c r="C352" i="5"/>
  <c r="E352" i="5" s="1"/>
  <c r="C353" i="5"/>
  <c r="E353" i="5" s="1"/>
  <c r="C354" i="5"/>
  <c r="E354" i="5" s="1"/>
  <c r="C355" i="5"/>
  <c r="E355" i="5" s="1"/>
  <c r="C356" i="5"/>
  <c r="E356" i="5" s="1"/>
  <c r="C357" i="5"/>
  <c r="E357" i="5" s="1"/>
  <c r="C358" i="5"/>
  <c r="E358" i="5" s="1"/>
  <c r="C359" i="5"/>
  <c r="E359" i="5" s="1"/>
  <c r="C360" i="5"/>
  <c r="E360" i="5" s="1"/>
  <c r="C361" i="5"/>
  <c r="E361" i="5" s="1"/>
  <c r="C362" i="5"/>
  <c r="E362" i="5" s="1"/>
  <c r="C363" i="5"/>
  <c r="E363" i="5" s="1"/>
  <c r="C364" i="5"/>
  <c r="E364" i="5" s="1"/>
  <c r="C365" i="5"/>
  <c r="E365" i="5" s="1"/>
  <c r="C366" i="5"/>
  <c r="E366" i="5" s="1"/>
  <c r="C367" i="5"/>
  <c r="E367" i="5" s="1"/>
  <c r="C368" i="5"/>
  <c r="E368" i="5" s="1"/>
  <c r="C369" i="5"/>
  <c r="E369" i="5" s="1"/>
  <c r="C370" i="5"/>
  <c r="E370" i="5" s="1"/>
  <c r="C371" i="5"/>
  <c r="E371" i="5" s="1"/>
  <c r="C372" i="5"/>
  <c r="E372" i="5" s="1"/>
  <c r="C373" i="5"/>
  <c r="E373" i="5" s="1"/>
  <c r="C374" i="5"/>
  <c r="E374" i="5" s="1"/>
  <c r="C375" i="5"/>
  <c r="E375" i="5" s="1"/>
  <c r="C376" i="5"/>
  <c r="E376" i="5" s="1"/>
  <c r="C377" i="5"/>
  <c r="E377" i="5" s="1"/>
  <c r="C378" i="5"/>
  <c r="E378" i="5" s="1"/>
  <c r="C379" i="5"/>
  <c r="E379" i="5" s="1"/>
  <c r="C380" i="5"/>
  <c r="E380" i="5" s="1"/>
  <c r="C381" i="5"/>
  <c r="E381" i="5" s="1"/>
  <c r="C382" i="5"/>
  <c r="E382" i="5" s="1"/>
  <c r="C383" i="5"/>
  <c r="E383" i="5" s="1"/>
  <c r="C384" i="5"/>
  <c r="E384" i="5" s="1"/>
  <c r="C385" i="5"/>
  <c r="E385" i="5" s="1"/>
  <c r="C386" i="5"/>
  <c r="E386" i="5" s="1"/>
  <c r="C387" i="5"/>
  <c r="E387" i="5" s="1"/>
  <c r="C388" i="5"/>
  <c r="E388" i="5" s="1"/>
  <c r="C389" i="5"/>
  <c r="E389" i="5" s="1"/>
  <c r="C390" i="5"/>
  <c r="E390" i="5" s="1"/>
  <c r="C391" i="5"/>
  <c r="E391" i="5" s="1"/>
  <c r="C392" i="5"/>
  <c r="E392" i="5" s="1"/>
  <c r="C393" i="5"/>
  <c r="E393" i="5" s="1"/>
  <c r="C394" i="5"/>
  <c r="E394" i="5" s="1"/>
  <c r="C395" i="5"/>
  <c r="E395" i="5" s="1"/>
  <c r="C396" i="5"/>
  <c r="E396" i="5" s="1"/>
  <c r="C397" i="5"/>
  <c r="E397" i="5" s="1"/>
  <c r="C398" i="5"/>
  <c r="E398" i="5" s="1"/>
  <c r="C399" i="5"/>
  <c r="E399" i="5" s="1"/>
  <c r="C400" i="5"/>
  <c r="E400" i="5" s="1"/>
  <c r="C401" i="5"/>
  <c r="E401" i="5" s="1"/>
  <c r="C402" i="5"/>
  <c r="E402" i="5" s="1"/>
  <c r="C403" i="5"/>
  <c r="E403" i="5" s="1"/>
  <c r="C404" i="5"/>
  <c r="E404" i="5" s="1"/>
  <c r="C405" i="5"/>
  <c r="E405" i="5" s="1"/>
  <c r="C406" i="5"/>
  <c r="E406" i="5" s="1"/>
  <c r="C407" i="5"/>
  <c r="E407" i="5" s="1"/>
  <c r="C408" i="5"/>
  <c r="E408" i="5" s="1"/>
  <c r="C409" i="5"/>
  <c r="E409" i="5" s="1"/>
  <c r="C410" i="5"/>
  <c r="E410" i="5" s="1"/>
  <c r="C411" i="5"/>
  <c r="E411" i="5" s="1"/>
  <c r="C412" i="5"/>
  <c r="E412" i="5" s="1"/>
  <c r="C413" i="5"/>
  <c r="E413" i="5" s="1"/>
  <c r="C414" i="5"/>
  <c r="E414" i="5" s="1"/>
  <c r="C415" i="5"/>
  <c r="E415" i="5" s="1"/>
  <c r="C416" i="5"/>
  <c r="E416" i="5" s="1"/>
  <c r="C417" i="5"/>
  <c r="E417" i="5" s="1"/>
  <c r="C418" i="5"/>
  <c r="E418" i="5" s="1"/>
  <c r="C419" i="5"/>
  <c r="E419" i="5" s="1"/>
  <c r="C420" i="5"/>
  <c r="E420" i="5" s="1"/>
  <c r="C421" i="5"/>
  <c r="E421" i="5" s="1"/>
  <c r="C422" i="5"/>
  <c r="E422" i="5" s="1"/>
  <c r="C423" i="5"/>
  <c r="E423" i="5" s="1"/>
  <c r="C424" i="5"/>
  <c r="E424" i="5" s="1"/>
  <c r="C425" i="5"/>
  <c r="E425" i="5" s="1"/>
  <c r="C426" i="5"/>
  <c r="E426" i="5" s="1"/>
  <c r="C427" i="5"/>
  <c r="E427" i="5" s="1"/>
  <c r="C428" i="5"/>
  <c r="E428" i="5" s="1"/>
  <c r="C429" i="5"/>
  <c r="E429" i="5" s="1"/>
  <c r="C430" i="5"/>
  <c r="E430" i="5" s="1"/>
  <c r="C431" i="5"/>
  <c r="E431" i="5" s="1"/>
  <c r="C432" i="5"/>
  <c r="E432" i="5" s="1"/>
  <c r="C433" i="5"/>
  <c r="E433" i="5" s="1"/>
  <c r="C434" i="5"/>
  <c r="E434" i="5" s="1"/>
  <c r="C435" i="5"/>
  <c r="E435" i="5" s="1"/>
  <c r="C436" i="5"/>
  <c r="E436" i="5" s="1"/>
  <c r="C437" i="5"/>
  <c r="E437" i="5" s="1"/>
  <c r="C438" i="5"/>
  <c r="E438" i="5" s="1"/>
  <c r="C439" i="5"/>
  <c r="E439" i="5" s="1"/>
  <c r="C440" i="5"/>
  <c r="E440" i="5" s="1"/>
  <c r="C441" i="5"/>
  <c r="E441" i="5" s="1"/>
  <c r="C442" i="5"/>
  <c r="E442" i="5" s="1"/>
  <c r="C443" i="5"/>
  <c r="E443" i="5" s="1"/>
  <c r="C444" i="5"/>
  <c r="E444" i="5" s="1"/>
  <c r="C445" i="5"/>
  <c r="E445" i="5" s="1"/>
  <c r="C446" i="5"/>
  <c r="E446" i="5" s="1"/>
  <c r="C447" i="5"/>
  <c r="E447" i="5" s="1"/>
  <c r="C448" i="5"/>
  <c r="E448" i="5" s="1"/>
  <c r="C449" i="5"/>
  <c r="E449" i="5" s="1"/>
  <c r="C450" i="5"/>
  <c r="E450" i="5" s="1"/>
  <c r="C451" i="5"/>
  <c r="E451" i="5" s="1"/>
  <c r="C452" i="5"/>
  <c r="E452" i="5" s="1"/>
  <c r="C453" i="5"/>
  <c r="E453" i="5" s="1"/>
  <c r="C454" i="5"/>
  <c r="E454" i="5" s="1"/>
  <c r="C455" i="5"/>
  <c r="E455" i="5" s="1"/>
  <c r="C456" i="5"/>
  <c r="E456" i="5" s="1"/>
  <c r="C457" i="5"/>
  <c r="E457" i="5" s="1"/>
  <c r="C458" i="5"/>
  <c r="E458" i="5" s="1"/>
  <c r="C459" i="5"/>
  <c r="E459" i="5" s="1"/>
  <c r="C460" i="5"/>
  <c r="E460" i="5" s="1"/>
  <c r="C461" i="5"/>
  <c r="E461" i="5" s="1"/>
  <c r="C462" i="5"/>
  <c r="E462" i="5" s="1"/>
  <c r="C463" i="5"/>
  <c r="E463" i="5" s="1"/>
  <c r="C464" i="5"/>
  <c r="E464" i="5" s="1"/>
  <c r="C465" i="5"/>
  <c r="E465" i="5" s="1"/>
  <c r="C466" i="5"/>
  <c r="E466" i="5" s="1"/>
  <c r="C467" i="5"/>
  <c r="E467" i="5" s="1"/>
  <c r="C468" i="5"/>
  <c r="E468" i="5" s="1"/>
  <c r="C469" i="5"/>
  <c r="E469" i="5" s="1"/>
  <c r="C470" i="5"/>
  <c r="E470" i="5" s="1"/>
  <c r="C471" i="5"/>
  <c r="E471" i="5" s="1"/>
  <c r="C472" i="5"/>
  <c r="E472" i="5" s="1"/>
  <c r="C473" i="5"/>
  <c r="E473" i="5" s="1"/>
  <c r="C474" i="5"/>
  <c r="E474" i="5" s="1"/>
  <c r="C475" i="5"/>
  <c r="E475" i="5" s="1"/>
  <c r="C476" i="5"/>
  <c r="E476" i="5" s="1"/>
  <c r="C477" i="5"/>
  <c r="E477" i="5" s="1"/>
  <c r="C478" i="5"/>
  <c r="E478" i="5" s="1"/>
  <c r="C479" i="5"/>
  <c r="E479" i="5" s="1"/>
  <c r="C480" i="5"/>
  <c r="E480" i="5" s="1"/>
  <c r="C481" i="5"/>
  <c r="E481" i="5" s="1"/>
  <c r="C482" i="5"/>
  <c r="E482" i="5" s="1"/>
  <c r="C483" i="5"/>
  <c r="E483" i="5" s="1"/>
  <c r="C484" i="5"/>
  <c r="E484" i="5" s="1"/>
  <c r="C485" i="5"/>
  <c r="E485" i="5" s="1"/>
  <c r="C486" i="5"/>
  <c r="E486" i="5" s="1"/>
  <c r="C487" i="5"/>
  <c r="E487" i="5" s="1"/>
  <c r="C488" i="5"/>
  <c r="E488" i="5" s="1"/>
  <c r="C489" i="5"/>
  <c r="E489" i="5" s="1"/>
  <c r="C490" i="5"/>
  <c r="E490" i="5" s="1"/>
  <c r="C491" i="5"/>
  <c r="E491" i="5" s="1"/>
  <c r="C492" i="5"/>
  <c r="E492" i="5" s="1"/>
  <c r="C493" i="5"/>
  <c r="E493" i="5" s="1"/>
  <c r="C494" i="5"/>
  <c r="E494" i="5" s="1"/>
  <c r="C495" i="5"/>
  <c r="E495" i="5" s="1"/>
  <c r="C496" i="5"/>
  <c r="E496" i="5" s="1"/>
  <c r="C497" i="5"/>
  <c r="E497" i="5" s="1"/>
  <c r="C498" i="5"/>
  <c r="E498" i="5" s="1"/>
  <c r="C499" i="5"/>
  <c r="E499" i="5" s="1"/>
  <c r="C500" i="5"/>
  <c r="E500" i="5" s="1"/>
  <c r="C501" i="5"/>
  <c r="E501" i="5" s="1"/>
  <c r="C502" i="5"/>
  <c r="E502" i="5" s="1"/>
  <c r="C503" i="5"/>
  <c r="E503" i="5" s="1"/>
  <c r="C504" i="5"/>
  <c r="E504" i="5" s="1"/>
  <c r="C505" i="5"/>
  <c r="E505" i="5" s="1"/>
  <c r="C506" i="5"/>
  <c r="E506" i="5" s="1"/>
  <c r="C507" i="5"/>
  <c r="E507" i="5" s="1"/>
  <c r="C508" i="5"/>
  <c r="E508" i="5" s="1"/>
  <c r="C509" i="5"/>
  <c r="E509" i="5" s="1"/>
  <c r="C510" i="5"/>
  <c r="E510" i="5" s="1"/>
  <c r="C511" i="5"/>
  <c r="E511" i="5" s="1"/>
  <c r="C512" i="5"/>
  <c r="E512" i="5" s="1"/>
  <c r="C513" i="5"/>
  <c r="E513" i="5" s="1"/>
  <c r="C514" i="5"/>
  <c r="E514" i="5" s="1"/>
  <c r="C515" i="5"/>
  <c r="E515" i="5" s="1"/>
  <c r="C516" i="5"/>
  <c r="E516" i="5" s="1"/>
  <c r="C517" i="5"/>
  <c r="E517" i="5" s="1"/>
  <c r="C518" i="5"/>
  <c r="E518" i="5" s="1"/>
  <c r="C519" i="5"/>
  <c r="C520" i="5"/>
  <c r="E520" i="5" s="1"/>
  <c r="C521" i="5"/>
  <c r="E521" i="5" s="1"/>
  <c r="C522" i="5"/>
  <c r="E522" i="5" s="1"/>
  <c r="C523" i="5"/>
  <c r="E523" i="5" s="1"/>
  <c r="C524" i="5"/>
  <c r="E524" i="5" s="1"/>
  <c r="C525" i="5"/>
  <c r="E525" i="5" s="1"/>
  <c r="C526" i="5"/>
  <c r="E526" i="5" s="1"/>
  <c r="C527" i="5"/>
  <c r="E527" i="5" s="1"/>
  <c r="C528" i="5"/>
  <c r="E528" i="5" s="1"/>
  <c r="C529" i="5"/>
  <c r="E529" i="5" s="1"/>
  <c r="C530" i="5"/>
  <c r="E530" i="5" s="1"/>
  <c r="C531" i="5"/>
  <c r="E531" i="5" s="1"/>
  <c r="C532" i="5"/>
  <c r="E532" i="5" s="1"/>
  <c r="C533" i="5"/>
  <c r="E533" i="5" s="1"/>
  <c r="C534" i="5"/>
  <c r="E534" i="5" s="1"/>
  <c r="C535" i="5"/>
  <c r="E535" i="5" s="1"/>
  <c r="C536" i="5"/>
  <c r="E536" i="5" s="1"/>
  <c r="C537" i="5"/>
  <c r="E537" i="5" s="1"/>
  <c r="C538" i="5"/>
  <c r="E538" i="5" s="1"/>
  <c r="C539" i="5"/>
  <c r="E539" i="5" s="1"/>
  <c r="C540" i="5"/>
  <c r="E540" i="5" s="1"/>
  <c r="C541" i="5"/>
  <c r="E541" i="5" s="1"/>
  <c r="C542" i="5"/>
  <c r="E542" i="5" s="1"/>
  <c r="C543" i="5"/>
  <c r="E543" i="5" s="1"/>
  <c r="C544" i="5"/>
  <c r="E544" i="5" s="1"/>
  <c r="C545" i="5"/>
  <c r="E545" i="5" s="1"/>
  <c r="C546" i="5"/>
  <c r="E546" i="5" s="1"/>
  <c r="C547" i="5"/>
  <c r="E547" i="5" s="1"/>
  <c r="C548" i="5"/>
  <c r="E548" i="5" s="1"/>
  <c r="C549" i="5"/>
  <c r="E549" i="5" s="1"/>
  <c r="C550" i="5"/>
  <c r="E550" i="5" s="1"/>
  <c r="C551" i="5"/>
  <c r="E551" i="5" s="1"/>
  <c r="C552" i="5"/>
  <c r="E552" i="5" s="1"/>
  <c r="C553" i="5"/>
  <c r="E553" i="5" s="1"/>
  <c r="C554" i="5"/>
  <c r="E554" i="5" s="1"/>
  <c r="C555" i="5"/>
  <c r="E555" i="5" s="1"/>
  <c r="C556" i="5"/>
  <c r="E556" i="5" s="1"/>
  <c r="C557" i="5"/>
  <c r="E557" i="5" s="1"/>
  <c r="C558" i="5"/>
  <c r="E558" i="5" s="1"/>
  <c r="C559" i="5"/>
  <c r="E559" i="5" s="1"/>
  <c r="C560" i="5"/>
  <c r="E560" i="5" s="1"/>
  <c r="C561" i="5"/>
  <c r="E561" i="5" s="1"/>
  <c r="C562" i="5"/>
  <c r="E562" i="5" s="1"/>
  <c r="C563" i="5"/>
  <c r="E563" i="5" s="1"/>
  <c r="C564" i="5"/>
  <c r="E564" i="5" s="1"/>
  <c r="C565" i="5"/>
  <c r="E565" i="5" s="1"/>
  <c r="C566" i="5"/>
  <c r="E566" i="5" s="1"/>
  <c r="C567" i="5"/>
  <c r="E567" i="5" s="1"/>
  <c r="C568" i="5"/>
  <c r="E568" i="5" s="1"/>
  <c r="C569" i="5"/>
  <c r="E569" i="5" s="1"/>
  <c r="C570" i="5"/>
  <c r="E570" i="5" s="1"/>
  <c r="C571" i="5"/>
  <c r="E571" i="5" s="1"/>
  <c r="C572" i="5"/>
  <c r="E572" i="5" s="1"/>
  <c r="C573" i="5"/>
  <c r="E573" i="5" s="1"/>
  <c r="C574" i="5"/>
  <c r="E574" i="5" s="1"/>
  <c r="C575" i="5"/>
  <c r="E575" i="5" s="1"/>
  <c r="C576" i="5"/>
  <c r="E576" i="5" s="1"/>
  <c r="C577" i="5"/>
  <c r="E577" i="5" s="1"/>
  <c r="C578" i="5"/>
  <c r="E578" i="5" s="1"/>
  <c r="C579" i="5"/>
  <c r="E579" i="5" s="1"/>
  <c r="C580" i="5"/>
  <c r="E580" i="5" s="1"/>
  <c r="C581" i="5"/>
  <c r="E581" i="5" s="1"/>
  <c r="C582" i="5"/>
  <c r="E582" i="5" s="1"/>
  <c r="C583" i="5"/>
  <c r="E583" i="5" s="1"/>
  <c r="C584" i="5"/>
  <c r="E584" i="5" s="1"/>
  <c r="C585" i="5"/>
  <c r="E585" i="5" s="1"/>
  <c r="C586" i="5"/>
  <c r="E586" i="5" s="1"/>
  <c r="C587" i="5"/>
  <c r="E587" i="5" s="1"/>
  <c r="C588" i="5"/>
  <c r="E588" i="5" s="1"/>
  <c r="C589" i="5"/>
  <c r="E589" i="5" s="1"/>
  <c r="C590" i="5"/>
  <c r="E590" i="5" s="1"/>
  <c r="C591" i="5"/>
  <c r="E591" i="5" s="1"/>
  <c r="C592" i="5"/>
  <c r="E592" i="5" s="1"/>
  <c r="C593" i="5"/>
  <c r="E593" i="5" s="1"/>
  <c r="C594" i="5"/>
  <c r="E594" i="5" s="1"/>
  <c r="C595" i="5"/>
  <c r="E595" i="5" s="1"/>
  <c r="C596" i="5"/>
  <c r="E596" i="5" s="1"/>
  <c r="C597" i="5"/>
  <c r="E597" i="5" s="1"/>
  <c r="C598" i="5"/>
  <c r="E598" i="5" s="1"/>
  <c r="C599" i="5"/>
  <c r="E599" i="5" s="1"/>
  <c r="C600" i="5"/>
  <c r="E600" i="5" s="1"/>
  <c r="C601" i="5"/>
  <c r="E601" i="5" s="1"/>
  <c r="C602" i="5"/>
  <c r="E602" i="5" s="1"/>
  <c r="C603" i="5"/>
  <c r="E603" i="5" s="1"/>
  <c r="C604" i="5"/>
  <c r="E604" i="5" s="1"/>
  <c r="C605" i="5"/>
  <c r="E605" i="5" s="1"/>
  <c r="C606" i="5"/>
  <c r="E606" i="5" s="1"/>
  <c r="C607" i="5"/>
  <c r="E607" i="5" s="1"/>
  <c r="C608" i="5"/>
  <c r="E608" i="5" s="1"/>
  <c r="C609" i="5"/>
  <c r="E609" i="5" s="1"/>
  <c r="C610" i="5"/>
  <c r="E610" i="5" s="1"/>
  <c r="C611" i="5"/>
  <c r="E611" i="5" s="1"/>
  <c r="C612" i="5"/>
  <c r="E612" i="5" s="1"/>
  <c r="C613" i="5"/>
  <c r="E613" i="5" s="1"/>
  <c r="C614" i="5"/>
  <c r="E614" i="5" s="1"/>
  <c r="C615" i="5"/>
  <c r="E615" i="5" s="1"/>
  <c r="C616" i="5"/>
  <c r="E616" i="5" s="1"/>
  <c r="C617" i="5"/>
  <c r="E617" i="5" s="1"/>
  <c r="C618" i="5"/>
  <c r="E618" i="5" s="1"/>
  <c r="C619" i="5"/>
  <c r="E619" i="5" s="1"/>
  <c r="C620" i="5"/>
  <c r="E620" i="5" s="1"/>
  <c r="C621" i="5"/>
  <c r="E621" i="5" s="1"/>
  <c r="C622" i="5"/>
  <c r="E622" i="5" s="1"/>
  <c r="C623" i="5"/>
  <c r="E623" i="5" s="1"/>
  <c r="C624" i="5"/>
  <c r="E624" i="5" s="1"/>
  <c r="C625" i="5"/>
  <c r="E625" i="5" s="1"/>
  <c r="C626" i="5"/>
  <c r="E626" i="5" s="1"/>
  <c r="C627" i="5"/>
  <c r="E627" i="5" s="1"/>
  <c r="C628" i="5"/>
  <c r="E628" i="5" s="1"/>
  <c r="C629" i="5"/>
  <c r="E629" i="5" s="1"/>
  <c r="C630" i="5"/>
  <c r="E630" i="5" s="1"/>
  <c r="C631" i="5"/>
  <c r="E631" i="5" s="1"/>
  <c r="C632" i="5"/>
  <c r="E632" i="5" s="1"/>
  <c r="C633" i="5"/>
  <c r="E633" i="5" s="1"/>
  <c r="C634" i="5"/>
  <c r="E634" i="5" s="1"/>
  <c r="C635" i="5"/>
  <c r="E635" i="5" s="1"/>
  <c r="C636" i="5"/>
  <c r="E636" i="5" s="1"/>
  <c r="C637" i="5"/>
  <c r="E637" i="5" s="1"/>
  <c r="C638" i="5"/>
  <c r="E638" i="5" s="1"/>
  <c r="C639" i="5"/>
  <c r="E639" i="5" s="1"/>
  <c r="C640" i="5"/>
  <c r="E640" i="5" s="1"/>
  <c r="C641" i="5"/>
  <c r="E641" i="5" s="1"/>
  <c r="C642" i="5"/>
  <c r="E642" i="5" s="1"/>
  <c r="C643" i="5"/>
  <c r="E643" i="5" s="1"/>
  <c r="C644" i="5"/>
  <c r="E644" i="5" s="1"/>
  <c r="C645" i="5"/>
  <c r="E645" i="5" s="1"/>
  <c r="C646" i="5"/>
  <c r="E646" i="5" s="1"/>
  <c r="C647" i="5"/>
  <c r="E647" i="5" s="1"/>
  <c r="C648" i="5"/>
  <c r="E648" i="5" s="1"/>
  <c r="C649" i="5"/>
  <c r="E649" i="5" s="1"/>
  <c r="C650" i="5"/>
  <c r="E650" i="5" s="1"/>
  <c r="C651" i="5"/>
  <c r="E651" i="5" s="1"/>
  <c r="C652" i="5"/>
  <c r="E652" i="5" s="1"/>
  <c r="C653" i="5"/>
  <c r="E653" i="5" s="1"/>
  <c r="C654" i="5"/>
  <c r="E654" i="5" s="1"/>
  <c r="C655" i="5"/>
  <c r="E655" i="5" s="1"/>
  <c r="C656" i="5"/>
  <c r="E656" i="5" s="1"/>
  <c r="C657" i="5"/>
  <c r="E657" i="5" s="1"/>
  <c r="C658" i="5"/>
  <c r="E658" i="5" s="1"/>
  <c r="C659" i="5"/>
  <c r="E659" i="5" s="1"/>
  <c r="C660" i="5"/>
  <c r="E660" i="5" s="1"/>
  <c r="C661" i="5"/>
  <c r="E661" i="5" s="1"/>
  <c r="C662" i="5"/>
  <c r="E662" i="5" s="1"/>
  <c r="C663" i="5"/>
  <c r="E663" i="5" s="1"/>
  <c r="C664" i="5"/>
  <c r="E664" i="5" s="1"/>
  <c r="C665" i="5"/>
  <c r="E665" i="5" s="1"/>
  <c r="C666" i="5"/>
  <c r="E666" i="5" s="1"/>
  <c r="C667" i="5"/>
  <c r="E667" i="5" s="1"/>
  <c r="C668" i="5"/>
  <c r="E668" i="5" s="1"/>
  <c r="C669" i="5"/>
  <c r="E669" i="5" s="1"/>
  <c r="C670" i="5"/>
  <c r="E670" i="5" s="1"/>
  <c r="C671" i="5"/>
  <c r="E671" i="5" s="1"/>
  <c r="C672" i="5"/>
  <c r="E672" i="5" s="1"/>
  <c r="C673" i="5"/>
  <c r="E673" i="5" s="1"/>
  <c r="C674" i="5"/>
  <c r="E674" i="5" s="1"/>
  <c r="C675" i="5"/>
  <c r="E675" i="5" s="1"/>
  <c r="C676" i="5"/>
  <c r="E676" i="5" s="1"/>
  <c r="C677" i="5"/>
  <c r="E677" i="5" s="1"/>
  <c r="C678" i="5"/>
  <c r="E678" i="5" s="1"/>
  <c r="C679" i="5"/>
  <c r="E679" i="5" s="1"/>
  <c r="C680" i="5"/>
  <c r="E680" i="5" s="1"/>
  <c r="C681" i="5"/>
  <c r="E681" i="5" s="1"/>
  <c r="C682" i="5"/>
  <c r="E682" i="5" s="1"/>
  <c r="C683" i="5"/>
  <c r="E683" i="5" s="1"/>
  <c r="C684" i="5"/>
  <c r="E684" i="5" s="1"/>
  <c r="C685" i="5"/>
  <c r="E685" i="5" s="1"/>
  <c r="C686" i="5"/>
  <c r="E686" i="5" s="1"/>
  <c r="C687" i="5"/>
  <c r="E687" i="5" s="1"/>
  <c r="C688" i="5"/>
  <c r="E688" i="5" s="1"/>
  <c r="C689" i="5"/>
  <c r="E689" i="5" s="1"/>
  <c r="C690" i="5"/>
  <c r="E690" i="5" s="1"/>
  <c r="C691" i="5"/>
  <c r="E691" i="5" s="1"/>
  <c r="C692" i="5"/>
  <c r="E692" i="5" s="1"/>
  <c r="C693" i="5"/>
  <c r="E693" i="5" s="1"/>
  <c r="C694" i="5"/>
  <c r="E694" i="5" s="1"/>
  <c r="C695" i="5"/>
  <c r="E695" i="5" s="1"/>
  <c r="C696" i="5"/>
  <c r="E696" i="5" s="1"/>
  <c r="C697" i="5"/>
  <c r="E697" i="5" s="1"/>
  <c r="C698" i="5"/>
  <c r="E698" i="5" s="1"/>
  <c r="C699" i="5"/>
  <c r="E699" i="5" s="1"/>
  <c r="C700" i="5"/>
  <c r="E700" i="5" s="1"/>
  <c r="C701" i="5"/>
  <c r="E701" i="5" s="1"/>
  <c r="C702" i="5"/>
  <c r="E702" i="5" s="1"/>
  <c r="C703" i="5"/>
  <c r="E703" i="5" s="1"/>
  <c r="C704" i="5"/>
  <c r="E704" i="5" s="1"/>
  <c r="C705" i="5"/>
  <c r="E705" i="5" s="1"/>
  <c r="C706" i="5"/>
  <c r="E706" i="5" s="1"/>
  <c r="C707" i="5"/>
  <c r="E707" i="5" s="1"/>
  <c r="C708" i="5"/>
  <c r="E708" i="5" s="1"/>
  <c r="C709" i="5"/>
  <c r="E709" i="5" s="1"/>
  <c r="C710" i="5"/>
  <c r="E710" i="5" s="1"/>
  <c r="C711" i="5"/>
  <c r="E711" i="5" s="1"/>
  <c r="C712" i="5"/>
  <c r="E712" i="5" s="1"/>
  <c r="C713" i="5"/>
  <c r="E713" i="5" s="1"/>
  <c r="C714" i="5"/>
  <c r="E714" i="5" s="1"/>
  <c r="C715" i="5"/>
  <c r="E715" i="5" s="1"/>
  <c r="C716" i="5"/>
  <c r="E716" i="5" s="1"/>
  <c r="C717" i="5"/>
  <c r="E717" i="5" s="1"/>
  <c r="C718" i="5"/>
  <c r="E718" i="5" s="1"/>
  <c r="C719" i="5"/>
  <c r="E719" i="5" s="1"/>
  <c r="C720" i="5"/>
  <c r="E720" i="5" s="1"/>
  <c r="C721" i="5"/>
  <c r="E721" i="5" s="1"/>
  <c r="C722" i="5"/>
  <c r="E722" i="5" s="1"/>
  <c r="C723" i="5"/>
  <c r="E723" i="5" s="1"/>
  <c r="C724" i="5"/>
  <c r="E724" i="5" s="1"/>
  <c r="C725" i="5"/>
  <c r="E725" i="5" s="1"/>
  <c r="C726" i="5"/>
  <c r="E726" i="5" s="1"/>
  <c r="C727" i="5"/>
  <c r="E727" i="5" s="1"/>
  <c r="C728" i="5"/>
  <c r="E728" i="5" s="1"/>
  <c r="C729" i="5"/>
  <c r="E729" i="5" s="1"/>
  <c r="C730" i="5"/>
  <c r="E730" i="5" s="1"/>
  <c r="C731" i="5"/>
  <c r="E731" i="5" s="1"/>
  <c r="C732" i="5"/>
  <c r="E732" i="5" s="1"/>
  <c r="C733" i="5"/>
  <c r="E733" i="5" s="1"/>
  <c r="C734" i="5"/>
  <c r="E734" i="5" s="1"/>
  <c r="C735" i="5"/>
  <c r="E735" i="5" s="1"/>
  <c r="C736" i="5"/>
  <c r="E736" i="5" s="1"/>
  <c r="C737" i="5"/>
  <c r="E737" i="5" s="1"/>
  <c r="C738" i="5"/>
  <c r="E738" i="5" s="1"/>
  <c r="C739" i="5"/>
  <c r="E739" i="5" s="1"/>
  <c r="C740" i="5"/>
  <c r="E740" i="5" s="1"/>
  <c r="C741" i="5"/>
  <c r="E741" i="5" s="1"/>
  <c r="C742" i="5"/>
  <c r="E742" i="5" s="1"/>
  <c r="C743" i="5"/>
  <c r="E743" i="5" s="1"/>
  <c r="C744" i="5"/>
  <c r="E744" i="5" s="1"/>
  <c r="C745" i="5"/>
  <c r="E745" i="5" s="1"/>
  <c r="C746" i="5"/>
  <c r="E746" i="5" s="1"/>
  <c r="C747" i="5"/>
  <c r="E747" i="5" s="1"/>
  <c r="C748" i="5"/>
  <c r="E748" i="5" s="1"/>
  <c r="C749" i="5"/>
  <c r="E749" i="5" s="1"/>
  <c r="C750" i="5"/>
  <c r="E750" i="5" s="1"/>
  <c r="C751" i="5"/>
  <c r="E751" i="5" s="1"/>
  <c r="C752" i="5"/>
  <c r="E752" i="5" s="1"/>
  <c r="C753" i="5"/>
  <c r="E753" i="5" s="1"/>
  <c r="C754" i="5"/>
  <c r="E754" i="5" s="1"/>
  <c r="C755" i="5"/>
  <c r="E755" i="5" s="1"/>
  <c r="C756" i="5"/>
  <c r="E756" i="5" s="1"/>
  <c r="C757" i="5"/>
  <c r="E757" i="5" s="1"/>
  <c r="C758" i="5"/>
  <c r="E758" i="5" s="1"/>
  <c r="C759" i="5"/>
  <c r="E759" i="5" s="1"/>
  <c r="C760" i="5"/>
  <c r="E760" i="5" s="1"/>
  <c r="C761" i="5"/>
  <c r="E761" i="5" s="1"/>
  <c r="C762" i="5"/>
  <c r="E762" i="5" s="1"/>
  <c r="C763" i="5"/>
  <c r="E763" i="5" s="1"/>
  <c r="C764" i="5"/>
  <c r="E764" i="5" s="1"/>
  <c r="C765" i="5"/>
  <c r="E765" i="5" s="1"/>
  <c r="C766" i="5"/>
  <c r="E766" i="5" s="1"/>
  <c r="C767" i="5"/>
  <c r="E767" i="5" s="1"/>
  <c r="C768" i="5"/>
  <c r="E768" i="5" s="1"/>
  <c r="C769" i="5"/>
  <c r="E769" i="5" s="1"/>
  <c r="C770" i="5"/>
  <c r="E770" i="5" s="1"/>
  <c r="C771" i="5"/>
  <c r="E771" i="5" s="1"/>
  <c r="C772" i="5"/>
  <c r="E772" i="5" s="1"/>
  <c r="C773" i="5"/>
  <c r="E773" i="5" s="1"/>
  <c r="C774" i="5"/>
  <c r="E774" i="5" s="1"/>
  <c r="C775" i="5"/>
  <c r="E775" i="5" s="1"/>
  <c r="C776" i="5"/>
  <c r="E776" i="5" s="1"/>
  <c r="C777" i="5"/>
  <c r="E777" i="5" s="1"/>
  <c r="C778" i="5"/>
  <c r="E778" i="5" s="1"/>
  <c r="C779" i="5"/>
  <c r="E779" i="5" s="1"/>
  <c r="C780" i="5"/>
  <c r="E780" i="5" s="1"/>
  <c r="C781" i="5"/>
  <c r="E781" i="5" s="1"/>
  <c r="C782" i="5"/>
  <c r="E782" i="5" s="1"/>
  <c r="C783" i="5"/>
  <c r="E783" i="5" s="1"/>
  <c r="C784" i="5"/>
  <c r="E784" i="5" s="1"/>
  <c r="C785" i="5"/>
  <c r="E785" i="5" s="1"/>
  <c r="C786" i="5"/>
  <c r="E786" i="5" s="1"/>
  <c r="C787" i="5"/>
  <c r="E787" i="5" s="1"/>
  <c r="C788" i="5"/>
  <c r="E788" i="5" s="1"/>
  <c r="C789" i="5"/>
  <c r="E789" i="5" s="1"/>
  <c r="C790" i="5"/>
  <c r="E790" i="5" s="1"/>
  <c r="C791" i="5"/>
  <c r="E791" i="5" s="1"/>
  <c r="C792" i="5"/>
  <c r="E792" i="5" s="1"/>
  <c r="C793" i="5"/>
  <c r="E793" i="5" s="1"/>
  <c r="C794" i="5"/>
  <c r="E794" i="5" s="1"/>
  <c r="C795" i="5"/>
  <c r="E795" i="5" s="1"/>
  <c r="C796" i="5"/>
  <c r="E796" i="5" s="1"/>
  <c r="C797" i="5"/>
  <c r="E797" i="5" s="1"/>
  <c r="C798" i="5"/>
  <c r="E798" i="5" s="1"/>
  <c r="C799" i="5"/>
  <c r="E799" i="5" s="1"/>
  <c r="C800" i="5"/>
  <c r="E800" i="5" s="1"/>
  <c r="C801" i="5"/>
  <c r="E801" i="5" s="1"/>
  <c r="C802" i="5"/>
  <c r="E802" i="5" s="1"/>
  <c r="C803" i="5"/>
  <c r="E803" i="5" s="1"/>
  <c r="C804" i="5"/>
  <c r="E804" i="5" s="1"/>
  <c r="C805" i="5"/>
  <c r="E805" i="5" s="1"/>
  <c r="C806" i="5"/>
  <c r="E806" i="5" s="1"/>
  <c r="C807" i="5"/>
  <c r="E807" i="5" s="1"/>
  <c r="C808" i="5"/>
  <c r="E808" i="5" s="1"/>
  <c r="C809" i="5"/>
  <c r="E809" i="5" s="1"/>
  <c r="C810" i="5"/>
  <c r="E810" i="5" s="1"/>
  <c r="C811" i="5"/>
  <c r="E811" i="5" s="1"/>
  <c r="C812" i="5"/>
  <c r="E812" i="5" s="1"/>
  <c r="C813" i="5"/>
  <c r="E813" i="5" s="1"/>
  <c r="C814" i="5"/>
  <c r="E814" i="5" s="1"/>
  <c r="C815" i="5"/>
  <c r="E815" i="5" s="1"/>
  <c r="C816" i="5"/>
  <c r="E816" i="5" s="1"/>
  <c r="C817" i="5"/>
  <c r="E817" i="5" s="1"/>
  <c r="C818" i="5"/>
  <c r="E818" i="5" s="1"/>
  <c r="C819" i="5"/>
  <c r="E819" i="5" s="1"/>
  <c r="C820" i="5"/>
  <c r="E820" i="5" s="1"/>
  <c r="C821" i="5"/>
  <c r="E821" i="5" s="1"/>
  <c r="C822" i="5"/>
  <c r="E822" i="5" s="1"/>
  <c r="C823" i="5"/>
  <c r="E823" i="5" s="1"/>
  <c r="C824" i="5"/>
  <c r="E824" i="5" s="1"/>
  <c r="C825" i="5"/>
  <c r="E825" i="5" s="1"/>
  <c r="C826" i="5"/>
  <c r="E826" i="5" s="1"/>
  <c r="C827" i="5"/>
  <c r="E827" i="5" s="1"/>
  <c r="C828" i="5"/>
  <c r="E828" i="5" s="1"/>
  <c r="C829" i="5"/>
  <c r="E829" i="5" s="1"/>
  <c r="C830" i="5"/>
  <c r="E830" i="5" s="1"/>
  <c r="C831" i="5"/>
  <c r="E831" i="5" s="1"/>
  <c r="C832" i="5"/>
  <c r="E832" i="5" s="1"/>
  <c r="C833" i="5"/>
  <c r="E833" i="5" s="1"/>
  <c r="C834" i="5"/>
  <c r="E834" i="5" s="1"/>
  <c r="C835" i="5"/>
  <c r="E835" i="5" s="1"/>
  <c r="C836" i="5"/>
  <c r="E836" i="5" s="1"/>
  <c r="C837" i="5"/>
  <c r="E837" i="5" s="1"/>
  <c r="C838" i="5"/>
  <c r="E838" i="5" s="1"/>
  <c r="C839" i="5"/>
  <c r="E839" i="5" s="1"/>
  <c r="C840" i="5"/>
  <c r="E840" i="5" s="1"/>
  <c r="C841" i="5"/>
  <c r="E841" i="5" s="1"/>
  <c r="C842" i="5"/>
  <c r="E842" i="5" s="1"/>
  <c r="C843" i="5"/>
  <c r="E843" i="5" s="1"/>
  <c r="C844" i="5"/>
  <c r="E844" i="5" s="1"/>
  <c r="C845" i="5"/>
  <c r="E845" i="5" s="1"/>
  <c r="C846" i="5"/>
  <c r="E846" i="5" s="1"/>
  <c r="C847" i="5"/>
  <c r="E847" i="5" s="1"/>
  <c r="C848" i="5"/>
  <c r="E848" i="5" s="1"/>
  <c r="C849" i="5"/>
  <c r="E849" i="5" s="1"/>
  <c r="C850" i="5"/>
  <c r="E850" i="5" s="1"/>
  <c r="C851" i="5"/>
  <c r="E851" i="5" s="1"/>
  <c r="C852" i="5"/>
  <c r="E852" i="5" s="1"/>
  <c r="C853" i="5"/>
  <c r="E853" i="5" s="1"/>
  <c r="C854" i="5"/>
  <c r="E854" i="5" s="1"/>
  <c r="C855" i="5"/>
  <c r="E855" i="5" s="1"/>
  <c r="C856" i="5"/>
  <c r="E856" i="5" s="1"/>
  <c r="C857" i="5"/>
  <c r="E857" i="5" s="1"/>
  <c r="C858" i="5"/>
  <c r="E858" i="5" s="1"/>
  <c r="C859" i="5"/>
  <c r="E859" i="5" s="1"/>
  <c r="C860" i="5"/>
  <c r="E860" i="5" s="1"/>
  <c r="C861" i="5"/>
  <c r="E861" i="5" s="1"/>
  <c r="C862" i="5"/>
  <c r="E862" i="5" s="1"/>
  <c r="C863" i="5"/>
  <c r="E863" i="5" s="1"/>
  <c r="C864" i="5"/>
  <c r="E864" i="5" s="1"/>
  <c r="C865" i="5"/>
  <c r="E865" i="5" s="1"/>
  <c r="C866" i="5"/>
  <c r="E866" i="5" s="1"/>
  <c r="C867" i="5"/>
  <c r="E867" i="5" s="1"/>
  <c r="C868" i="5"/>
  <c r="E868" i="5" s="1"/>
  <c r="C869" i="5"/>
  <c r="E869" i="5" s="1"/>
  <c r="C870" i="5"/>
  <c r="E870" i="5" s="1"/>
  <c r="C871" i="5"/>
  <c r="E871" i="5" s="1"/>
  <c r="C872" i="5"/>
  <c r="E872" i="5" s="1"/>
  <c r="C873" i="5"/>
  <c r="E873" i="5" s="1"/>
  <c r="C874" i="5"/>
  <c r="E874" i="5" s="1"/>
  <c r="C875" i="5"/>
  <c r="E875" i="5" s="1"/>
  <c r="C876" i="5"/>
  <c r="E876" i="5" s="1"/>
  <c r="C877" i="5"/>
  <c r="E877" i="5" s="1"/>
  <c r="C878" i="5"/>
  <c r="E878" i="5" s="1"/>
  <c r="C879" i="5"/>
  <c r="E879" i="5" s="1"/>
  <c r="C880" i="5"/>
  <c r="E880" i="5" s="1"/>
  <c r="C881" i="5"/>
  <c r="E881" i="5" s="1"/>
  <c r="C882" i="5"/>
  <c r="E882" i="5" s="1"/>
  <c r="C883" i="5"/>
  <c r="E883" i="5" s="1"/>
  <c r="C884" i="5"/>
  <c r="E884" i="5" s="1"/>
  <c r="C885" i="5"/>
  <c r="E885" i="5" s="1"/>
  <c r="C886" i="5"/>
  <c r="E886" i="5" s="1"/>
  <c r="C887" i="5"/>
  <c r="E887" i="5" s="1"/>
  <c r="C888" i="5"/>
  <c r="E888" i="5" s="1"/>
  <c r="C889" i="5"/>
  <c r="E889" i="5" s="1"/>
  <c r="C890" i="5"/>
  <c r="E890" i="5" s="1"/>
  <c r="C891" i="5"/>
  <c r="E891" i="5" s="1"/>
  <c r="C892" i="5"/>
  <c r="E892" i="5" s="1"/>
  <c r="C893" i="5"/>
  <c r="E893" i="5" s="1"/>
  <c r="C894" i="5"/>
  <c r="E894" i="5" s="1"/>
  <c r="C895" i="5"/>
  <c r="E895" i="5" s="1"/>
  <c r="C896" i="5"/>
  <c r="E896" i="5" s="1"/>
  <c r="C897" i="5"/>
  <c r="E897" i="5" s="1"/>
  <c r="C898" i="5"/>
  <c r="E898" i="5" s="1"/>
  <c r="C899" i="5"/>
  <c r="E899" i="5" s="1"/>
  <c r="C900" i="5"/>
  <c r="E900" i="5" s="1"/>
  <c r="C901" i="5"/>
  <c r="E901" i="5" s="1"/>
  <c r="C902" i="5"/>
  <c r="E902" i="5" s="1"/>
  <c r="C903" i="5"/>
  <c r="E903" i="5" s="1"/>
  <c r="C904" i="5"/>
  <c r="E904" i="5" s="1"/>
  <c r="C905" i="5"/>
  <c r="E905" i="5" s="1"/>
  <c r="C906" i="5"/>
  <c r="E906" i="5" s="1"/>
  <c r="C907" i="5"/>
  <c r="E907" i="5" s="1"/>
  <c r="C908" i="5"/>
  <c r="E908" i="5" s="1"/>
  <c r="C909" i="5"/>
  <c r="E909" i="5" s="1"/>
  <c r="C910" i="5"/>
  <c r="E910" i="5" s="1"/>
  <c r="C911" i="5"/>
  <c r="E911" i="5" s="1"/>
  <c r="C912" i="5"/>
  <c r="E912" i="5" s="1"/>
  <c r="C913" i="5"/>
  <c r="E913" i="5" s="1"/>
  <c r="C914" i="5"/>
  <c r="E914" i="5" s="1"/>
  <c r="C915" i="5"/>
  <c r="E915" i="5" s="1"/>
  <c r="C916" i="5"/>
  <c r="E916" i="5" s="1"/>
  <c r="C917" i="5"/>
  <c r="E917" i="5" s="1"/>
  <c r="C918" i="5"/>
  <c r="E918" i="5" s="1"/>
  <c r="C919" i="5"/>
  <c r="E919" i="5" s="1"/>
  <c r="C920" i="5"/>
  <c r="E920" i="5" s="1"/>
  <c r="C921" i="5"/>
  <c r="E921" i="5" s="1"/>
  <c r="C922" i="5"/>
  <c r="E922" i="5" s="1"/>
  <c r="C923" i="5"/>
  <c r="E923" i="5" s="1"/>
  <c r="C924" i="5"/>
  <c r="E924" i="5" s="1"/>
  <c r="C925" i="5"/>
  <c r="E925" i="5" s="1"/>
  <c r="C926" i="5"/>
  <c r="E926" i="5" s="1"/>
  <c r="C927" i="5"/>
  <c r="E927" i="5" s="1"/>
  <c r="C928" i="5"/>
  <c r="E928" i="5" s="1"/>
  <c r="C929" i="5"/>
  <c r="E929" i="5" s="1"/>
  <c r="C930" i="5"/>
  <c r="E930" i="5" s="1"/>
  <c r="C931" i="5"/>
  <c r="E931" i="5" s="1"/>
  <c r="C932" i="5"/>
  <c r="E932" i="5" s="1"/>
  <c r="C933" i="5"/>
  <c r="E933" i="5" s="1"/>
  <c r="C934" i="5"/>
  <c r="E934" i="5" s="1"/>
  <c r="C935" i="5"/>
  <c r="E935" i="5" s="1"/>
  <c r="C936" i="5"/>
  <c r="E936" i="5" s="1"/>
  <c r="C937" i="5"/>
  <c r="E937" i="5" s="1"/>
  <c r="C938" i="5"/>
  <c r="E938" i="5" s="1"/>
  <c r="C939" i="5"/>
  <c r="E939" i="5" s="1"/>
  <c r="C940" i="5"/>
  <c r="E940" i="5" s="1"/>
  <c r="C941" i="5"/>
  <c r="E941" i="5" s="1"/>
  <c r="C942" i="5"/>
  <c r="E942" i="5" s="1"/>
  <c r="C943" i="5"/>
  <c r="E943" i="5" s="1"/>
  <c r="C944" i="5"/>
  <c r="E944" i="5" s="1"/>
  <c r="C945" i="5"/>
  <c r="E945" i="5" s="1"/>
  <c r="C946" i="5"/>
  <c r="E946" i="5" s="1"/>
  <c r="C947" i="5"/>
  <c r="E947" i="5" s="1"/>
  <c r="C948" i="5"/>
  <c r="E948" i="5" s="1"/>
  <c r="C949" i="5"/>
  <c r="E949" i="5" s="1"/>
  <c r="C950" i="5"/>
  <c r="E950" i="5" s="1"/>
  <c r="C951" i="5"/>
  <c r="E951" i="5" s="1"/>
  <c r="C952" i="5"/>
  <c r="E952" i="5" s="1"/>
  <c r="C953" i="5"/>
  <c r="E953" i="5" s="1"/>
  <c r="C954" i="5"/>
  <c r="E954" i="5" s="1"/>
  <c r="C955" i="5"/>
  <c r="E955" i="5" s="1"/>
  <c r="C956" i="5"/>
  <c r="E956" i="5" s="1"/>
  <c r="C957" i="5"/>
  <c r="E957" i="5" s="1"/>
  <c r="C958" i="5"/>
  <c r="E958" i="5" s="1"/>
  <c r="C959" i="5"/>
  <c r="E959" i="5" s="1"/>
  <c r="C960" i="5"/>
  <c r="E960" i="5" s="1"/>
  <c r="C961" i="5"/>
  <c r="E961" i="5" s="1"/>
  <c r="C962" i="5"/>
  <c r="E962" i="5" s="1"/>
  <c r="C963" i="5"/>
  <c r="E963" i="5" s="1"/>
  <c r="C964" i="5"/>
  <c r="E964" i="5" s="1"/>
  <c r="C965" i="5"/>
  <c r="E965" i="5" s="1"/>
  <c r="C966" i="5"/>
  <c r="E966" i="5" s="1"/>
  <c r="C967" i="5"/>
  <c r="E967" i="5" s="1"/>
  <c r="C968" i="5"/>
  <c r="E968" i="5" s="1"/>
  <c r="C969" i="5"/>
  <c r="E969" i="5" s="1"/>
  <c r="C970" i="5"/>
  <c r="E970" i="5" s="1"/>
  <c r="C971" i="5"/>
  <c r="E971" i="5" s="1"/>
  <c r="C972" i="5"/>
  <c r="E972" i="5" s="1"/>
  <c r="C973" i="5"/>
  <c r="E973" i="5" s="1"/>
  <c r="C974" i="5"/>
  <c r="E974" i="5" s="1"/>
  <c r="C975" i="5"/>
  <c r="E975" i="5" s="1"/>
  <c r="C976" i="5"/>
  <c r="E976" i="5" s="1"/>
  <c r="C977" i="5"/>
  <c r="E977" i="5" s="1"/>
  <c r="C978" i="5"/>
  <c r="E978" i="5" s="1"/>
  <c r="C979" i="5"/>
  <c r="E979" i="5" s="1"/>
  <c r="C980" i="5"/>
  <c r="E980" i="5" s="1"/>
  <c r="C981" i="5"/>
  <c r="E981" i="5" s="1"/>
  <c r="C982" i="5"/>
  <c r="E982" i="5" s="1"/>
  <c r="C983" i="5"/>
  <c r="E983" i="5" s="1"/>
  <c r="C984" i="5"/>
  <c r="E984" i="5" s="1"/>
  <c r="C985" i="5"/>
  <c r="E985" i="5" s="1"/>
  <c r="C986" i="5"/>
  <c r="E986" i="5" s="1"/>
  <c r="C987" i="5"/>
  <c r="E987" i="5" s="1"/>
  <c r="C988" i="5"/>
  <c r="E988" i="5" s="1"/>
  <c r="C989" i="5"/>
  <c r="E989" i="5" s="1"/>
  <c r="C990" i="5"/>
  <c r="E990" i="5" s="1"/>
  <c r="C991" i="5"/>
  <c r="E991" i="5" s="1"/>
  <c r="C992" i="5"/>
  <c r="E992" i="5" s="1"/>
  <c r="C993" i="5"/>
  <c r="E993" i="5" s="1"/>
  <c r="C994" i="5"/>
  <c r="E994" i="5" s="1"/>
  <c r="C995" i="5"/>
  <c r="E995" i="5" s="1"/>
  <c r="C996" i="5"/>
  <c r="E996" i="5" s="1"/>
  <c r="C997" i="5"/>
  <c r="E997" i="5" s="1"/>
  <c r="C998" i="5"/>
  <c r="E998" i="5" s="1"/>
  <c r="C999" i="5"/>
  <c r="E999" i="5" s="1"/>
  <c r="C1000" i="5"/>
  <c r="E1000" i="5" s="1"/>
  <c r="C1001" i="5"/>
  <c r="E1001" i="5" s="1"/>
  <c r="C1002" i="5"/>
  <c r="E1002" i="5" s="1"/>
  <c r="C1003" i="5"/>
  <c r="E1003" i="5" s="1"/>
  <c r="C1004" i="5"/>
  <c r="E1004" i="5" s="1"/>
  <c r="C1005" i="5"/>
  <c r="E1005" i="5" s="1"/>
  <c r="C1006" i="5"/>
  <c r="E1006" i="5" s="1"/>
  <c r="C1007" i="5"/>
  <c r="E1007" i="5" s="1"/>
  <c r="C1008" i="5"/>
  <c r="E1008" i="5" s="1"/>
  <c r="C1009" i="5"/>
  <c r="E1009" i="5" s="1"/>
  <c r="C1010" i="5"/>
  <c r="E1010" i="5" s="1"/>
  <c r="C1011" i="5"/>
  <c r="E1011" i="5" s="1"/>
  <c r="C1012" i="5"/>
  <c r="E1012" i="5" s="1"/>
  <c r="C1013" i="5"/>
  <c r="E1013" i="5" s="1"/>
  <c r="C1014" i="5"/>
  <c r="E1014" i="5" s="1"/>
  <c r="C1015" i="5"/>
  <c r="E1015" i="5" s="1"/>
  <c r="C1016" i="5"/>
  <c r="E1016" i="5" s="1"/>
  <c r="C1017" i="5"/>
  <c r="E1017" i="5" s="1"/>
  <c r="C1018" i="5"/>
  <c r="E1018" i="5" s="1"/>
  <c r="C1019" i="5"/>
  <c r="E1019" i="5" s="1"/>
  <c r="C1020" i="5"/>
  <c r="E1020" i="5" s="1"/>
  <c r="C1021" i="5"/>
  <c r="E1021" i="5" s="1"/>
  <c r="C1022" i="5"/>
  <c r="E1022" i="5" s="1"/>
  <c r="C1023" i="5"/>
  <c r="E1023" i="5" s="1"/>
  <c r="C1024" i="5"/>
  <c r="E1024" i="5" s="1"/>
  <c r="C1025" i="5"/>
  <c r="E1025" i="5" s="1"/>
  <c r="C1026" i="5"/>
  <c r="E1026" i="5" s="1"/>
  <c r="C1027" i="5"/>
  <c r="E1027" i="5" s="1"/>
  <c r="C1028" i="5"/>
  <c r="E1028" i="5" s="1"/>
  <c r="C1029" i="5"/>
  <c r="E1029" i="5" s="1"/>
  <c r="C1030" i="5"/>
  <c r="E1030" i="5" s="1"/>
  <c r="C1031" i="5"/>
  <c r="E1031" i="5" s="1"/>
  <c r="C1032" i="5"/>
  <c r="E1032" i="5" s="1"/>
  <c r="C1033" i="5"/>
  <c r="E1033" i="5" s="1"/>
  <c r="C1034" i="5"/>
  <c r="E1034" i="5" s="1"/>
  <c r="C1035" i="5"/>
  <c r="E1035" i="5" s="1"/>
  <c r="C1036" i="5"/>
  <c r="E1036" i="5" s="1"/>
  <c r="C1037" i="5"/>
  <c r="E1037" i="5" s="1"/>
  <c r="C1038" i="5"/>
  <c r="E1038" i="5" s="1"/>
  <c r="C1039" i="5"/>
  <c r="E1039" i="5" s="1"/>
  <c r="C1040" i="5"/>
  <c r="E1040" i="5" s="1"/>
  <c r="C1041" i="5"/>
  <c r="E1041" i="5" s="1"/>
  <c r="C1042" i="5"/>
  <c r="E1042" i="5" s="1"/>
  <c r="C1043" i="5"/>
  <c r="E1043" i="5" s="1"/>
  <c r="C1044" i="5"/>
  <c r="E1044" i="5" s="1"/>
  <c r="C1045" i="5"/>
  <c r="E1045" i="5" s="1"/>
  <c r="C1046" i="5"/>
  <c r="E1046" i="5" s="1"/>
  <c r="C1047" i="5"/>
  <c r="E1047" i="5" s="1"/>
  <c r="C1048" i="5"/>
  <c r="E1048" i="5" s="1"/>
  <c r="C1049" i="5"/>
  <c r="E1049" i="5" s="1"/>
  <c r="C1050" i="5"/>
  <c r="E1050" i="5" s="1"/>
  <c r="C1051" i="5"/>
  <c r="E1051" i="5" s="1"/>
  <c r="C1052" i="5"/>
  <c r="E1052" i="5" s="1"/>
  <c r="C1053" i="5"/>
  <c r="E1053" i="5" s="1"/>
  <c r="C1054" i="5"/>
  <c r="E1054" i="5" s="1"/>
  <c r="C1055" i="5"/>
  <c r="E1055" i="5" s="1"/>
  <c r="C1056" i="5"/>
  <c r="E1056" i="5" s="1"/>
  <c r="C1057" i="5"/>
  <c r="E1057" i="5" s="1"/>
  <c r="C1058" i="5"/>
  <c r="E1058" i="5" s="1"/>
  <c r="C1059" i="5"/>
  <c r="E1059" i="5" s="1"/>
  <c r="C1060" i="5"/>
  <c r="E1060" i="5" s="1"/>
  <c r="C1061" i="5"/>
  <c r="E1061" i="5" s="1"/>
  <c r="C1062" i="5"/>
  <c r="E1062" i="5" s="1"/>
  <c r="C1063" i="5"/>
  <c r="E1063" i="5" s="1"/>
  <c r="C1064" i="5"/>
  <c r="E1064" i="5" s="1"/>
  <c r="C1065" i="5"/>
  <c r="E1065" i="5" s="1"/>
  <c r="C1066" i="5"/>
  <c r="E1066" i="5" s="1"/>
  <c r="C1067" i="5"/>
  <c r="E1067" i="5" s="1"/>
  <c r="C1068" i="5"/>
  <c r="E1068" i="5" s="1"/>
  <c r="C1069" i="5"/>
  <c r="E1069" i="5" s="1"/>
  <c r="C1070" i="5"/>
  <c r="E1070" i="5" s="1"/>
  <c r="C1071" i="5"/>
  <c r="E1071" i="5" s="1"/>
  <c r="C1072" i="5"/>
  <c r="E1072" i="5" s="1"/>
  <c r="C1073" i="5"/>
  <c r="E1073" i="5" s="1"/>
  <c r="C1074" i="5"/>
  <c r="E1074" i="5" s="1"/>
  <c r="C1075" i="5"/>
  <c r="E1075" i="5" s="1"/>
  <c r="C1076" i="5"/>
  <c r="E1076" i="5" s="1"/>
  <c r="C1077" i="5"/>
  <c r="E1077" i="5" s="1"/>
  <c r="C1078" i="5"/>
  <c r="E1078" i="5" s="1"/>
  <c r="C1079" i="5"/>
  <c r="E1079" i="5" s="1"/>
  <c r="C1080" i="5"/>
  <c r="E1080" i="5" s="1"/>
  <c r="C1081" i="5"/>
  <c r="E1081" i="5" s="1"/>
  <c r="C1082" i="5"/>
  <c r="E1082" i="5" s="1"/>
  <c r="C1083" i="5"/>
  <c r="E1083" i="5" s="1"/>
  <c r="C1084" i="5"/>
  <c r="E1084" i="5" s="1"/>
  <c r="C1085" i="5"/>
  <c r="E1085" i="5" s="1"/>
  <c r="C1086" i="5"/>
  <c r="E1086" i="5" s="1"/>
  <c r="C1087" i="5"/>
  <c r="E1087" i="5" s="1"/>
  <c r="C1088" i="5"/>
  <c r="E1088" i="5" s="1"/>
  <c r="C1089" i="5"/>
  <c r="E1089" i="5" s="1"/>
  <c r="C1090" i="5"/>
  <c r="E1090" i="5" s="1"/>
  <c r="C1091" i="5"/>
  <c r="E1091" i="5" s="1"/>
  <c r="C1092" i="5"/>
  <c r="E1092" i="5" s="1"/>
  <c r="C1093" i="5"/>
  <c r="E1093" i="5" s="1"/>
  <c r="C1094" i="5"/>
  <c r="E1094" i="5" s="1"/>
  <c r="C1095" i="5"/>
  <c r="E1095" i="5" s="1"/>
  <c r="C1096" i="5"/>
  <c r="E1096" i="5" s="1"/>
  <c r="C1097" i="5"/>
  <c r="E1097" i="5" s="1"/>
  <c r="C1098" i="5"/>
  <c r="E1098" i="5" s="1"/>
  <c r="C1099" i="5"/>
  <c r="E1099" i="5" s="1"/>
  <c r="C1100" i="5"/>
  <c r="E1100" i="5" s="1"/>
  <c r="C1101" i="5"/>
  <c r="E1101" i="5" s="1"/>
  <c r="C1102" i="5"/>
  <c r="E1102" i="5" s="1"/>
  <c r="C1103" i="5"/>
  <c r="E1103" i="5" s="1"/>
  <c r="C1104" i="5"/>
  <c r="E1104" i="5" s="1"/>
  <c r="C1105" i="5"/>
  <c r="E1105" i="5" s="1"/>
  <c r="C1106" i="5"/>
  <c r="E1106" i="5" s="1"/>
  <c r="C1107" i="5"/>
  <c r="E1107" i="5" s="1"/>
  <c r="C1108" i="5"/>
  <c r="E1108" i="5" s="1"/>
  <c r="C1109" i="5"/>
  <c r="E1109" i="5" s="1"/>
  <c r="C1110" i="5"/>
  <c r="E1110" i="5" s="1"/>
  <c r="C1111" i="5"/>
  <c r="E1111" i="5" s="1"/>
  <c r="C1112" i="5"/>
  <c r="E1112" i="5" s="1"/>
  <c r="C1113" i="5"/>
  <c r="E1113" i="5" s="1"/>
  <c r="C1114" i="5"/>
  <c r="E1114" i="5" s="1"/>
  <c r="C1115" i="5"/>
  <c r="E1115" i="5" s="1"/>
  <c r="C1116" i="5"/>
  <c r="E1116" i="5" s="1"/>
  <c r="C1117" i="5"/>
  <c r="E1117" i="5" s="1"/>
  <c r="C1118" i="5"/>
  <c r="E1118" i="5" s="1"/>
  <c r="C1119" i="5"/>
  <c r="E1119" i="5" s="1"/>
  <c r="C1120" i="5"/>
  <c r="E1120" i="5" s="1"/>
  <c r="C1121" i="5"/>
  <c r="E1121" i="5" s="1"/>
  <c r="C1122" i="5"/>
  <c r="E1122" i="5" s="1"/>
  <c r="C1123" i="5"/>
  <c r="E1123" i="5" s="1"/>
  <c r="C1124" i="5"/>
  <c r="E1124" i="5" s="1"/>
  <c r="C1125" i="5"/>
  <c r="E1125" i="5" s="1"/>
  <c r="C1126" i="5"/>
  <c r="E1126" i="5" s="1"/>
  <c r="C1127" i="5"/>
  <c r="E1127" i="5" s="1"/>
  <c r="C1128" i="5"/>
  <c r="E1128" i="5" s="1"/>
  <c r="C1129" i="5"/>
  <c r="E1129" i="5" s="1"/>
  <c r="C1130" i="5"/>
  <c r="E1130" i="5" s="1"/>
  <c r="C1131" i="5"/>
  <c r="E1131" i="5" s="1"/>
  <c r="C1132" i="5"/>
  <c r="E1132" i="5" s="1"/>
  <c r="C1133" i="5"/>
  <c r="E1133" i="5" s="1"/>
  <c r="C1134" i="5"/>
  <c r="E1134" i="5" s="1"/>
  <c r="C1135" i="5"/>
  <c r="E1135" i="5" s="1"/>
  <c r="C1136" i="5"/>
  <c r="E1136" i="5" s="1"/>
  <c r="C1137" i="5"/>
  <c r="E1137" i="5" s="1"/>
  <c r="C1138" i="5"/>
  <c r="E1138" i="5" s="1"/>
  <c r="C1139" i="5"/>
  <c r="E1139" i="5" s="1"/>
  <c r="C1140" i="5"/>
  <c r="E1140" i="5" s="1"/>
  <c r="C1141" i="5"/>
  <c r="E1141" i="5" s="1"/>
  <c r="C1142" i="5"/>
  <c r="E1142" i="5" s="1"/>
  <c r="C1143" i="5"/>
  <c r="E1143" i="5" s="1"/>
  <c r="C1144" i="5"/>
  <c r="E1144" i="5" s="1"/>
  <c r="C1145" i="5"/>
  <c r="E1145" i="5" s="1"/>
  <c r="C1146" i="5"/>
  <c r="E1146" i="5" s="1"/>
  <c r="C1147" i="5"/>
  <c r="E1147" i="5" s="1"/>
  <c r="C1148" i="5"/>
  <c r="E1148" i="5" s="1"/>
  <c r="C1149" i="5"/>
  <c r="E1149" i="5" s="1"/>
  <c r="C1150" i="5"/>
  <c r="E1150" i="5" s="1"/>
  <c r="C1151" i="5"/>
  <c r="E1151" i="5" s="1"/>
  <c r="C1152" i="5"/>
  <c r="E1152" i="5" s="1"/>
  <c r="C1153" i="5"/>
  <c r="E1153" i="5" s="1"/>
  <c r="C1154" i="5"/>
  <c r="E1154" i="5" s="1"/>
  <c r="C1155" i="5"/>
  <c r="E1155" i="5" s="1"/>
  <c r="C1156" i="5"/>
  <c r="E1156" i="5" s="1"/>
  <c r="C1157" i="5"/>
  <c r="E1157" i="5" s="1"/>
  <c r="C1158" i="5"/>
  <c r="E1158" i="5" s="1"/>
  <c r="C1159" i="5"/>
  <c r="E1159" i="5" s="1"/>
  <c r="C1160" i="5"/>
  <c r="E1160" i="5" s="1"/>
  <c r="C1161" i="5"/>
  <c r="E1161" i="5" s="1"/>
  <c r="C1162" i="5"/>
  <c r="E1162" i="5" s="1"/>
  <c r="C1163" i="5"/>
  <c r="E1163" i="5" s="1"/>
  <c r="C1164" i="5"/>
  <c r="E1164" i="5" s="1"/>
  <c r="C1165" i="5"/>
  <c r="E1165" i="5" s="1"/>
  <c r="C1166" i="5"/>
  <c r="E1166" i="5" s="1"/>
  <c r="C1167" i="5"/>
  <c r="E1167" i="5" s="1"/>
  <c r="C1168" i="5"/>
  <c r="E1168" i="5" s="1"/>
  <c r="C1169" i="5"/>
  <c r="E1169" i="5" s="1"/>
  <c r="C1170" i="5"/>
  <c r="E1170" i="5" s="1"/>
  <c r="C1171" i="5"/>
  <c r="E1171" i="5" s="1"/>
  <c r="C1172" i="5"/>
  <c r="E1172" i="5" s="1"/>
  <c r="C1173" i="5"/>
  <c r="E1173" i="5" s="1"/>
  <c r="C1174" i="5"/>
  <c r="E1174" i="5" s="1"/>
  <c r="C1175" i="5"/>
  <c r="E1175" i="5" s="1"/>
  <c r="C1176" i="5"/>
  <c r="E1176" i="5" s="1"/>
  <c r="C1177" i="5"/>
  <c r="E1177" i="5" s="1"/>
  <c r="C1178" i="5"/>
  <c r="E1178" i="5" s="1"/>
  <c r="C1179" i="5"/>
  <c r="E1179" i="5" s="1"/>
  <c r="C1180" i="5"/>
  <c r="E1180" i="5" s="1"/>
  <c r="C1181" i="5"/>
  <c r="E1181" i="5" s="1"/>
  <c r="C1182" i="5"/>
  <c r="E1182" i="5" s="1"/>
  <c r="C1183" i="5"/>
  <c r="E1183" i="5" s="1"/>
  <c r="C1184" i="5"/>
  <c r="E1184" i="5" s="1"/>
  <c r="C1185" i="5"/>
  <c r="E1185" i="5" s="1"/>
  <c r="C1186" i="5"/>
  <c r="E1186" i="5" s="1"/>
  <c r="C1187" i="5"/>
  <c r="E1187" i="5" s="1"/>
  <c r="C1188" i="5"/>
  <c r="E1188" i="5" s="1"/>
  <c r="C1189" i="5"/>
  <c r="E1189" i="5" s="1"/>
  <c r="C1190" i="5"/>
  <c r="E1190" i="5" s="1"/>
  <c r="C1191" i="5"/>
  <c r="E1191" i="5" s="1"/>
  <c r="C1192" i="5"/>
  <c r="E1192" i="5" s="1"/>
  <c r="C1193" i="5"/>
  <c r="E1193" i="5" s="1"/>
  <c r="C1194" i="5"/>
  <c r="E1194" i="5" s="1"/>
  <c r="C1195" i="5"/>
  <c r="E1195" i="5" s="1"/>
  <c r="C1196" i="5"/>
  <c r="E1196" i="5" s="1"/>
  <c r="C1197" i="5"/>
  <c r="E1197" i="5" s="1"/>
  <c r="C1198" i="5"/>
  <c r="E1198" i="5" s="1"/>
  <c r="C1199" i="5"/>
  <c r="E1199" i="5" s="1"/>
  <c r="C1200" i="5"/>
  <c r="E1200" i="5" s="1"/>
  <c r="C1201" i="5"/>
  <c r="E1201" i="5" s="1"/>
  <c r="C1202" i="5"/>
  <c r="E1202" i="5" s="1"/>
  <c r="C1203" i="5"/>
  <c r="E1203" i="5" s="1"/>
  <c r="C1204" i="5"/>
  <c r="E1204" i="5" s="1"/>
  <c r="C1205" i="5"/>
  <c r="E1205" i="5" s="1"/>
  <c r="C1206" i="5"/>
  <c r="E1206" i="5" s="1"/>
  <c r="C1207" i="5"/>
  <c r="E1207" i="5" s="1"/>
  <c r="C1208" i="5"/>
  <c r="E1208" i="5" s="1"/>
  <c r="C1209" i="5"/>
  <c r="E1209" i="5" s="1"/>
  <c r="C1210" i="5"/>
  <c r="E1210" i="5" s="1"/>
  <c r="C1211" i="5"/>
  <c r="E1211" i="5" s="1"/>
  <c r="C1212" i="5"/>
  <c r="E1212" i="5" s="1"/>
  <c r="C1213" i="5"/>
  <c r="E1213" i="5" s="1"/>
  <c r="C1214" i="5"/>
  <c r="E1214" i="5" s="1"/>
  <c r="C1215" i="5"/>
  <c r="E1215" i="5" s="1"/>
  <c r="C1216" i="5"/>
  <c r="E1216" i="5" s="1"/>
  <c r="C1217" i="5"/>
  <c r="E1217" i="5" s="1"/>
  <c r="C1218" i="5"/>
  <c r="E1218" i="5" s="1"/>
  <c r="C1219" i="5"/>
  <c r="E1219" i="5" s="1"/>
  <c r="C1220" i="5"/>
  <c r="E1220" i="5" s="1"/>
  <c r="C1221" i="5"/>
  <c r="E1221" i="5" s="1"/>
  <c r="C1222" i="5"/>
  <c r="E1222" i="5" s="1"/>
  <c r="C1223" i="5"/>
  <c r="E1223" i="5" s="1"/>
  <c r="C1224" i="5"/>
  <c r="E1224" i="5" s="1"/>
  <c r="C1225" i="5"/>
  <c r="E1225" i="5" s="1"/>
  <c r="C1226" i="5"/>
  <c r="E1226" i="5" s="1"/>
  <c r="C1227" i="5"/>
  <c r="E1227" i="5" s="1"/>
  <c r="C1228" i="5"/>
  <c r="E1228" i="5" s="1"/>
  <c r="C1229" i="5"/>
  <c r="E1229" i="5" s="1"/>
  <c r="C1230" i="5"/>
  <c r="E1230" i="5" s="1"/>
  <c r="C1231" i="5"/>
  <c r="E1231" i="5" s="1"/>
  <c r="C1232" i="5"/>
  <c r="E1232" i="5" s="1"/>
  <c r="C1233" i="5"/>
  <c r="E1233" i="5" s="1"/>
  <c r="C1234" i="5"/>
  <c r="E1234" i="5" s="1"/>
  <c r="C1235" i="5"/>
  <c r="E1235" i="5" s="1"/>
  <c r="C1236" i="5"/>
  <c r="E1236" i="5" s="1"/>
  <c r="C1237" i="5"/>
  <c r="E1237" i="5" s="1"/>
  <c r="C1238" i="5"/>
  <c r="E1238" i="5" s="1"/>
  <c r="C1239" i="5"/>
  <c r="E1239" i="5" s="1"/>
  <c r="C1240" i="5"/>
  <c r="E1240" i="5" s="1"/>
  <c r="C1241" i="5"/>
  <c r="E1241" i="5" s="1"/>
  <c r="C1242" i="5"/>
  <c r="E1242" i="5" s="1"/>
  <c r="C1243" i="5"/>
  <c r="E1243" i="5" s="1"/>
  <c r="C1244" i="5"/>
  <c r="E1244" i="5" s="1"/>
  <c r="C1245" i="5"/>
  <c r="E1245" i="5" s="1"/>
  <c r="C1246" i="5"/>
  <c r="E1246" i="5" s="1"/>
  <c r="C1247" i="5"/>
  <c r="E1247" i="5" s="1"/>
  <c r="C1248" i="5"/>
  <c r="E1248" i="5" s="1"/>
  <c r="C1249" i="5"/>
  <c r="E1249" i="5" s="1"/>
  <c r="C1250" i="5"/>
  <c r="E1250" i="5" s="1"/>
  <c r="C1251" i="5"/>
  <c r="E1251" i="5" s="1"/>
  <c r="C1252" i="5"/>
  <c r="E1252" i="5" s="1"/>
  <c r="C1253" i="5"/>
  <c r="E1253" i="5" s="1"/>
  <c r="C1254" i="5"/>
  <c r="E1254" i="5" s="1"/>
  <c r="C1255" i="5"/>
  <c r="E1255" i="5" s="1"/>
  <c r="C1256" i="5"/>
  <c r="E1256" i="5" s="1"/>
  <c r="C1257" i="5"/>
  <c r="E1257" i="5" s="1"/>
  <c r="C1258" i="5"/>
  <c r="E1258" i="5" s="1"/>
  <c r="C1259" i="5"/>
  <c r="E1259" i="5" s="1"/>
  <c r="C1260" i="5"/>
  <c r="E1260" i="5" s="1"/>
  <c r="C1261" i="5"/>
  <c r="E1261" i="5" s="1"/>
  <c r="C1262" i="5"/>
  <c r="E1262" i="5" s="1"/>
  <c r="C1263" i="5"/>
  <c r="E1263" i="5" s="1"/>
  <c r="C1264" i="5"/>
  <c r="E1264" i="5" s="1"/>
  <c r="C1265" i="5"/>
  <c r="E1265" i="5" s="1"/>
  <c r="C1266" i="5"/>
  <c r="E1266" i="5" s="1"/>
  <c r="C1267" i="5"/>
  <c r="E1267" i="5" s="1"/>
  <c r="C1268" i="5"/>
  <c r="E1268" i="5" s="1"/>
  <c r="C1269" i="5"/>
  <c r="E1269" i="5" s="1"/>
  <c r="C1270" i="5"/>
  <c r="E1270" i="5" s="1"/>
  <c r="C1271" i="5"/>
  <c r="E1271" i="5" s="1"/>
  <c r="C1272" i="5"/>
  <c r="E1272" i="5" s="1"/>
  <c r="C1273" i="5"/>
  <c r="E1273" i="5" s="1"/>
  <c r="C1274" i="5"/>
  <c r="E1274" i="5" s="1"/>
  <c r="C1275" i="5"/>
  <c r="E1275" i="5" s="1"/>
  <c r="C1276" i="5"/>
  <c r="E1276" i="5" s="1"/>
  <c r="C1277" i="5"/>
  <c r="E1277" i="5" s="1"/>
  <c r="C1278" i="5"/>
  <c r="E1278" i="5" s="1"/>
  <c r="C1279" i="5"/>
  <c r="E1279" i="5" s="1"/>
  <c r="C1280" i="5"/>
  <c r="E1280" i="5" s="1"/>
  <c r="C1281" i="5"/>
  <c r="E1281" i="5" s="1"/>
  <c r="C1282" i="5"/>
  <c r="E1282" i="5" s="1"/>
  <c r="C1283" i="5"/>
  <c r="E1283" i="5" s="1"/>
  <c r="C1284" i="5"/>
  <c r="E1284" i="5" s="1"/>
  <c r="C1285" i="5"/>
  <c r="E1285" i="5" s="1"/>
  <c r="C1286" i="5"/>
  <c r="E1286" i="5" s="1"/>
  <c r="C1287" i="5"/>
  <c r="E1287" i="5" s="1"/>
  <c r="C1288" i="5"/>
  <c r="E1288" i="5" s="1"/>
  <c r="C1289" i="5"/>
  <c r="E1289" i="5" s="1"/>
  <c r="C1290" i="5"/>
  <c r="E1290" i="5" s="1"/>
  <c r="C1291" i="5"/>
  <c r="E1291" i="5" s="1"/>
  <c r="C1292" i="5"/>
  <c r="E1292" i="5" s="1"/>
  <c r="C1293" i="5"/>
  <c r="E1293" i="5" s="1"/>
  <c r="C1294" i="5"/>
  <c r="E1294" i="5" s="1"/>
  <c r="C1295" i="5"/>
  <c r="E1295" i="5" s="1"/>
  <c r="C1296" i="5"/>
  <c r="E1296" i="5" s="1"/>
  <c r="C1297" i="5"/>
  <c r="E1297" i="5" s="1"/>
  <c r="C1298" i="5"/>
  <c r="E1298" i="5" s="1"/>
  <c r="C1299" i="5"/>
  <c r="E1299" i="5" s="1"/>
  <c r="C1300" i="5"/>
  <c r="E1300" i="5" s="1"/>
  <c r="C1301" i="5"/>
  <c r="E1301" i="5" s="1"/>
  <c r="C1302" i="5"/>
  <c r="E1302" i="5" s="1"/>
  <c r="C1303" i="5"/>
  <c r="E1303" i="5" s="1"/>
  <c r="C1304" i="5"/>
  <c r="E1304" i="5" s="1"/>
  <c r="C1305" i="5"/>
  <c r="E1305" i="5" s="1"/>
  <c r="C1306" i="5"/>
  <c r="E1306" i="5" s="1"/>
  <c r="C1307" i="5"/>
  <c r="E1307" i="5" s="1"/>
  <c r="C1308" i="5"/>
  <c r="E1308" i="5" s="1"/>
  <c r="C1309" i="5"/>
  <c r="E1309" i="5" s="1"/>
  <c r="C1310" i="5"/>
  <c r="E1310" i="5" s="1"/>
  <c r="C1311" i="5"/>
  <c r="E1311" i="5" s="1"/>
  <c r="C1312" i="5"/>
  <c r="E1312" i="5" s="1"/>
  <c r="C1313" i="5"/>
  <c r="E1313" i="5" s="1"/>
  <c r="C1314" i="5"/>
  <c r="E1314" i="5" s="1"/>
  <c r="C1315" i="5"/>
  <c r="E1315" i="5" s="1"/>
  <c r="C1316" i="5"/>
  <c r="E1316" i="5" s="1"/>
  <c r="C1317" i="5"/>
  <c r="E1317" i="5" s="1"/>
  <c r="C1318" i="5"/>
  <c r="E1318" i="5" s="1"/>
  <c r="C1319" i="5"/>
  <c r="E1319" i="5" s="1"/>
  <c r="C1320" i="5"/>
  <c r="E1320" i="5" s="1"/>
  <c r="C1321" i="5"/>
  <c r="E1321" i="5" s="1"/>
  <c r="C1322" i="5"/>
  <c r="E1322" i="5" s="1"/>
  <c r="C1323" i="5"/>
  <c r="E1323" i="5" s="1"/>
  <c r="C1324" i="5"/>
  <c r="E1324" i="5" s="1"/>
  <c r="C1325" i="5"/>
  <c r="E1325" i="5" s="1"/>
  <c r="C1326" i="5"/>
  <c r="E1326" i="5" s="1"/>
  <c r="C1327" i="5"/>
  <c r="E1327" i="5" s="1"/>
  <c r="C1328" i="5"/>
  <c r="E1328" i="5" s="1"/>
  <c r="C1329" i="5"/>
  <c r="E1329" i="5" s="1"/>
  <c r="C1330" i="5"/>
  <c r="E1330" i="5" s="1"/>
  <c r="C1331" i="5"/>
  <c r="E1331" i="5" s="1"/>
  <c r="C1332" i="5"/>
  <c r="E1332" i="5" s="1"/>
  <c r="C1333" i="5"/>
  <c r="E1333" i="5" s="1"/>
  <c r="C1334" i="5"/>
  <c r="E1334" i="5" s="1"/>
  <c r="C1335" i="5"/>
  <c r="E1335" i="5" s="1"/>
  <c r="C1336" i="5"/>
  <c r="E1336" i="5" s="1"/>
  <c r="C1337" i="5"/>
  <c r="E1337" i="5" s="1"/>
  <c r="C1338" i="5"/>
  <c r="E1338" i="5" s="1"/>
  <c r="C1339" i="5"/>
  <c r="E1339" i="5" s="1"/>
  <c r="C1340" i="5"/>
  <c r="E1340" i="5" s="1"/>
  <c r="C1341" i="5"/>
  <c r="E1341" i="5" s="1"/>
  <c r="C1342" i="5"/>
  <c r="E1342" i="5" s="1"/>
  <c r="C1343" i="5"/>
  <c r="E1343" i="5" s="1"/>
  <c r="C1344" i="5"/>
  <c r="E1344" i="5" s="1"/>
  <c r="C1345" i="5"/>
  <c r="E1345" i="5" s="1"/>
  <c r="C1346" i="5"/>
  <c r="E1346" i="5" s="1"/>
  <c r="C1347" i="5"/>
  <c r="E1347" i="5" s="1"/>
  <c r="C1348" i="5"/>
  <c r="E1348" i="5" s="1"/>
  <c r="C1349" i="5"/>
  <c r="E1349" i="5" s="1"/>
  <c r="C1350" i="5"/>
  <c r="E1350" i="5" s="1"/>
  <c r="C1351" i="5"/>
  <c r="E1351" i="5" s="1"/>
  <c r="C1352" i="5"/>
  <c r="E1352" i="5" s="1"/>
  <c r="C1353" i="5"/>
  <c r="E1353" i="5" s="1"/>
  <c r="C1354" i="5"/>
  <c r="E1354" i="5" s="1"/>
  <c r="C1355" i="5"/>
  <c r="E1355" i="5" s="1"/>
  <c r="C1356" i="5"/>
  <c r="E1356" i="5" s="1"/>
  <c r="C1357" i="5"/>
  <c r="E1357" i="5" s="1"/>
  <c r="C1358" i="5"/>
  <c r="E1358" i="5" s="1"/>
  <c r="C1359" i="5"/>
  <c r="E1359" i="5" s="1"/>
  <c r="C1360" i="5"/>
  <c r="E1360" i="5" s="1"/>
  <c r="C1361" i="5"/>
  <c r="E1361" i="5" s="1"/>
  <c r="C1362" i="5"/>
  <c r="E1362" i="5" s="1"/>
  <c r="C1363" i="5"/>
  <c r="E1363" i="5" s="1"/>
  <c r="C1364" i="5"/>
  <c r="E1364" i="5" s="1"/>
  <c r="C1365" i="5"/>
  <c r="E1365" i="5" s="1"/>
  <c r="C1366" i="5"/>
  <c r="E1366" i="5" s="1"/>
  <c r="C1367" i="5"/>
  <c r="E1367" i="5" s="1"/>
  <c r="C1368" i="5"/>
  <c r="E1368" i="5" s="1"/>
  <c r="C1369" i="5"/>
  <c r="E1369" i="5" s="1"/>
  <c r="C1370" i="5"/>
  <c r="E1370" i="5" s="1"/>
  <c r="C1371" i="5"/>
  <c r="E1371" i="5" s="1"/>
  <c r="C1372" i="5"/>
  <c r="E1372" i="5" s="1"/>
  <c r="C1373" i="5"/>
  <c r="E1373" i="5" s="1"/>
  <c r="C1374" i="5"/>
  <c r="E1374" i="5" s="1"/>
  <c r="C1375" i="5"/>
  <c r="E1375" i="5" s="1"/>
  <c r="C1376" i="5"/>
  <c r="E1376" i="5" s="1"/>
  <c r="C1377" i="5"/>
  <c r="E1377" i="5" s="1"/>
  <c r="C1378" i="5"/>
  <c r="E1378" i="5" s="1"/>
  <c r="C1379" i="5"/>
  <c r="E1379" i="5" s="1"/>
  <c r="C1380" i="5"/>
  <c r="E1380" i="5" s="1"/>
  <c r="C1381" i="5"/>
  <c r="E1381" i="5" s="1"/>
  <c r="C1382" i="5"/>
  <c r="E1382" i="5" s="1"/>
  <c r="C1383" i="5"/>
  <c r="E1383" i="5" s="1"/>
  <c r="C1384" i="5"/>
  <c r="E1384" i="5" s="1"/>
  <c r="C1385" i="5"/>
  <c r="E1385" i="5" s="1"/>
  <c r="C1386" i="5"/>
  <c r="E1386" i="5" s="1"/>
  <c r="C1387" i="5"/>
  <c r="E1387" i="5" s="1"/>
  <c r="C1388" i="5"/>
  <c r="E1388" i="5" s="1"/>
  <c r="C1389" i="5"/>
  <c r="E1389" i="5" s="1"/>
  <c r="C1390" i="5"/>
  <c r="E1390" i="5" s="1"/>
  <c r="C1391" i="5"/>
  <c r="E1391" i="5" s="1"/>
  <c r="C1392" i="5"/>
  <c r="E1392" i="5" s="1"/>
  <c r="C1393" i="5"/>
  <c r="E1393" i="5" s="1"/>
  <c r="C1394" i="5"/>
  <c r="E1394" i="5" s="1"/>
  <c r="C1395" i="5"/>
  <c r="E1395" i="5" s="1"/>
  <c r="C1396" i="5"/>
  <c r="E1396" i="5" s="1"/>
  <c r="C1397" i="5"/>
  <c r="E1397" i="5" s="1"/>
  <c r="C1398" i="5"/>
  <c r="E1398" i="5" s="1"/>
  <c r="C1399" i="5"/>
  <c r="E1399" i="5" s="1"/>
  <c r="C1400" i="5"/>
  <c r="E1400" i="5" s="1"/>
  <c r="C1401" i="5"/>
  <c r="E1401" i="5" s="1"/>
  <c r="C1402" i="5"/>
  <c r="E1402" i="5" s="1"/>
  <c r="C1403" i="5"/>
  <c r="E1403" i="5" s="1"/>
  <c r="C1404" i="5"/>
  <c r="E1404" i="5" s="1"/>
  <c r="C1405" i="5"/>
  <c r="E1405" i="5" s="1"/>
  <c r="C1406" i="5"/>
  <c r="E1406" i="5" s="1"/>
  <c r="C1407" i="5"/>
  <c r="E1407" i="5" s="1"/>
  <c r="C1408" i="5"/>
  <c r="E1408" i="5" s="1"/>
  <c r="C1409" i="5"/>
  <c r="E1409" i="5" s="1"/>
  <c r="C1410" i="5"/>
  <c r="E1410" i="5" s="1"/>
  <c r="C1411" i="5"/>
  <c r="E1411" i="5" s="1"/>
  <c r="C1412" i="5"/>
  <c r="E1412" i="5" s="1"/>
  <c r="C1413" i="5"/>
  <c r="E1413" i="5" s="1"/>
  <c r="C1414" i="5"/>
  <c r="E1414" i="5" s="1"/>
  <c r="C1415" i="5"/>
  <c r="E1415" i="5" s="1"/>
  <c r="C1416" i="5"/>
  <c r="E1416" i="5" s="1"/>
  <c r="C1417" i="5"/>
  <c r="E1417" i="5" s="1"/>
  <c r="C1418" i="5"/>
  <c r="E1418" i="5" s="1"/>
  <c r="C1419" i="5"/>
  <c r="E1419" i="5" s="1"/>
  <c r="C1420" i="5"/>
  <c r="E1420" i="5" s="1"/>
  <c r="C1421" i="5"/>
  <c r="E1421" i="5" s="1"/>
  <c r="C1422" i="5"/>
  <c r="E1422" i="5" s="1"/>
  <c r="C1423" i="5"/>
  <c r="E1423" i="5" s="1"/>
  <c r="C1424" i="5"/>
  <c r="E1424" i="5" s="1"/>
  <c r="C1425" i="5"/>
  <c r="E1425" i="5" s="1"/>
  <c r="C1426" i="5"/>
  <c r="E1426" i="5" s="1"/>
  <c r="C1427" i="5"/>
  <c r="E1427" i="5" s="1"/>
  <c r="C1428" i="5"/>
  <c r="E1428" i="5" s="1"/>
  <c r="C1429" i="5"/>
  <c r="E1429" i="5" s="1"/>
  <c r="C1430" i="5"/>
  <c r="E1430" i="5" s="1"/>
  <c r="C1431" i="5"/>
  <c r="E1431" i="5" s="1"/>
  <c r="C1432" i="5"/>
  <c r="E1432" i="5" s="1"/>
  <c r="C1433" i="5"/>
  <c r="E1433" i="5" s="1"/>
  <c r="C1434" i="5"/>
  <c r="E1434" i="5" s="1"/>
  <c r="C1435" i="5"/>
  <c r="E1435" i="5" s="1"/>
  <c r="C1436" i="5"/>
  <c r="E1436" i="5" s="1"/>
  <c r="C1437" i="5"/>
  <c r="E1437" i="5" s="1"/>
  <c r="C1438" i="5"/>
  <c r="E1438" i="5" s="1"/>
  <c r="C1439" i="5"/>
  <c r="E1439" i="5" s="1"/>
  <c r="C1440" i="5"/>
  <c r="E1440" i="5" s="1"/>
  <c r="C1441" i="5"/>
  <c r="E1441" i="5" s="1"/>
  <c r="C1442" i="5"/>
  <c r="E1442" i="5" s="1"/>
  <c r="C1443" i="5"/>
  <c r="E1443" i="5" s="1"/>
  <c r="C1444" i="5"/>
  <c r="E1444" i="5" s="1"/>
  <c r="C1445" i="5"/>
  <c r="E1445" i="5" s="1"/>
  <c r="C1446" i="5"/>
  <c r="E1446" i="5" s="1"/>
  <c r="C1447" i="5"/>
  <c r="E1447" i="5" s="1"/>
  <c r="C1448" i="5"/>
  <c r="E1448" i="5" s="1"/>
  <c r="C1449" i="5"/>
  <c r="E1449" i="5" s="1"/>
  <c r="C1450" i="5"/>
  <c r="E1450" i="5" s="1"/>
  <c r="C1451" i="5"/>
  <c r="E1451" i="5" s="1"/>
  <c r="C1452" i="5"/>
  <c r="E1452" i="5" s="1"/>
  <c r="C1453" i="5"/>
  <c r="E1453" i="5" s="1"/>
  <c r="C1454" i="5"/>
  <c r="E1454" i="5" s="1"/>
  <c r="C1455" i="5"/>
  <c r="E1455" i="5" s="1"/>
  <c r="C1456" i="5"/>
  <c r="E1456" i="5" s="1"/>
  <c r="C1457" i="5"/>
  <c r="E1457" i="5" s="1"/>
  <c r="C1458" i="5"/>
  <c r="E1458" i="5" s="1"/>
  <c r="C1459" i="5"/>
  <c r="E1459" i="5" s="1"/>
  <c r="C1460" i="5"/>
  <c r="E1460" i="5" s="1"/>
  <c r="C1461" i="5"/>
  <c r="E1461" i="5" s="1"/>
  <c r="C1462" i="5"/>
  <c r="E1462" i="5" s="1"/>
  <c r="C1463" i="5"/>
  <c r="E1463" i="5" s="1"/>
  <c r="C1464" i="5"/>
  <c r="E1464" i="5" s="1"/>
  <c r="C1465" i="5"/>
  <c r="E1465" i="5" s="1"/>
  <c r="C1466" i="5"/>
  <c r="E1466" i="5" s="1"/>
  <c r="C1467" i="5"/>
  <c r="E1467" i="5" s="1"/>
  <c r="C1468" i="5"/>
  <c r="E1468" i="5" s="1"/>
  <c r="C1469" i="5"/>
  <c r="E1469" i="5" s="1"/>
  <c r="C1470" i="5"/>
  <c r="E1470" i="5" s="1"/>
  <c r="C1471" i="5"/>
  <c r="E1471" i="5" s="1"/>
  <c r="C1472" i="5"/>
  <c r="E1472" i="5" s="1"/>
  <c r="C1473" i="5"/>
  <c r="E1473" i="5" s="1"/>
  <c r="C1474" i="5"/>
  <c r="E1474" i="5" s="1"/>
  <c r="C1475" i="5"/>
  <c r="E1475" i="5" s="1"/>
  <c r="C1476" i="5"/>
  <c r="E1476" i="5" s="1"/>
  <c r="C1477" i="5"/>
  <c r="E1477" i="5" s="1"/>
  <c r="C1478" i="5"/>
  <c r="E1478" i="5" s="1"/>
  <c r="C1479" i="5"/>
  <c r="E1479" i="5" s="1"/>
  <c r="C1480" i="5"/>
  <c r="E1480" i="5" s="1"/>
  <c r="C1481" i="5"/>
  <c r="E1481" i="5" s="1"/>
  <c r="C1482" i="5"/>
  <c r="E1482" i="5" s="1"/>
  <c r="C1483" i="5"/>
  <c r="E1483" i="5" s="1"/>
  <c r="C1484" i="5"/>
  <c r="E1484" i="5" s="1"/>
  <c r="C1485" i="5"/>
  <c r="E1485" i="5" s="1"/>
  <c r="C1486" i="5"/>
  <c r="E1486" i="5" s="1"/>
  <c r="C1487" i="5"/>
  <c r="E1487" i="5" s="1"/>
  <c r="C1488" i="5"/>
  <c r="E1488" i="5" s="1"/>
  <c r="C1489" i="5"/>
  <c r="E1489" i="5" s="1"/>
  <c r="C1490" i="5"/>
  <c r="E1490" i="5" s="1"/>
  <c r="C1491" i="5"/>
  <c r="E1491" i="5" s="1"/>
  <c r="C1492" i="5"/>
  <c r="E1492" i="5" s="1"/>
  <c r="C1493" i="5"/>
  <c r="E1493" i="5" s="1"/>
  <c r="C1494" i="5"/>
  <c r="E1494" i="5" s="1"/>
  <c r="C1495" i="5"/>
  <c r="E1495" i="5" s="1"/>
  <c r="C1496" i="5"/>
  <c r="E1496" i="5" s="1"/>
  <c r="C1497" i="5"/>
  <c r="E1497" i="5" s="1"/>
  <c r="C1498" i="5"/>
  <c r="E1498" i="5" s="1"/>
  <c r="C1499" i="5"/>
  <c r="E1499" i="5" s="1"/>
  <c r="C1500" i="5"/>
  <c r="E1500" i="5" s="1"/>
  <c r="C1501" i="5"/>
  <c r="E1501" i="5" s="1"/>
  <c r="C1502" i="5"/>
  <c r="E1502" i="5" s="1"/>
  <c r="C1503" i="5"/>
  <c r="E1503" i="5" s="1"/>
  <c r="C1504" i="5"/>
  <c r="E1504" i="5" s="1"/>
  <c r="C1505" i="5"/>
  <c r="E1505" i="5" s="1"/>
  <c r="C1506" i="5"/>
  <c r="E1506" i="5" s="1"/>
  <c r="C1507" i="5"/>
  <c r="E1507" i="5" s="1"/>
  <c r="C1508" i="5"/>
  <c r="E1508" i="5" s="1"/>
  <c r="C1509" i="5"/>
  <c r="E1509" i="5" s="1"/>
  <c r="C1510" i="5"/>
  <c r="E1510" i="5" s="1"/>
  <c r="C1511" i="5"/>
  <c r="E1511" i="5" s="1"/>
  <c r="C1512" i="5"/>
  <c r="E1512" i="5" s="1"/>
  <c r="C1513" i="5"/>
  <c r="E1513" i="5" s="1"/>
  <c r="C1514" i="5"/>
  <c r="E1514" i="5" s="1"/>
  <c r="C1515" i="5"/>
  <c r="E1515" i="5" s="1"/>
  <c r="C1516" i="5"/>
  <c r="E1516" i="5" s="1"/>
  <c r="C1517" i="5"/>
  <c r="E1517" i="5" s="1"/>
  <c r="C1518" i="5"/>
  <c r="E1518" i="5" s="1"/>
  <c r="C1519" i="5"/>
  <c r="E1519" i="5" s="1"/>
  <c r="C1520" i="5"/>
  <c r="E1520" i="5" s="1"/>
  <c r="C1521" i="5"/>
  <c r="E1521" i="5" s="1"/>
  <c r="C1522" i="5"/>
  <c r="E1522" i="5" s="1"/>
  <c r="C1523" i="5"/>
  <c r="E1523" i="5" s="1"/>
  <c r="C1524" i="5"/>
  <c r="E1524" i="5" s="1"/>
  <c r="C1525" i="5"/>
  <c r="E1525" i="5" s="1"/>
  <c r="C1526" i="5"/>
  <c r="E1526" i="5" s="1"/>
  <c r="C1527" i="5"/>
  <c r="E1527" i="5" s="1"/>
  <c r="C1528" i="5"/>
  <c r="E1528" i="5" s="1"/>
  <c r="C1529" i="5"/>
  <c r="E1529" i="5" s="1"/>
  <c r="C1530" i="5"/>
  <c r="E1530" i="5" s="1"/>
  <c r="C1531" i="5"/>
  <c r="E1531" i="5" s="1"/>
  <c r="C1532" i="5"/>
  <c r="E1532" i="5" s="1"/>
  <c r="C1533" i="5"/>
  <c r="E1533" i="5" s="1"/>
  <c r="C1534" i="5"/>
  <c r="E1534" i="5" s="1"/>
  <c r="C1535" i="5"/>
  <c r="E1535" i="5" s="1"/>
  <c r="C1536" i="5"/>
  <c r="E1536" i="5" s="1"/>
  <c r="C1537" i="5"/>
  <c r="E1537" i="5" s="1"/>
  <c r="C1538" i="5"/>
  <c r="E1538" i="5" s="1"/>
  <c r="C1539" i="5"/>
  <c r="E1539" i="5" s="1"/>
  <c r="C1540" i="5"/>
  <c r="E1540" i="5" s="1"/>
  <c r="C1541" i="5"/>
  <c r="E1541" i="5" s="1"/>
  <c r="C1542" i="5"/>
  <c r="E1542" i="5" s="1"/>
  <c r="C1543" i="5"/>
  <c r="E1543" i="5" s="1"/>
  <c r="C1544" i="5"/>
  <c r="E1544" i="5" s="1"/>
  <c r="C1545" i="5"/>
  <c r="E1545" i="5" s="1"/>
  <c r="C1546" i="5"/>
  <c r="E1546" i="5" s="1"/>
  <c r="C1547" i="5"/>
  <c r="E1547" i="5" s="1"/>
  <c r="C1548" i="5"/>
  <c r="E1548" i="5" s="1"/>
  <c r="C1549" i="5"/>
  <c r="E1549" i="5" s="1"/>
  <c r="C1550" i="5"/>
  <c r="E1550" i="5" s="1"/>
  <c r="C1551" i="5"/>
  <c r="E1551" i="5" s="1"/>
  <c r="C1552" i="5"/>
  <c r="E1552" i="5" s="1"/>
  <c r="C1553" i="5"/>
  <c r="E1553" i="5" s="1"/>
  <c r="C1554" i="5"/>
  <c r="E1554" i="5" s="1"/>
  <c r="C1555" i="5"/>
  <c r="E1555" i="5" s="1"/>
  <c r="C1556" i="5"/>
  <c r="E1556" i="5" s="1"/>
  <c r="C1557" i="5"/>
  <c r="E1557" i="5" s="1"/>
  <c r="C1558" i="5"/>
  <c r="E1558" i="5" s="1"/>
  <c r="C1559" i="5"/>
  <c r="E1559" i="5" s="1"/>
  <c r="C1560" i="5"/>
  <c r="E1560" i="5" s="1"/>
  <c r="C1561" i="5"/>
  <c r="E1561" i="5" s="1"/>
  <c r="C1562" i="5"/>
  <c r="E1562" i="5" s="1"/>
  <c r="C1563" i="5"/>
  <c r="E1563" i="5" s="1"/>
  <c r="C1564" i="5"/>
  <c r="E1564" i="5" s="1"/>
  <c r="C1565" i="5"/>
  <c r="E1565" i="5" s="1"/>
  <c r="C1566" i="5"/>
  <c r="E1566" i="5" s="1"/>
  <c r="C1567" i="5"/>
  <c r="E1567" i="5" s="1"/>
  <c r="C1568" i="5"/>
  <c r="E1568" i="5" s="1"/>
  <c r="C1569" i="5"/>
  <c r="E1569" i="5" s="1"/>
  <c r="C1570" i="5"/>
  <c r="E1570" i="5" s="1"/>
  <c r="C1571" i="5"/>
  <c r="E1571" i="5" s="1"/>
  <c r="C1572" i="5"/>
  <c r="E1572" i="5" s="1"/>
  <c r="C1573" i="5"/>
  <c r="E1573" i="5" s="1"/>
  <c r="C1574" i="5"/>
  <c r="E1574" i="5" s="1"/>
  <c r="C1575" i="5"/>
  <c r="E1575" i="5" s="1"/>
  <c r="C1576" i="5"/>
  <c r="E1576" i="5" s="1"/>
  <c r="C1577" i="5"/>
  <c r="E1577" i="5" s="1"/>
  <c r="C1578" i="5"/>
  <c r="E1578" i="5" s="1"/>
  <c r="C1579" i="5"/>
  <c r="E1579" i="5" s="1"/>
  <c r="C1580" i="5"/>
  <c r="E1580" i="5" s="1"/>
  <c r="C1581" i="5"/>
  <c r="E1581" i="5" s="1"/>
  <c r="C1582" i="5"/>
  <c r="E1582" i="5" s="1"/>
  <c r="C1583" i="5"/>
  <c r="E1583" i="5" s="1"/>
  <c r="C1584" i="5"/>
  <c r="E1584" i="5" s="1"/>
  <c r="C1585" i="5"/>
  <c r="E1585" i="5" s="1"/>
  <c r="C1586" i="5"/>
  <c r="E1586" i="5" s="1"/>
  <c r="C1587" i="5"/>
  <c r="E1587" i="5" s="1"/>
  <c r="C1588" i="5"/>
  <c r="E1588" i="5" s="1"/>
  <c r="C1589" i="5"/>
  <c r="E1589" i="5" s="1"/>
  <c r="C1590" i="5"/>
  <c r="E1590" i="5" s="1"/>
  <c r="C1591" i="5"/>
  <c r="E1591" i="5" s="1"/>
  <c r="C1592" i="5"/>
  <c r="E1592" i="5" s="1"/>
  <c r="C1593" i="5"/>
  <c r="E1593" i="5" s="1"/>
  <c r="C1594" i="5"/>
  <c r="E1594" i="5" s="1"/>
  <c r="C1595" i="5"/>
  <c r="E1595" i="5" s="1"/>
  <c r="C1596" i="5"/>
  <c r="E1596" i="5" s="1"/>
  <c r="C1597" i="5"/>
  <c r="E1597" i="5" s="1"/>
  <c r="C1598" i="5"/>
  <c r="E1598" i="5" s="1"/>
  <c r="C1599" i="5"/>
  <c r="E1599" i="5" s="1"/>
  <c r="C1600" i="5"/>
  <c r="E1600" i="5" s="1"/>
  <c r="C1601" i="5"/>
  <c r="E1601" i="5" s="1"/>
  <c r="C1602" i="5"/>
  <c r="E1602" i="5" s="1"/>
  <c r="C1603" i="5"/>
  <c r="E1603" i="5" s="1"/>
  <c r="C1604" i="5"/>
  <c r="E1604" i="5" s="1"/>
  <c r="C1605" i="5"/>
  <c r="E1605" i="5" s="1"/>
  <c r="C1606" i="5"/>
  <c r="E1606" i="5" s="1"/>
  <c r="C1607" i="5"/>
  <c r="E1607" i="5" s="1"/>
  <c r="C1608" i="5"/>
  <c r="E1608" i="5" s="1"/>
  <c r="C1609" i="5"/>
  <c r="E1609" i="5" s="1"/>
  <c r="C1610" i="5"/>
  <c r="E1610" i="5" s="1"/>
  <c r="C1611" i="5"/>
  <c r="E1611" i="5" s="1"/>
  <c r="C1612" i="5"/>
  <c r="E1612" i="5" s="1"/>
  <c r="C1613" i="5"/>
  <c r="E1613" i="5" s="1"/>
  <c r="C1614" i="5"/>
  <c r="E1614" i="5" s="1"/>
  <c r="C1615" i="5"/>
  <c r="E1615" i="5" s="1"/>
  <c r="C1616" i="5"/>
  <c r="E1616" i="5" s="1"/>
  <c r="C1617" i="5"/>
  <c r="E1617" i="5" s="1"/>
  <c r="C1618" i="5"/>
  <c r="E1618" i="5" s="1"/>
  <c r="C1619" i="5"/>
  <c r="E1619" i="5" s="1"/>
  <c r="C1620" i="5"/>
  <c r="E1620" i="5" s="1"/>
  <c r="C1621" i="5"/>
  <c r="E1621" i="5" s="1"/>
  <c r="C1622" i="5"/>
  <c r="E1622" i="5" s="1"/>
  <c r="C1623" i="5"/>
  <c r="E1623" i="5" s="1"/>
  <c r="C1624" i="5"/>
  <c r="E1624" i="5" s="1"/>
  <c r="C1625" i="5"/>
  <c r="E1625" i="5" s="1"/>
  <c r="C1626" i="5"/>
  <c r="E1626" i="5" s="1"/>
  <c r="C1627" i="5"/>
  <c r="E1627" i="5" s="1"/>
  <c r="C1628" i="5"/>
  <c r="E1628" i="5" s="1"/>
  <c r="C1629" i="5"/>
  <c r="E1629" i="5" s="1"/>
  <c r="C1630" i="5"/>
  <c r="E1630" i="5" s="1"/>
  <c r="C1631" i="5"/>
  <c r="E1631" i="5" s="1"/>
  <c r="C1632" i="5"/>
  <c r="E1632" i="5" s="1"/>
  <c r="C1633" i="5"/>
  <c r="E1633" i="5" s="1"/>
  <c r="C1634" i="5"/>
  <c r="E1634" i="5" s="1"/>
  <c r="C1635" i="5"/>
  <c r="E1635" i="5" s="1"/>
  <c r="C1636" i="5"/>
  <c r="E1636" i="5" s="1"/>
  <c r="C1637" i="5"/>
  <c r="E1637" i="5" s="1"/>
  <c r="C1638" i="5"/>
  <c r="E1638" i="5" s="1"/>
  <c r="C1639" i="5"/>
  <c r="E1639" i="5" s="1"/>
  <c r="C1640" i="5"/>
  <c r="E1640" i="5" s="1"/>
  <c r="C1641" i="5"/>
  <c r="E1641" i="5" s="1"/>
  <c r="C1642" i="5"/>
  <c r="E1642" i="5" s="1"/>
  <c r="C1643" i="5"/>
  <c r="E1643" i="5" s="1"/>
  <c r="C1644" i="5"/>
  <c r="E1644" i="5" s="1"/>
  <c r="C1645" i="5"/>
  <c r="E1645" i="5" s="1"/>
  <c r="C1646" i="5"/>
  <c r="E1646" i="5" s="1"/>
  <c r="C1647" i="5"/>
  <c r="E1647" i="5" s="1"/>
  <c r="C1648" i="5"/>
  <c r="E1648" i="5" s="1"/>
  <c r="C1649" i="5"/>
  <c r="E1649" i="5" s="1"/>
  <c r="C1650" i="5"/>
  <c r="E1650" i="5" s="1"/>
  <c r="C1651" i="5"/>
  <c r="E1651" i="5" s="1"/>
  <c r="C1652" i="5"/>
  <c r="E1652" i="5" s="1"/>
  <c r="C1653" i="5"/>
  <c r="E1653" i="5" s="1"/>
  <c r="C1654" i="5"/>
  <c r="E1654" i="5" s="1"/>
  <c r="C1655" i="5"/>
  <c r="E1655" i="5" s="1"/>
  <c r="C1656" i="5"/>
  <c r="E1656" i="5" s="1"/>
  <c r="C1657" i="5"/>
  <c r="E1657" i="5" s="1"/>
  <c r="C1658" i="5"/>
  <c r="E1658" i="5" s="1"/>
  <c r="C1659" i="5"/>
  <c r="E1659" i="5" s="1"/>
  <c r="C1660" i="5"/>
  <c r="E1660" i="5" s="1"/>
  <c r="C1661" i="5"/>
  <c r="E1661" i="5" s="1"/>
  <c r="C1662" i="5"/>
  <c r="E1662" i="5" s="1"/>
  <c r="C1663" i="5"/>
  <c r="E1663" i="5" s="1"/>
  <c r="C1664" i="5"/>
  <c r="E1664" i="5" s="1"/>
  <c r="C1665" i="5"/>
  <c r="E1665" i="5" s="1"/>
  <c r="C1666" i="5"/>
  <c r="E1666" i="5" s="1"/>
  <c r="C1667" i="5"/>
  <c r="E1667" i="5" s="1"/>
  <c r="C1668" i="5"/>
  <c r="E1668" i="5" s="1"/>
  <c r="C1669" i="5"/>
  <c r="E1669" i="5" s="1"/>
  <c r="C1670" i="5"/>
  <c r="E1670" i="5" s="1"/>
  <c r="C1671" i="5"/>
  <c r="E1671" i="5" s="1"/>
  <c r="C1672" i="5"/>
  <c r="E1672" i="5" s="1"/>
  <c r="C1673" i="5"/>
  <c r="E1673" i="5" s="1"/>
  <c r="C1674" i="5"/>
  <c r="E1674" i="5" s="1"/>
  <c r="C1675" i="5"/>
  <c r="E1675" i="5" s="1"/>
  <c r="C1676" i="5"/>
  <c r="E1676" i="5" s="1"/>
  <c r="C1677" i="5"/>
  <c r="E1677" i="5" s="1"/>
  <c r="C1678" i="5"/>
  <c r="E1678" i="5" s="1"/>
  <c r="C1679" i="5"/>
  <c r="E1679" i="5" s="1"/>
  <c r="C1680" i="5"/>
  <c r="E1680" i="5" s="1"/>
  <c r="C1681" i="5"/>
  <c r="E1681" i="5" s="1"/>
  <c r="C1682" i="5"/>
  <c r="E1682" i="5" s="1"/>
  <c r="C1683" i="5"/>
  <c r="E1683" i="5" s="1"/>
  <c r="C1684" i="5"/>
  <c r="E1684" i="5" s="1"/>
  <c r="C1685" i="5"/>
  <c r="E1685" i="5" s="1"/>
  <c r="C1686" i="5"/>
  <c r="E1686" i="5" s="1"/>
  <c r="C1687" i="5"/>
  <c r="E1687" i="5" s="1"/>
  <c r="C1688" i="5"/>
  <c r="E1688" i="5" s="1"/>
  <c r="C1689" i="5"/>
  <c r="E1689" i="5" s="1"/>
  <c r="C1690" i="5"/>
  <c r="E1690" i="5" s="1"/>
  <c r="C1691" i="5"/>
  <c r="E1691" i="5" s="1"/>
  <c r="C1692" i="5"/>
  <c r="E1692" i="5" s="1"/>
  <c r="C1693" i="5"/>
  <c r="E1693" i="5" s="1"/>
  <c r="C1694" i="5"/>
  <c r="E1694" i="5" s="1"/>
  <c r="C1695" i="5"/>
  <c r="E1695" i="5" s="1"/>
  <c r="C1696" i="5"/>
  <c r="E1696" i="5" s="1"/>
  <c r="C1697" i="5"/>
  <c r="E1697" i="5" s="1"/>
  <c r="C1698" i="5"/>
  <c r="E1698" i="5" s="1"/>
  <c r="C1699" i="5"/>
  <c r="E1699" i="5" s="1"/>
  <c r="C1700" i="5"/>
  <c r="E1700" i="5" s="1"/>
  <c r="C1701" i="5"/>
  <c r="E1701" i="5" s="1"/>
  <c r="C1702" i="5"/>
  <c r="E1702" i="5" s="1"/>
  <c r="C1703" i="5"/>
  <c r="E1703" i="5" s="1"/>
  <c r="C1704" i="5"/>
  <c r="E1704" i="5" s="1"/>
  <c r="C1705" i="5"/>
  <c r="E1705" i="5" s="1"/>
  <c r="C1706" i="5"/>
  <c r="E1706" i="5" s="1"/>
  <c r="C1707" i="5"/>
  <c r="E1707" i="5" s="1"/>
  <c r="C1708" i="5"/>
  <c r="E1708" i="5" s="1"/>
  <c r="C1709" i="5"/>
  <c r="E1709" i="5" s="1"/>
  <c r="C1710" i="5"/>
  <c r="E1710" i="5" s="1"/>
  <c r="C1711" i="5"/>
  <c r="E1711" i="5" s="1"/>
  <c r="C1712" i="5"/>
  <c r="E1712" i="5" s="1"/>
  <c r="C1713" i="5"/>
  <c r="E1713" i="5" s="1"/>
  <c r="C1714" i="5"/>
  <c r="E1714" i="5" s="1"/>
  <c r="C1715" i="5"/>
  <c r="E1715" i="5" s="1"/>
  <c r="C1716" i="5"/>
  <c r="E1716" i="5" s="1"/>
  <c r="C1717" i="5"/>
  <c r="E1717" i="5" s="1"/>
  <c r="C1718" i="5"/>
  <c r="E1718" i="5" s="1"/>
  <c r="C1719" i="5"/>
  <c r="E1719" i="5" s="1"/>
  <c r="C1720" i="5"/>
  <c r="E1720" i="5" s="1"/>
  <c r="C1721" i="5"/>
  <c r="E1721" i="5" s="1"/>
  <c r="C1722" i="5"/>
  <c r="E1722" i="5" s="1"/>
  <c r="C1723" i="5"/>
  <c r="E1723" i="5" s="1"/>
  <c r="C1724" i="5"/>
  <c r="E1724" i="5" s="1"/>
  <c r="C1725" i="5"/>
  <c r="E1725" i="5" s="1"/>
  <c r="C1726" i="5"/>
  <c r="E1726" i="5" s="1"/>
  <c r="C1727" i="5"/>
  <c r="E1727" i="5" s="1"/>
  <c r="C1728" i="5"/>
  <c r="E1728" i="5" s="1"/>
  <c r="C1729" i="5"/>
  <c r="E1729" i="5" s="1"/>
  <c r="C1730" i="5"/>
  <c r="E1730" i="5" s="1"/>
  <c r="C1731" i="5"/>
  <c r="E1731" i="5" s="1"/>
  <c r="C1732" i="5"/>
  <c r="E1732" i="5" s="1"/>
  <c r="C1733" i="5"/>
  <c r="E1733" i="5" s="1"/>
  <c r="C1734" i="5"/>
  <c r="E1734" i="5" s="1"/>
  <c r="C1735" i="5"/>
  <c r="E1735" i="5" s="1"/>
  <c r="C1736" i="5"/>
  <c r="E1736" i="5" s="1"/>
  <c r="C1737" i="5"/>
  <c r="E1737" i="5" s="1"/>
  <c r="C1738" i="5"/>
  <c r="E1738" i="5" s="1"/>
  <c r="C1739" i="5"/>
  <c r="E1739" i="5" s="1"/>
  <c r="C1740" i="5"/>
  <c r="E1740" i="5" s="1"/>
  <c r="C1741" i="5"/>
  <c r="E1741" i="5" s="1"/>
  <c r="C1742" i="5"/>
  <c r="E1742" i="5" s="1"/>
  <c r="C1743" i="5"/>
  <c r="E1743" i="5" s="1"/>
  <c r="C1744" i="5"/>
  <c r="E1744" i="5" s="1"/>
  <c r="C1745" i="5"/>
  <c r="E1745" i="5" s="1"/>
  <c r="C1746" i="5"/>
  <c r="E1746" i="5" s="1"/>
  <c r="C1747" i="5"/>
  <c r="E1747" i="5" s="1"/>
  <c r="C1748" i="5"/>
  <c r="E1748" i="5" s="1"/>
  <c r="C1749" i="5"/>
  <c r="E1749" i="5" s="1"/>
  <c r="C1750" i="5"/>
  <c r="E1750" i="5" s="1"/>
  <c r="C1751" i="5"/>
  <c r="E1751" i="5" s="1"/>
  <c r="C1752" i="5"/>
  <c r="E1752" i="5" s="1"/>
  <c r="C1753" i="5"/>
  <c r="E1753" i="5" s="1"/>
  <c r="C1754" i="5"/>
  <c r="E1754" i="5" s="1"/>
  <c r="C1755" i="5"/>
  <c r="E1755" i="5" s="1"/>
  <c r="C1756" i="5"/>
  <c r="E1756" i="5" s="1"/>
  <c r="C1757" i="5"/>
  <c r="E1757" i="5" s="1"/>
  <c r="C1758" i="5"/>
  <c r="E1758" i="5" s="1"/>
  <c r="C1759" i="5"/>
  <c r="E1759" i="5" s="1"/>
  <c r="C1760" i="5"/>
  <c r="E1760" i="5" s="1"/>
  <c r="C1761" i="5"/>
  <c r="E1761" i="5" s="1"/>
  <c r="C1762" i="5"/>
  <c r="E1762" i="5" s="1"/>
  <c r="C1763" i="5"/>
  <c r="E1763" i="5" s="1"/>
  <c r="C1764" i="5"/>
  <c r="E1764" i="5" s="1"/>
  <c r="C1765" i="5"/>
  <c r="E1765" i="5" s="1"/>
  <c r="C1766" i="5"/>
  <c r="E1766" i="5" s="1"/>
  <c r="C1767" i="5"/>
  <c r="E1767" i="5" s="1"/>
  <c r="C1768" i="5"/>
  <c r="E1768" i="5" s="1"/>
  <c r="C1769" i="5"/>
  <c r="E1769" i="5" s="1"/>
  <c r="C1770" i="5"/>
  <c r="E1770" i="5" s="1"/>
  <c r="C1771" i="5"/>
  <c r="E1771" i="5" s="1"/>
  <c r="C1772" i="5"/>
  <c r="E1772" i="5" s="1"/>
  <c r="C1773" i="5"/>
  <c r="E1773" i="5" s="1"/>
  <c r="C1774" i="5"/>
  <c r="E1774" i="5" s="1"/>
  <c r="C1775" i="5"/>
  <c r="E1775" i="5" s="1"/>
  <c r="C1776" i="5"/>
  <c r="E1776" i="5" s="1"/>
  <c r="C1777" i="5"/>
  <c r="E1777" i="5" s="1"/>
  <c r="C1778" i="5"/>
  <c r="E1778" i="5" s="1"/>
  <c r="C1779" i="5"/>
  <c r="E1779" i="5" s="1"/>
  <c r="C1780" i="5"/>
  <c r="E1780" i="5" s="1"/>
  <c r="C1781" i="5"/>
  <c r="E1781" i="5" s="1"/>
  <c r="C1782" i="5"/>
  <c r="E1782" i="5" s="1"/>
  <c r="C1783" i="5"/>
  <c r="E1783" i="5" s="1"/>
  <c r="C1784" i="5"/>
  <c r="E1784" i="5" s="1"/>
  <c r="C1785" i="5"/>
  <c r="E1785" i="5" s="1"/>
  <c r="C1786" i="5"/>
  <c r="E1786" i="5" s="1"/>
  <c r="C1787" i="5"/>
  <c r="E1787" i="5" s="1"/>
  <c r="C1788" i="5"/>
  <c r="E1788" i="5" s="1"/>
  <c r="C1789" i="5"/>
  <c r="E1789" i="5" s="1"/>
  <c r="C1790" i="5"/>
  <c r="E1790" i="5" s="1"/>
  <c r="C1791" i="5"/>
  <c r="E1791" i="5" s="1"/>
  <c r="C1792" i="5"/>
  <c r="E1792" i="5" s="1"/>
  <c r="C1793" i="5"/>
  <c r="E1793" i="5" s="1"/>
  <c r="C1794" i="5"/>
  <c r="E1794" i="5" s="1"/>
  <c r="C1795" i="5"/>
  <c r="E1795" i="5" s="1"/>
  <c r="C1796" i="5"/>
  <c r="E1796" i="5" s="1"/>
  <c r="C1797" i="5"/>
  <c r="E1797" i="5" s="1"/>
  <c r="C1798" i="5"/>
  <c r="E1798" i="5" s="1"/>
  <c r="C1799" i="5"/>
  <c r="E1799" i="5" s="1"/>
  <c r="C1800" i="5"/>
  <c r="E1800" i="5" s="1"/>
  <c r="C1801" i="5"/>
  <c r="E1801" i="5" s="1"/>
  <c r="C1802" i="5"/>
  <c r="E1802" i="5" s="1"/>
  <c r="C1803" i="5"/>
  <c r="E1803" i="5" s="1"/>
  <c r="C1804" i="5"/>
  <c r="E1804" i="5" s="1"/>
  <c r="C1805" i="5"/>
  <c r="E1805" i="5" s="1"/>
  <c r="C1806" i="5"/>
  <c r="E1806" i="5" s="1"/>
  <c r="C1807" i="5"/>
  <c r="E1807" i="5" s="1"/>
  <c r="C1808" i="5"/>
  <c r="E1808" i="5" s="1"/>
  <c r="C1809" i="5"/>
  <c r="E1809" i="5" s="1"/>
  <c r="C1810" i="5"/>
  <c r="E1810" i="5" s="1"/>
  <c r="C1811" i="5"/>
  <c r="E1811" i="5" s="1"/>
  <c r="C1812" i="5"/>
  <c r="E1812" i="5" s="1"/>
  <c r="C1813" i="5"/>
  <c r="E1813" i="5" s="1"/>
  <c r="C1814" i="5"/>
  <c r="E1814" i="5" s="1"/>
  <c r="C1815" i="5"/>
  <c r="E1815" i="5" s="1"/>
  <c r="C1816" i="5"/>
  <c r="E1816" i="5" s="1"/>
  <c r="C1817" i="5"/>
  <c r="E1817" i="5" s="1"/>
  <c r="C1818" i="5"/>
  <c r="E1818" i="5" s="1"/>
  <c r="C1819" i="5"/>
  <c r="E1819" i="5" s="1"/>
  <c r="C1820" i="5"/>
  <c r="E1820" i="5" s="1"/>
  <c r="C1821" i="5"/>
  <c r="E1821" i="5" s="1"/>
  <c r="C1822" i="5"/>
  <c r="E1822" i="5" s="1"/>
  <c r="C1823" i="5"/>
  <c r="E1823" i="5" s="1"/>
  <c r="C1824" i="5"/>
  <c r="E1824" i="5" s="1"/>
  <c r="C1825" i="5"/>
  <c r="E1825" i="5" s="1"/>
  <c r="C1826" i="5"/>
  <c r="E1826" i="5" s="1"/>
  <c r="C1827" i="5"/>
  <c r="E1827" i="5" s="1"/>
  <c r="C1828" i="5"/>
  <c r="E1828" i="5" s="1"/>
  <c r="C1829" i="5"/>
  <c r="E1829" i="5" s="1"/>
  <c r="C1830" i="5"/>
  <c r="E1830" i="5" s="1"/>
  <c r="C1831" i="5"/>
  <c r="E1831" i="5" s="1"/>
  <c r="C1832" i="5"/>
  <c r="E1832" i="5" s="1"/>
  <c r="C1833" i="5"/>
  <c r="E1833" i="5" s="1"/>
  <c r="C1834" i="5"/>
  <c r="E1834" i="5" s="1"/>
  <c r="C1835" i="5"/>
  <c r="E1835" i="5" s="1"/>
  <c r="C1836" i="5"/>
  <c r="E1836" i="5" s="1"/>
  <c r="C1837" i="5"/>
  <c r="E1837" i="5" s="1"/>
  <c r="C1838" i="5"/>
  <c r="E1838" i="5" s="1"/>
  <c r="C1839" i="5"/>
  <c r="E1839" i="5" s="1"/>
  <c r="C1840" i="5"/>
  <c r="E1840" i="5" s="1"/>
  <c r="C1841" i="5"/>
  <c r="E1841" i="5" s="1"/>
  <c r="C1842" i="5"/>
  <c r="E1842" i="5" s="1"/>
  <c r="C1843" i="5"/>
  <c r="E1843" i="5" s="1"/>
  <c r="C1844" i="5"/>
  <c r="E1844" i="5" s="1"/>
  <c r="C1845" i="5"/>
  <c r="E1845" i="5" s="1"/>
  <c r="C1846" i="5"/>
  <c r="E1846" i="5" s="1"/>
  <c r="C1847" i="5"/>
  <c r="E1847" i="5" s="1"/>
  <c r="C1848" i="5"/>
  <c r="E1848" i="5" s="1"/>
  <c r="C1849" i="5"/>
  <c r="E1849" i="5" s="1"/>
  <c r="C1850" i="5"/>
  <c r="E1850" i="5" s="1"/>
  <c r="C1851" i="5"/>
  <c r="E1851" i="5" s="1"/>
  <c r="C1852" i="5"/>
  <c r="E1852" i="5" s="1"/>
  <c r="C1853" i="5"/>
  <c r="E1853" i="5" s="1"/>
  <c r="C1854" i="5"/>
  <c r="E1854" i="5" s="1"/>
  <c r="C1855" i="5"/>
  <c r="E1855" i="5" s="1"/>
  <c r="C1856" i="5"/>
  <c r="E1856" i="5" s="1"/>
  <c r="C1857" i="5"/>
  <c r="E1857" i="5" s="1"/>
  <c r="C1858" i="5"/>
  <c r="E1858" i="5" s="1"/>
  <c r="C1859" i="5"/>
  <c r="E1859" i="5" s="1"/>
  <c r="C1860" i="5"/>
  <c r="E1860" i="5" s="1"/>
  <c r="C1861" i="5"/>
  <c r="E1861" i="5" s="1"/>
  <c r="C1862" i="5"/>
  <c r="E1862" i="5" s="1"/>
  <c r="C1863" i="5"/>
  <c r="E1863" i="5" s="1"/>
  <c r="C1864" i="5"/>
  <c r="E1864" i="5" s="1"/>
  <c r="C1865" i="5"/>
  <c r="E1865" i="5" s="1"/>
  <c r="C1866" i="5"/>
  <c r="E1866" i="5" s="1"/>
  <c r="C1867" i="5"/>
  <c r="E1867" i="5" s="1"/>
  <c r="C1868" i="5"/>
  <c r="E1868" i="5" s="1"/>
  <c r="C1869" i="5"/>
  <c r="E1869" i="5" s="1"/>
  <c r="C1870" i="5"/>
  <c r="E1870" i="5" s="1"/>
  <c r="C1871" i="5"/>
  <c r="E1871" i="5" s="1"/>
  <c r="C1872" i="5"/>
  <c r="E1872" i="5" s="1"/>
  <c r="C1873" i="5"/>
  <c r="E1873" i="5" s="1"/>
  <c r="C1874" i="5"/>
  <c r="E1874" i="5" s="1"/>
  <c r="C1875" i="5"/>
  <c r="E1875" i="5" s="1"/>
  <c r="C1876" i="5"/>
  <c r="E1876" i="5" s="1"/>
  <c r="C1877" i="5"/>
  <c r="E1877" i="5" s="1"/>
  <c r="C1878" i="5"/>
  <c r="E1878" i="5" s="1"/>
  <c r="C1879" i="5"/>
  <c r="E1879" i="5" s="1"/>
  <c r="C1880" i="5"/>
  <c r="E1880" i="5" s="1"/>
  <c r="C1881" i="5"/>
  <c r="E1881" i="5" s="1"/>
  <c r="C1882" i="5"/>
  <c r="E1882" i="5" s="1"/>
  <c r="C1883" i="5"/>
  <c r="E1883" i="5" s="1"/>
  <c r="C1884" i="5"/>
  <c r="E1884" i="5" s="1"/>
  <c r="C1885" i="5"/>
  <c r="E1885" i="5" s="1"/>
  <c r="C1886" i="5"/>
  <c r="E1886" i="5" s="1"/>
  <c r="C1887" i="5"/>
  <c r="E1887" i="5" s="1"/>
  <c r="C1888" i="5"/>
  <c r="E1888" i="5" s="1"/>
  <c r="C1889" i="5"/>
  <c r="E1889" i="5" s="1"/>
  <c r="C1890" i="5"/>
  <c r="E1890" i="5" s="1"/>
  <c r="C1891" i="5"/>
  <c r="E1891" i="5" s="1"/>
  <c r="C1892" i="5"/>
  <c r="E1892" i="5" s="1"/>
  <c r="C1893" i="5"/>
  <c r="E1893" i="5" s="1"/>
  <c r="C1894" i="5"/>
  <c r="E1894" i="5" s="1"/>
  <c r="C1895" i="5"/>
  <c r="E1895" i="5" s="1"/>
  <c r="C1896" i="5"/>
  <c r="E1896" i="5" s="1"/>
  <c r="C1897" i="5"/>
  <c r="E1897" i="5" s="1"/>
  <c r="C1898" i="5"/>
  <c r="E1898" i="5" s="1"/>
  <c r="C1899" i="5"/>
  <c r="E1899" i="5" s="1"/>
  <c r="C1900" i="5"/>
  <c r="E1900" i="5" s="1"/>
  <c r="C1901" i="5"/>
  <c r="E1901" i="5" s="1"/>
  <c r="C1902" i="5"/>
  <c r="E1902" i="5" s="1"/>
  <c r="C1903" i="5"/>
  <c r="E1903" i="5" s="1"/>
  <c r="C1904" i="5"/>
  <c r="E1904" i="5" s="1"/>
  <c r="C1905" i="5"/>
  <c r="E1905" i="5" s="1"/>
  <c r="C1906" i="5"/>
  <c r="E1906" i="5" s="1"/>
  <c r="C1907" i="5"/>
  <c r="E1907" i="5" s="1"/>
  <c r="C1908" i="5"/>
  <c r="E1908" i="5" s="1"/>
  <c r="C1909" i="5"/>
  <c r="E1909" i="5" s="1"/>
  <c r="C1910" i="5"/>
  <c r="E1910" i="5" s="1"/>
  <c r="C1911" i="5"/>
  <c r="E1911" i="5" s="1"/>
  <c r="C1912" i="5"/>
  <c r="E1912" i="5" s="1"/>
  <c r="C1913" i="5"/>
  <c r="E1913" i="5" s="1"/>
  <c r="C1914" i="5"/>
  <c r="E1914" i="5" s="1"/>
  <c r="C1915" i="5"/>
  <c r="E1915" i="5" s="1"/>
  <c r="C1916" i="5"/>
  <c r="E1916" i="5" s="1"/>
  <c r="C1917" i="5"/>
  <c r="E1917" i="5" s="1"/>
  <c r="C1918" i="5"/>
  <c r="E1918" i="5" s="1"/>
  <c r="C1919" i="5"/>
  <c r="E1919" i="5" s="1"/>
  <c r="C1920" i="5"/>
  <c r="E1920" i="5" s="1"/>
  <c r="C1921" i="5"/>
  <c r="E1921" i="5" s="1"/>
  <c r="C1922" i="5"/>
  <c r="E1922" i="5" s="1"/>
  <c r="C1923" i="5"/>
  <c r="E1923" i="5" s="1"/>
  <c r="C1924" i="5"/>
  <c r="E1924" i="5" s="1"/>
  <c r="C1925" i="5"/>
  <c r="E1925" i="5" s="1"/>
  <c r="C1926" i="5"/>
  <c r="E1926" i="5" s="1"/>
  <c r="C1927" i="5"/>
  <c r="E1927" i="5" s="1"/>
  <c r="C1928" i="5"/>
  <c r="E1928" i="5" s="1"/>
  <c r="C1929" i="5"/>
  <c r="E1929" i="5" s="1"/>
  <c r="C1930" i="5"/>
  <c r="E1930" i="5" s="1"/>
  <c r="C1931" i="5"/>
  <c r="E1931" i="5" s="1"/>
  <c r="C1932" i="5"/>
  <c r="E1932" i="5" s="1"/>
  <c r="C1933" i="5"/>
  <c r="E1933" i="5" s="1"/>
  <c r="C1934" i="5"/>
  <c r="E1934" i="5" s="1"/>
  <c r="C1935" i="5"/>
  <c r="E1935" i="5" s="1"/>
  <c r="C1936" i="5"/>
  <c r="E1936" i="5" s="1"/>
  <c r="C1937" i="5"/>
  <c r="E1937" i="5" s="1"/>
  <c r="C1938" i="5"/>
  <c r="E1938" i="5" s="1"/>
  <c r="C1939" i="5"/>
  <c r="E1939" i="5" s="1"/>
  <c r="C1940" i="5"/>
  <c r="E1940" i="5" s="1"/>
  <c r="C1941" i="5"/>
  <c r="E1941" i="5" s="1"/>
  <c r="C1942" i="5"/>
  <c r="E1942" i="5" s="1"/>
  <c r="C1943" i="5"/>
  <c r="E1943" i="5" s="1"/>
  <c r="C1944" i="5"/>
  <c r="E1944" i="5" s="1"/>
  <c r="C1945" i="5"/>
  <c r="E1945" i="5" s="1"/>
  <c r="C1946" i="5"/>
  <c r="E1946" i="5" s="1"/>
  <c r="C1947" i="5"/>
  <c r="E1947" i="5" s="1"/>
  <c r="C1948" i="5"/>
  <c r="E1948" i="5" s="1"/>
  <c r="C1949" i="5"/>
  <c r="E1949" i="5" s="1"/>
  <c r="C1950" i="5"/>
  <c r="E1950" i="5" s="1"/>
  <c r="C1951" i="5"/>
  <c r="E1951" i="5" s="1"/>
  <c r="C1952" i="5"/>
  <c r="E1952" i="5" s="1"/>
  <c r="C1953" i="5"/>
  <c r="E1953" i="5" s="1"/>
  <c r="C1954" i="5"/>
  <c r="E1954" i="5" s="1"/>
  <c r="C1955" i="5"/>
  <c r="E1955" i="5" s="1"/>
  <c r="C1956" i="5"/>
  <c r="E1956" i="5" s="1"/>
  <c r="C1957" i="5"/>
  <c r="E1957" i="5" s="1"/>
  <c r="C1958" i="5"/>
  <c r="E1958" i="5" s="1"/>
  <c r="C1959" i="5"/>
  <c r="E1959" i="5" s="1"/>
  <c r="C1960" i="5"/>
  <c r="E1960" i="5" s="1"/>
  <c r="C1961" i="5"/>
  <c r="E1961" i="5" s="1"/>
  <c r="C1962" i="5"/>
  <c r="E1962" i="5" s="1"/>
  <c r="C1963" i="5"/>
  <c r="E1963" i="5" s="1"/>
  <c r="C1964" i="5"/>
  <c r="E1964" i="5" s="1"/>
  <c r="C1965" i="5"/>
  <c r="E1965" i="5" s="1"/>
  <c r="C1966" i="5"/>
  <c r="E1966" i="5" s="1"/>
  <c r="C1967" i="5"/>
  <c r="E1967" i="5" s="1"/>
  <c r="C1968" i="5"/>
  <c r="E1968" i="5" s="1"/>
  <c r="C1969" i="5"/>
  <c r="E1969" i="5" s="1"/>
  <c r="C1970" i="5"/>
  <c r="E1970" i="5" s="1"/>
  <c r="C1971" i="5"/>
  <c r="E1971" i="5" s="1"/>
  <c r="C1972" i="5"/>
  <c r="E1972" i="5" s="1"/>
  <c r="C1973" i="5"/>
  <c r="E1973" i="5" s="1"/>
  <c r="C1974" i="5"/>
  <c r="E1974" i="5" s="1"/>
  <c r="C1975" i="5"/>
  <c r="E1975" i="5" s="1"/>
  <c r="C1976" i="5"/>
  <c r="E1976" i="5" s="1"/>
  <c r="C1977" i="5"/>
  <c r="E1977" i="5" s="1"/>
  <c r="C1978" i="5"/>
  <c r="E1978" i="5" s="1"/>
  <c r="C1979" i="5"/>
  <c r="E1979" i="5" s="1"/>
  <c r="C1980" i="5"/>
  <c r="E1980" i="5" s="1"/>
  <c r="C1981" i="5"/>
  <c r="E1981" i="5" s="1"/>
  <c r="C1982" i="5"/>
  <c r="E1982" i="5" s="1"/>
  <c r="C1983" i="5"/>
  <c r="E1983" i="5" s="1"/>
  <c r="C1984" i="5"/>
  <c r="E1984" i="5" s="1"/>
  <c r="C1985" i="5"/>
  <c r="E1985" i="5" s="1"/>
  <c r="C1986" i="5"/>
  <c r="E1986" i="5" s="1"/>
  <c r="C1987" i="5"/>
  <c r="E1987" i="5" s="1"/>
  <c r="C1988" i="5"/>
  <c r="E1988" i="5" s="1"/>
  <c r="C1989" i="5"/>
  <c r="E1989" i="5" s="1"/>
  <c r="C1990" i="5"/>
  <c r="E1990" i="5" s="1"/>
  <c r="C1991" i="5"/>
  <c r="E1991" i="5" s="1"/>
  <c r="C1992" i="5"/>
  <c r="E1992" i="5" s="1"/>
  <c r="C1993" i="5"/>
  <c r="E1993" i="5" s="1"/>
  <c r="C1994" i="5"/>
  <c r="E1994" i="5" s="1"/>
  <c r="C1995" i="5"/>
  <c r="E1995" i="5" s="1"/>
  <c r="C1996" i="5"/>
  <c r="E1996" i="5" s="1"/>
  <c r="C1997" i="5"/>
  <c r="E1997" i="5" s="1"/>
  <c r="C1998" i="5"/>
  <c r="E1998" i="5" s="1"/>
  <c r="C1999" i="5"/>
  <c r="E1999" i="5" s="1"/>
  <c r="D7" i="5"/>
  <c r="D4" i="5" s="1"/>
  <c r="C7" i="5"/>
  <c r="F4" i="5" s="1"/>
  <c r="C4" i="5"/>
  <c r="B40" i="7" s="1"/>
  <c r="E14" i="5" l="1"/>
  <c r="AJ66" i="8"/>
  <c r="G65" i="8"/>
  <c r="E519" i="5"/>
  <c r="G4" i="5"/>
  <c r="H4" i="5" s="1"/>
  <c r="E7" i="5"/>
  <c r="E4" i="5"/>
  <c r="H2000" i="5" l="1"/>
  <c r="E2000" i="5"/>
  <c r="C181" i="7" l="1"/>
  <c r="C175" i="7"/>
  <c r="B177" i="7" l="1"/>
  <c r="B183" i="7"/>
  <c r="B189" i="7"/>
  <c r="B193" i="7" l="1"/>
  <c r="B167" i="7"/>
  <c r="B134" i="7" l="1"/>
  <c r="B119" i="7"/>
  <c r="B103" i="7" l="1"/>
  <c r="B67" i="8" l="1"/>
  <c r="B70" i="7"/>
  <c r="B33" i="7"/>
  <c r="B29" i="7"/>
  <c r="B22" i="7"/>
  <c r="B15" i="7"/>
  <c r="B18" i="7" s="1"/>
  <c r="B23" i="7" l="1"/>
  <c r="B34" i="7"/>
  <c r="B197" i="7"/>
  <c r="B168" i="7"/>
  <c r="C168" i="7" s="1"/>
  <c r="B45" i="7" l="1"/>
  <c r="B44" i="7"/>
  <c r="B41" i="7"/>
  <c r="B49" i="7" l="1"/>
  <c r="B46" i="7"/>
  <c r="B56" i="7"/>
  <c r="B86" i="7" l="1"/>
  <c r="B76" i="7"/>
  <c r="B63" i="7"/>
  <c r="C142" i="7" l="1"/>
  <c r="C153" i="7"/>
  <c r="C154" i="7"/>
  <c r="C156" i="7"/>
  <c r="C157" i="7"/>
  <c r="C62" i="7"/>
  <c r="C141" i="7"/>
  <c r="C146" i="7"/>
  <c r="C61" i="7"/>
  <c r="C152" i="7"/>
  <c r="C158" i="7"/>
  <c r="C162" i="7"/>
  <c r="C155" i="7"/>
  <c r="C118" i="7"/>
  <c r="C117" i="7"/>
  <c r="C124" i="7"/>
  <c r="C132" i="7"/>
  <c r="C106" i="7"/>
  <c r="C125" i="7"/>
  <c r="C133" i="7"/>
  <c r="C92" i="7"/>
  <c r="C107" i="7"/>
  <c r="C126" i="7"/>
  <c r="C122" i="7"/>
  <c r="C80" i="7"/>
  <c r="C81" i="7"/>
  <c r="C110" i="7"/>
  <c r="C75" i="7"/>
  <c r="C93" i="7"/>
  <c r="C98" i="7"/>
  <c r="C84" i="7"/>
  <c r="C99" i="7"/>
  <c r="C79" i="7"/>
  <c r="C94" i="7"/>
  <c r="C130" i="7"/>
  <c r="C114" i="7"/>
  <c r="C128" i="7"/>
  <c r="C131" i="7"/>
  <c r="C89" i="7"/>
  <c r="C129" i="7"/>
  <c r="C127" i="7"/>
  <c r="C68" i="7"/>
  <c r="C85" i="7"/>
  <c r="C108" i="7"/>
  <c r="C111" i="7"/>
  <c r="C101" i="7"/>
  <c r="C100" i="7"/>
  <c r="C83" i="7"/>
  <c r="C109" i="7"/>
  <c r="C116" i="7"/>
  <c r="C115" i="7"/>
  <c r="C102" i="7"/>
  <c r="C67" i="7"/>
  <c r="C123" i="7"/>
  <c r="C69" i="7"/>
  <c r="C74" i="7"/>
  <c r="C73" i="7"/>
  <c r="C66" i="7"/>
  <c r="C82" i="7"/>
  <c r="C150" i="7"/>
  <c r="C70" i="7"/>
  <c r="C76" i="7"/>
  <c r="B198" i="7"/>
  <c r="B199" i="7" s="1"/>
  <c r="C103" i="7"/>
  <c r="C119" i="7"/>
  <c r="C134" i="7"/>
  <c r="C86" i="7"/>
  <c r="C95" i="7"/>
  <c r="B42" i="7"/>
  <c r="B48" i="7"/>
  <c r="B50" i="7" l="1"/>
  <c r="Q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<sst xmlns="http://schemas.openxmlformats.org/spreadsheetml/2006/main" count="603" uniqueCount="479">
  <si>
    <t>Title VII-Ch. 2 7-OB Report</t>
  </si>
  <si>
    <t>Enter Key in cell C2 below</t>
  </si>
  <si>
    <t>Soc!25$</t>
  </si>
  <si>
    <t>Organization:</t>
  </si>
  <si>
    <t>Grant #:</t>
  </si>
  <si>
    <t>Quarter:</t>
  </si>
  <si>
    <t>Grant Year:</t>
  </si>
  <si>
    <t>2025/26</t>
  </si>
  <si>
    <t>Applicable Date Range:</t>
  </si>
  <si>
    <t>Part I</t>
  </si>
  <si>
    <t>A. Funding Sources and Amounts in Support of the OIB Program for the Reported Federal Fiscal Year (FFY)</t>
  </si>
  <si>
    <t>1. Title VII-Chapter 2 Federal grant award for reported FFY – Enter the total amount of your Title VII-Chapter 2 grant award for the reported FFY. Amount must agree with 10d of the Federal Financial Report form (SF-425).</t>
  </si>
  <si>
    <t>2. Title VII-Chapter 2 carryover from previous FFY – Enter the amount of Title VII-Chapter 2 grant funds carried over from the previous FFY. Enter zero, if none.</t>
  </si>
  <si>
    <t>3. TOTAL Title VII-Chapter 2 funds – The sum of A1 + A2. Total will be automatically populated.</t>
  </si>
  <si>
    <t>4. Title VII-Chapter 1, Part B funds – Enter the total amount of Federal Title VII-Chapter 1, Part B (State Independent Living Services) funds made available for support of the OIB program in the reported FFY.</t>
  </si>
  <si>
    <t>5. Other Federal funds available for expenditure in the reported FFY - Enter the total amount of any other Federal funds available for expenditure to support the OIB program for the reported FFY. Other Federal funds may include, but are not limited to, such funds as SSA reimbursement, Title XX Social Security Act funds, and Older Americans Act funds, including the carryover of such funds that are available for expenditure in the reported FFY.</t>
  </si>
  <si>
    <t>6. Total Federal funds - Sum of A3 + A4 + A5. Total will be automatically populated.</t>
  </si>
  <si>
    <t>7. State funds (excluding in-kind contributions) - Enter the total amount of State funds available for expenditure in the OIB program. Include funds from State appropriations as well as funds from other State sources that were available to support the OIB program for the reported FFY.</t>
  </si>
  <si>
    <t>8. In-kind contributions - Enter the total dollar amount of fairly evaluated and documented in-kind contributions from state, local, and public agencies, as well as non-profit and for-profit organizations. These can include but are not limited to services, materials, equipment, buildings, or office space that was utilized in support of the OIB program.</t>
  </si>
  <si>
    <t>9. Other non-Federal funds - Enter the total amount of funds from other non-Federal sources including local and community funding, non-profit or for-profit agency funding, voluntary client contributions, etc. Do not include in-kind contributions. State funds should be reported in A7 above.</t>
  </si>
  <si>
    <t>10. Total non-Federal funds - Sum of A7 + A9 above; do not include In-kind contributions reported in A8. Total will be automatically populated.</t>
  </si>
  <si>
    <t>11. Total of all funds available for expenditure in the reported FFY - Sum of A6 + A7 + A9. Do not include in-kind contributions reported in A8. Total will be automatically populated.</t>
  </si>
  <si>
    <t>B. OIB Program Expenditures in Reported FFY</t>
  </si>
  <si>
    <t>1. Funds expended for administrative costs in the reported FFY - Enter the total amount of funds expended for administrative costs, including administrative support staff and general overhead costs, during the reported FFY. Do not include expenditures for direct services provided by agency staff or the expenditures of contract or sub-grantee staff that provide direct services under contracts or sub-grants. For example, if an administrator spends a portion of his or her time providing administrative services and the remainder providing direct services, include only the expenditures for administrative services.</t>
  </si>
  <si>
    <r>
      <t xml:space="preserve">      a.</t>
    </r>
    <r>
      <rPr>
        <b/>
        <sz val="14"/>
        <color theme="1"/>
        <rFont val="Arial"/>
        <family val="2"/>
      </rPr>
      <t xml:space="preserve"> Administrative expenditures</t>
    </r>
    <r>
      <rPr>
        <sz val="14"/>
        <color theme="1"/>
        <rFont val="Arial"/>
        <family val="2"/>
      </rPr>
      <t xml:space="preserve"> from (1) Title VII-Chapter 2 Federal grant award funds, including allowable carryover funds from the previous FFY and (2) non-Federal sources used in meeting the match requirement as reported on line 10j of the SF-425.</t>
    </r>
  </si>
  <si>
    <t xml:space="preserve">     b. Administrative expenditures from all other allowable sources as identified in Part I - A above.</t>
  </si>
  <si>
    <t xml:space="preserve">     c. Total administrative expenditures - Sum of 1a + 1b. Total will be automatically populated.</t>
  </si>
  <si>
    <t>2. Funds expended for direct services during the reported FFY - Enter the total funds expended for direct program services during the reported FFY. Amount reported must equal the total funds expended for services in Part IV – F.</t>
  </si>
  <si>
    <r>
      <rPr>
        <b/>
        <sz val="16"/>
        <color theme="1"/>
        <rFont val="Arial"/>
        <family val="2"/>
      </rPr>
      <t xml:space="preserve">     a. Direct service expenditures </t>
    </r>
    <r>
      <rPr>
        <sz val="14"/>
        <color theme="1"/>
        <rFont val="Arial"/>
        <family val="2"/>
      </rPr>
      <t>from (1) Title VII-Chapter 2 OIB Federal grant award, including allowable carryover funds from the previous FFY and (2) non-Federal sources used in meeting the match requirement as reported on line 10j of the SF-425.</t>
    </r>
  </si>
  <si>
    <t xml:space="preserve">     b. Direct service expenditures from all other allowable sources as identified in Part I - A above.</t>
  </si>
  <si>
    <t xml:space="preserve">     c. Total direct services expenditures - Sum of 2a + 2b. Total will be automatically populated.</t>
  </si>
  <si>
    <t>3. Total funds expended for the program during the reported FFY - Sum of B1c + B2c. Total will be automatically populated.</t>
  </si>
  <si>
    <t>Part II</t>
  </si>
  <si>
    <r>
      <rPr>
        <b/>
        <sz val="16"/>
        <color theme="1"/>
        <rFont val="Arial"/>
        <family val="2"/>
      </rPr>
      <t xml:space="preserve">A. Full-time Equivalent (FTE) Program Staff </t>
    </r>
    <r>
      <rPr>
        <sz val="14"/>
        <color theme="1"/>
        <rFont val="Arial"/>
        <family val="2"/>
      </rPr>
      <t xml:space="preserve">
Record the FTE administrative and support staff and direct service staff, including State agency staff and contract/subgrant staff, for the OIB program. If a staff member provides both administrative and support functions and direct services, report the percentage of FTE devoted to administrative and support activities under “Administrative &amp; Support” and the percentage of FTE devoted to direct services under “Direct Services.” For example, assuming a full-time 40 hour work week, if 20% (8 hours per week) of a staff person’s time was spent on administrative and support functions related to this program, and 80% (32 hours per week) of the staff person’s time was spent in providing direct services for this program, the reported FTE for that staff person would be 0.2 for administrative and support functions and 0.8 for direct services.</t>
    </r>
  </si>
  <si>
    <t>1. FTE State Agency staff assigned to the OIB program</t>
  </si>
  <si>
    <t xml:space="preserve">     a. Administrative and support – Under “Administrative &amp; Support,” enter the FTE of all administrative and support staff (e.g., management, program directors, supervisors, readers, drivers for staff, etc.) assigned to the OIB program from the State agency.</t>
  </si>
  <si>
    <t xml:space="preserve">     b. Direct service – Under “Direct Service”, enter the FTE of all State agency direct service staff (e.g., rehabilitation teachers, Independent Living (IL) specialists, orientation and mobility specialists, social workers, drivers for individuals receiving services, etc.) assigned to the OIB program from the State agency.</t>
  </si>
  <si>
    <t xml:space="preserve">     c. Total – The total State agency FTE (A1C) is the sum of the “Administrative &amp; Support” FTE (A1A) and “Direct Service” FTE (A1B). Total will be automatically populated.</t>
  </si>
  <si>
    <t>2. FTE through contract/subgrant – FTE assigned to the OIB program through a contract or subgrant.</t>
  </si>
  <si>
    <t xml:space="preserve">     a. Administrative &amp; support – Under “Administrative &amp; Support” (A2a), enter the FTE of all administrative and support staff (e.g., management, program directors, supervisors, readers, drivers for staff, etc.) assigned to the OIB program through contract/subgrant.</t>
  </si>
  <si>
    <t xml:space="preserve">     b. Direct service – Under “Direct Service” (A2b), enter the FTE of all direct service staff (e.g., rehabilitation teachers, independent living specialists, orientation and mobility specialists, social workers, drivers for individuals receiving services, etc.) assigned to the OIB program through contract/subgrant.</t>
  </si>
  <si>
    <t xml:space="preserve">    c. Total – The Total Contract/subgrantee FTE (A2c) is the sum of the “Administrative &amp; Support” FTE (A2a) and the “Direct Service” FTE (A2b). Total will be automatically populated.</t>
  </si>
  <si>
    <t>3. Total FTE – The system will generate the FTE totals for Administrative &amp; Support and for Direct Service, as well as the total FTE for the program.</t>
  </si>
  <si>
    <t>Administrative and Support Total FTE:</t>
  </si>
  <si>
    <t>Direct Service Total FTE:</t>
  </si>
  <si>
    <t>Total Program FTE:</t>
  </si>
  <si>
    <t>B. Employees with Disabilities</t>
  </si>
  <si>
    <t>1. Employees with disabilities other than with blindness or severe visual impairments – Enter the total number of employees with disabilities, excluding those with blindness or severe visual impairments. Employees with blindness or severe visual impairments are reported separately in B2 and B3 below.</t>
  </si>
  <si>
    <t>2. Employees with blindness or severe visual impairments who are age 55 and older – Enter the total number who are blind or who have severe visual impairments and are age 55 and older.</t>
  </si>
  <si>
    <t>3. Employees with blindness or severe visual impairments who are under age 55 – Enter the total number who are blind or have a severe visual impairment and are under age 55.</t>
  </si>
  <si>
    <t>4. Total employees with disabilities – Enter the number of employees reported in B1, B2, and B3. Total in B4 will be automatically populated.</t>
  </si>
  <si>
    <t>Part III</t>
  </si>
  <si>
    <t>A. Individuals Served</t>
  </si>
  <si>
    <t>1. Enter the number of program participants carried over from the previous FFY who received services in this reported FFY (i.e., an individual who received services in September (or any other month) of the previous FFY and continued to receive additional services in the reported FFY).</t>
  </si>
  <si>
    <t>2. Enter the number of program participants who began receiving services during the reported FFY irrespective of whether they have completed all services.</t>
  </si>
  <si>
    <t>3. Total individuals served during the reported FFY - Sum of A1 + A2. Total will be automatically populated.</t>
  </si>
  <si>
    <t>This is the total number of participants</t>
  </si>
  <si>
    <r>
      <rPr>
        <b/>
        <sz val="16"/>
        <color theme="1"/>
        <rFont val="Arial"/>
        <family val="2"/>
      </rPr>
      <t>B. Age at Application</t>
    </r>
    <r>
      <rPr>
        <sz val="16"/>
        <color theme="1"/>
        <rFont val="Arial"/>
        <family val="2"/>
      </rPr>
      <t xml:space="preserve">  </t>
    </r>
    <r>
      <rPr>
        <sz val="14"/>
        <color theme="1"/>
        <rFont val="Arial"/>
        <family val="2"/>
      </rPr>
      <t xml:space="preserve">
Categories 1 through 4 - The total number of individuals served in each respective age category (B1 through B4).</t>
    </r>
  </si>
  <si>
    <t>1. 55-64</t>
  </si>
  <si>
    <t>2. 65-74</t>
  </si>
  <si>
    <t>3. 75-84</t>
  </si>
  <si>
    <t>4. 85+</t>
  </si>
  <si>
    <t>5. The sum of age categories B1 through B4. This total must agree with the total reported in A3. Total will be automatically populated.</t>
  </si>
  <si>
    <t>C. Gender</t>
  </si>
  <si>
    <t>1.Self-identifies as female – Enter the total number of individuals receiving services who self-identify as female.</t>
  </si>
  <si>
    <t>2. Self-identifies as male – Enter the total number of individuals receiving services who self-identify as male.</t>
  </si>
  <si>
    <t>3. Did not self-identify gender – Enter the total number of Individuals receiving services who did not self-identify gender.</t>
  </si>
  <si>
    <t>4. Total – Sum of C1 + C2 + C3. This total must agree with the total reported in A3 above. Total will be automatically populated.</t>
  </si>
  <si>
    <r>
      <rPr>
        <b/>
        <sz val="14"/>
        <color theme="1"/>
        <rFont val="Arial"/>
        <family val="2"/>
      </rPr>
      <t>D. Race</t>
    </r>
    <r>
      <rPr>
        <sz val="14"/>
        <color theme="1"/>
        <rFont val="Arial"/>
        <family val="2"/>
      </rPr>
      <t xml:space="preserve"> 
Categories 1 through 7 - Enter the number of individuals served in the reported FFY for each of the 7 race categories (D1 through D7). Self-identification is required to the greatest extent possible. It is generally expected that the information recorded will reflect the individual’s own identification of race from these categories. Observer identification is not required. If the individual refuses to self-identify, record in item 6 (individual did not self-identify race). An individual should only be reported in one of the 7 categories. Item 7 should be used to report individuals served who identify two or more races. The multi-race category (item 7) should not be used to report an individual who identifies only 1 of the 5 races listed and also identifies that they are of Hispanic or Latino ethnicity. Hispanic or Latino ethnicity is recorded in section E, regardless of race.</t>
    </r>
  </si>
  <si>
    <t>1. American Indian – Enter the number of individuals served who are American Indian or Alaska Native. American Indian/Alaska Native means a person having origins in any of the original peoples of North and South America (including Central America), and who maintains tribal affiliation or community attachment.</t>
  </si>
  <si>
    <t>2. Asian – Enter the number of individuals served who are Asian. Asian means a person having origins in any of the original peoples of the Far East, Southeast Asia, or the Indian subcontinent including, for example, Cambodia, China, India, Japan, Korea, Malaysia, Pakistan, the Philippine Islands, Thailand, and Vietnam.</t>
  </si>
  <si>
    <t>3. Black or African American – Enter the number of individuals served who are Black or African American. Black or African American means a person having origins in any of the black racial groups of Africa.</t>
  </si>
  <si>
    <t>4. Native Hawaiian or Other Pacific Islander – Enter the number of individuals served who are Native Hawaiian or Other Pacific Islander. Native Hawaiian or Other Pacific Islander means a person having origins in any of the original peoples of Hawaii, Guam, Samoa, or other Pacific Islands.</t>
  </si>
  <si>
    <t>5. White – Enter the number of individuals served who are White. White means a person having origins in any of the original peoples of Europe, the Middle East, or North Africa.</t>
  </si>
  <si>
    <t>6. Individual did not self-identify race – Enter the number of individuals served who did not self-identify race or refused to self-identify race.</t>
  </si>
  <si>
    <t>7. Two or more races – Enter the number of individuals served who report two or more races (for multi-race individuals).</t>
  </si>
  <si>
    <t>8. Total – Sum of items D1 through D7. This total must agree with the total reported in A3 above. Do not include the Ethnicity sum from E1.</t>
  </si>
  <si>
    <t>E. Ethnicity</t>
  </si>
  <si>
    <t>1. Enter the number of individuals served who reported that they are 
Hispanic or Latino. Hispanic or Latino means a person of Cuban, Mexican, Puerto Rican, South or Central American, or other Spanish culture or origin, regardless of race.</t>
  </si>
  <si>
    <t>F. Degree of Visual Impairment</t>
  </si>
  <si>
    <t>1. Enter the number of individuals served who are totally blind (e.g., have light perception only or no light perception).</t>
  </si>
  <si>
    <t>2. Enter the number of individuals served who are considered legally blind, excluding those recorded in F1.</t>
  </si>
  <si>
    <t>3. Enter the number of individuals served who have severe visual impairment, excluding those recorded in F1 and F2.</t>
  </si>
  <si>
    <t>4. Total - Sum of F1 + F2 + F3. The total must agree with the total in A3 above. Total will be automatically populated.</t>
  </si>
  <si>
    <r>
      <rPr>
        <b/>
        <sz val="14"/>
        <color theme="1"/>
        <rFont val="Arial"/>
        <family val="2"/>
      </rPr>
      <t>G. Major Cause of Visual Impairment</t>
    </r>
    <r>
      <rPr>
        <sz val="14"/>
        <color theme="1"/>
        <rFont val="Arial"/>
        <family val="2"/>
      </rPr>
      <t xml:space="preserve">  
Enter only one major cause of visual impairment for each individual served during the reported FFY. Below are the most common causes of visual impairment among older individuals.</t>
    </r>
  </si>
  <si>
    <t>1. Macular degeneration – Enter the number of individuals served who have macular degeneration as the major cause of visual impairment. Macular degeneration is a progressive disease of the retina wherein the light-sensing cells in the central area of vision (the macula) stop working and eventually die.</t>
  </si>
  <si>
    <t>2. Diabetic retinopathy – Enter the number of individuals served who have diabetic retinopathy as the major cause of visual impairment. Diabetic retinopathy is damage to the blood vessels of the light sensitive tissue at the back of the eye (retina) caused by diabetes.</t>
  </si>
  <si>
    <t>3. Glaucoma – Enter the number of individuals served who have glaucoma as the major cause of visual impairment. Glaucoma is a group of eye diseases causing optic nerve damage that involves mechanical compression or decreased blood flow.</t>
  </si>
  <si>
    <t>4. Cataracts – Enter the number of individuals served who have cataracts as the major cause of visual impairment. A cataract is a clouding of the natural lens of the eye resulting in blurred vision, sensitivity to light and glare, distortion, and dimming of colors.</t>
  </si>
  <si>
    <t>5. Other cause of visual impairment – Enter the number of individuals served whose major cause of visual impairment is not listed above.</t>
  </si>
  <si>
    <t>6. Total - Sum of G1 through G5. This total must agree with the total in A3 above. Total will be automatically populated.</t>
  </si>
  <si>
    <r>
      <rPr>
        <b/>
        <sz val="14"/>
        <color theme="1"/>
        <rFont val="Arial"/>
        <family val="2"/>
      </rPr>
      <t>H. Other Age-Related Impairments</t>
    </r>
    <r>
      <rPr>
        <sz val="14"/>
        <color theme="1"/>
        <rFont val="Arial"/>
        <family val="2"/>
      </rPr>
      <t xml:space="preserve"> 
Older individuals who are blind may have one or more other age-related impairments or disorders that impact their ability to carry out customary daily life activities in the home and community.  Listed below are age-related impairments (other than visual impairments) that are common among older individuals.  Enter the total number of individuals served in each of the categories listed in H1 through H-6. Individuals may report one or more non-visual impairments/conditions.</t>
    </r>
  </si>
  <si>
    <t>1. Hearing impairment – Hearing impairment occurs when there is a problem with or damage to one or more parts of the ear, and may be a conductive hearing loss (outer or middle ear) or a sensorineural hearing loss (inner ear) or a combination. Presbycusis is the gradual hearing loss that occurs with aging.</t>
  </si>
  <si>
    <t>2. Mobility impairment – Older individuals may have difficulty with gross motor behavior, such as moving around in the environment, or with fine motor skills, such as writing. Conditions such as Osteoporosis (loss of mass and quality of bones), osteoarthritis (inflammation and deterioration of joints), and sarcopenia (age-related loss of skeletal muscle mass and strength) may contribute to frailty and injury in older individuals. Other conditions that contribute to loss of mobility and independence include disorders in the central nervous system that control movement such as in Parkinson’s disease.</t>
  </si>
  <si>
    <t>3. Communication impairment – Older individuals may have impairments in expressive communication, receptive communication, or both, as a result of stroke, dementia, or other conditions.</t>
  </si>
  <si>
    <t>4. Cognitive or intellectual impairment – Cognitive impairments, such as dementia and Alzheimer’s disease, impact parts of the brain that control thought, memory, and executive functioning. Individuals with intellectual disabilities (e.g., Down syndrome), should also be included in this category.</t>
  </si>
  <si>
    <t>5. Mental health impairment – Older individuals may have impairments or disorders that affect their mental health such as: Mood disorders (e.g., depression, bipolar disorder, anxiety, and seasonal affective disorder); Sundown syndrome, which affects individuals with dementia or Alzheimer’s; and psychosis or a personality disorder.</t>
  </si>
  <si>
    <t>6. Other impairment – Enter other impairments not captured in H1 – H5  above.</t>
  </si>
  <si>
    <t>I. Type of Residence</t>
  </si>
  <si>
    <t>1. Private residence – Enter the number of individuals served who live in a private residence (house or apartment).</t>
  </si>
  <si>
    <t>2. Senior independent living facility – Enter the number of individuals served who live in senior independent living housing in which minimal support is provided.</t>
  </si>
  <si>
    <t>3. Assisted living facility – Enter the number of individuals served who live in assisted living facilities (e.g., housing that provides personal care and services which meet needs beyond basic provision of food, shelter and laundry).</t>
  </si>
  <si>
    <t>4. Nursing home/long-term care facility – Enter the number of individuals served who live in nursing homes/long-term care facilities (e.g., any facility that provides care to one or more persons who require nursing care and related medical services of such complexity to require professional nursing care under the direction of a physician on a 24 hour a day basis).</t>
  </si>
  <si>
    <t>5. Homeless – Enter the number of individuals served who are homeless.</t>
  </si>
  <si>
    <t>6. Total – Sum of I1 through I5. This total must agree with the total in A3 above. Total will be automatically populated.</t>
  </si>
  <si>
    <r>
      <rPr>
        <b/>
        <sz val="14"/>
        <color theme="1"/>
        <rFont val="Arial"/>
        <family val="2"/>
      </rPr>
      <t>J.</t>
    </r>
    <r>
      <rPr>
        <sz val="14"/>
        <color theme="1"/>
        <rFont val="Arial"/>
        <family val="2"/>
      </rPr>
      <t xml:space="preserve"> </t>
    </r>
    <r>
      <rPr>
        <b/>
        <sz val="14"/>
        <color theme="1"/>
        <rFont val="Arial"/>
        <family val="2"/>
      </rPr>
      <t>Source of Referral</t>
    </r>
  </si>
  <si>
    <t>1. Eye care provider – Enter the number of individuals served referred by an eye care provider (e.g., ophthalmologist or optometrist).</t>
  </si>
  <si>
    <t>2. Physician/medical provider – Enter the number of individuals served referred by a medical provider other than an eye care provider.</t>
  </si>
  <si>
    <t>3. State VR agency – Enter the number of individuals served referred by a State vocational rehabilitation (VR) agency.</t>
  </si>
  <si>
    <t>4. Government/public or private social services agency – Enter the number of individuals served referred by a government/public or private social services agency, not listed elsewhere, that provides assistance to consumers related to eligibility and securing entitlements and benefits, counseling, elder law services, or assistance with housing.</t>
  </si>
  <si>
    <t>5. Veterans Administration – Enter the number of individuals served referred by the Veterans Administration.</t>
  </si>
  <si>
    <t>6. Senior program – Enter the number of individuals served referred by a senior program defined as a community-based educational recreational, or socialization program operated by a senior center, nutrition site, or senior club.</t>
  </si>
  <si>
    <t>7. Assisted living facility – Enter the number of individuals served referred by an assisted living facility defined as housing that provides personal care and services which meet needs beyond basic provision of food, shelter and laundry.</t>
  </si>
  <si>
    <t>8. Nursing home/long-term care facility – Enter the number of individuals served referred by a nursing home/long-term care facility defined as any facility that provides care to one or more persons who require nursing care and related medical services of such complexity to require professional nursing care under the direction of a physician on a 24 hour a day basis.</t>
  </si>
  <si>
    <t>9. Independent living center – Enter the number of individuals served referred by an independent living center (ILC) defined as a consumer controlled, community-based, cross-disability, nonresidential private nonprofit agency that is designed and operated within a local community by individuals with disabilities, and provides an array of independent living services.</t>
  </si>
  <si>
    <t>10. Family member or friend – Enter the number of individuals referred by a family member or friend.</t>
  </si>
  <si>
    <t>11. Self-referral – Enter the number of individuals who were self referred.</t>
  </si>
  <si>
    <t>12. All other sources – Enter the number of individuals referred from All other sources aside from those listed above, including Faith based organizations.</t>
  </si>
  <si>
    <t>13. Total – The sum of J1 through J12. This total must agree with the total in A3 above. Total will be automatically populated.</t>
  </si>
  <si>
    <t>Part IV: Types of Services Provided and Funds Expended</t>
  </si>
  <si>
    <t>Provide data related to the number of program participants receiving each type of service and funds expended for each type of service. 
Total expenditures for direct program services in Part I - B2 must equal the total funds spent on services in Part IV - F. In other words, the amount reported in Part I - B2 must equal the sum of the expenditures reported in Part IV - F. Salary or expenditures associated with direct service staff or contractors providing direct services should be included in the expenditure of services provided in A1, B1, C1, D1 and E1.</t>
  </si>
  <si>
    <t>A. Clinical/Functional Vision Assessments and Services</t>
  </si>
  <si>
    <t>1. Total expenditures from all sources of program funding - Enter the total expenditures, including expenditures from Title VII-Chapter 2 Federal grant funds and all other sources of program funding, for clinical and/or functional vision assessments and services, whether purchased or provided directly.</t>
  </si>
  <si>
    <t>2. Persons served – Vision Screening/Vision Examination/Low Vision Evaluation (unduplicated count): Enter the total number of individuals who received clinical vision screening or vision examinations from qualified or certified professionals such as ophthalmologists, optometrists, or low vision specialists (i.e., one individual may receive multiple services during the reported FFY but should only be counted one time). Assessment areas may include functional visual acuity and fields, efficiency of vision in the performance of everyday tasks, and evaluation for low vision aids or equipment. Functional vision assessments are typically provided by professionals who are certified or have a master’s degree in low vision rehabilitation. Do not include evaluations for orientation and mobility, which should be included in IV - C3.</t>
  </si>
  <si>
    <t>3. Persons served – Surgical or therapeutic treatments to prevent, correct, or modify disabling eye conditions (unduplicated count): Enter the total number of individuals who received surgical or therapeutic treatment to prevent, correct, or modify disabling eye conditions, including prescription optical devices(i.e., one individual may receive multiple services during the reported FFY but should only be counted one time). Nonprescription optical aids and devices should be reported in IV - B2.</t>
  </si>
  <si>
    <r>
      <rPr>
        <b/>
        <sz val="16"/>
        <color theme="1"/>
        <rFont val="Arial"/>
        <family val="2"/>
      </rPr>
      <t>B. Assistive Technology devices and services</t>
    </r>
    <r>
      <rPr>
        <sz val="14"/>
        <color theme="1"/>
        <rFont val="Arial"/>
        <family val="2"/>
      </rPr>
      <t xml:space="preserve"> 
As defined in Section 3(4) of the Assistive Technology Act of 2004 (Pub. L. 108-364), “assistive technology device means any item, piece of equipment, or product system whether acquired commercially, modified, or customized that is used to increase, maintain, or improve functional capabilities of individuals with disabilities.” Assistive technology devices may include such items as canes, slates, insulin gauges, closed circuit televisions, computers, adaptive software, magnifiers, adaptive cooking items, adaptive recreational items, handwriting guides, braille devices, large button telephones, etc. Assistive technology services may include the evaluation of assistive technology needs of an individual, services related to acquisition of technology, loan programs, maintenance and repair of assistive technology, training or technical assistance for the individual or professionals related to the use of assistive technology, programs to expand the availability of assistive technology, low vision services related to the use of optical aids and devices, and other services related to the selection, acquisition, or use of an assistive technology device.</t>
    </r>
  </si>
  <si>
    <t>1. Total expenditures from all sources of program funding – Enter the total amount of expenditures, including expenditures from Title VII Chapter 2 Federal grant funds and all other sources of program funds, for the provision of assistive technology devices and services.</t>
  </si>
  <si>
    <t>2. Persons served – Provision of assistive technology devices and/or services (unduplicated count): Enter the unduplicated count of individuals who received one or more assistive technology devices and services (i.e., one individual may receive multiple assistive technology devices and services during the reported FFY but should only be counted one time).</t>
  </si>
  <si>
    <t>C. Independent Living and Adjustment Training Services</t>
  </si>
  <si>
    <t>1. Total expenditures from all sources of program funding - Enter the total expenditures, including expenditures from Title VII-Chapter 2 Federal grant funds and all other sources of program funding, for the provision of services and adjustment training leading to independent living. Evaluation and assessment services (excluding those included in IV - A2 or IV - B2) leading to the planning and implementation of services and training should be included in these costs.</t>
  </si>
  <si>
    <t>2. Persons served – Independent living and adjustment training services (unduplicated count): Enter the unduplicated count of individuals who received one or more independent living and adjustment training services (i.e., one individual may receive multiple independent living and adjustment training services during the reported FFY but should only be counted one time).</t>
  </si>
  <si>
    <t>3. Number of persons reported in IV - C2 who received the following services:</t>
  </si>
  <si>
    <t xml:space="preserve">     a. Persons served – Orientation and mobility training: Enter the total number of individuals who received orientation and mobility (O &amp; M) services or travel training (i.e., learning to access public or private transportation and to travel safely and as independently as possible in the home and community with or without the use of mobility aids and devices).</t>
  </si>
  <si>
    <t xml:space="preserve">     b. Persons served – Communication skills training: Enter the total number of individuals who received communication skills training. This category includes, for example, training in reading and writing braille; training in the use of the telephone (including mobile phones); training in the use of readers, newspaper reading services, radio and talking book services; and training in other communication skills and technologies. This category also includes training in keyboarding and computer literacy. Training in the use of specialized computer software (e.g., screen reading software) and adaptive equipment should be reported under assistive technology services (IV - B2 above).</t>
  </si>
  <si>
    <t xml:space="preserve">     c. Persons served – Daily living skills training: Enter the total number of individuals who received daily living skills training. This category includes, for example, training in the use of blindness and low vision alternative techniques for telling time, food preparation, grooming and dress, household chores, medical management, shopping, and recreational activities.</t>
  </si>
  <si>
    <t xml:space="preserve">    d. Persons served – Advocacy training: Enter the total number of individuals who participated in advocacy training including consumer organization meetings.</t>
  </si>
  <si>
    <t xml:space="preserve">    e. Persons served – Adjustment counseling and/or peer support services: Enter the total number of individuals who received adjustment counseling and/or peer support services (individual or group) to assist them in adjusting to visual impairment and blindness.</t>
  </si>
  <si>
    <t xml:space="preserve">    f. Persons served – Information and referral services: Enter the total number of individuals (program participants) who received information and referral to other service providers, programs, and agencies (e.g., senior programs, public and private social service programs, faith-based organizations, consumer groups, etc.) to enhance adjustment, independent living, and integration into the community. Do not include individuals who received only information and referral and for whom no other services were provided (e.g., non-participants, the general public, and other service providers)</t>
  </si>
  <si>
    <t xml:space="preserve">    g. Persons served – Other independent living services: Enter the total number of individuals who received any other independent living service not listed above.</t>
  </si>
  <si>
    <r>
      <rPr>
        <b/>
        <sz val="16"/>
        <color theme="1"/>
        <rFont val="Arial"/>
        <family val="2"/>
      </rPr>
      <t>D. Supportive Services</t>
    </r>
    <r>
      <rPr>
        <sz val="14"/>
        <color theme="1"/>
        <rFont val="Arial"/>
        <family val="2"/>
      </rPr>
      <t xml:space="preserve"> 
Supportive services are services provided to individuals with disabilities so that they can access other program services. Under this category, report the number of individuals who received reader services, transportation, personal attendant services, interpreters, or other support services while actively participating in the program or attaining independent living goals.</t>
    </r>
  </si>
  <si>
    <t>1. Expenditures – Enter the total expenditures, including expenditures from Title VII-Chapter 2 Federal grant funds and all other sources of program funding, for the provision of supportive services.</t>
  </si>
  <si>
    <t>2. Persons served – supportive services (unduplicated count): Enter the unduplicated count of individuals who received supportive services as described above (i.e., one individual may receive multiple supportive services during the reported FFY but should only be counted one time).</t>
  </si>
  <si>
    <t>E. Community Awareness Activities and Information and Referral</t>
  </si>
  <si>
    <t>1. Expenditures – Enter the total expenditures, including expenditures from Title VII-Chapter 2 Federal grant funds and all other sources of program funding, used to support community awareness activities/events and providing information and referral services to individuals for whom this was the only service provided (e.g., health fair for seniors, training for other professionals, telephone inquiries, and general inquiries about services for older individuals who are blind).</t>
  </si>
  <si>
    <r>
      <rPr>
        <b/>
        <sz val="16"/>
        <color theme="1"/>
        <rFont val="Arial"/>
        <family val="2"/>
      </rPr>
      <t>F. TOTAL DIRECT EXPENDITURES</t>
    </r>
    <r>
      <rPr>
        <b/>
        <sz val="14"/>
        <color theme="1"/>
        <rFont val="Arial"/>
        <family val="2"/>
      </rPr>
      <t xml:space="preserve">  </t>
    </r>
    <r>
      <rPr>
        <sz val="14"/>
        <color theme="1"/>
        <rFont val="Arial"/>
        <family val="2"/>
      </rPr>
      <t xml:space="preserve">
Sum of A1 through E1. The total must agree with the direct service expenditures reported in Part 1 - B2c.</t>
    </r>
  </si>
  <si>
    <t>Direct service expenditures reported in Part 1 - B2c.</t>
  </si>
  <si>
    <r>
      <rPr>
        <b/>
        <sz val="20"/>
        <color theme="1"/>
        <rFont val="Arial"/>
        <family val="2"/>
      </rPr>
      <t xml:space="preserve">Part V: Program Performance Measures and Outcome Data  </t>
    </r>
    <r>
      <rPr>
        <sz val="14"/>
        <color theme="1"/>
        <rFont val="Arial"/>
        <family val="2"/>
      </rPr>
      <t xml:space="preserve">
The revised GPRA measures for the OIB program are listed below.  Grantees must report the data necessary to calculate program performance on these measures as outlined in the instructions below following the list of measures.</t>
    </r>
  </si>
  <si>
    <t>Program Measures 
Objective: To restore, improve, or maintain the independence of older individuals whose functional capabilities have been lost or diminished as a result of vision loss or blindness.</t>
  </si>
  <si>
    <t>A. Assistive Technology Devices and Services</t>
  </si>
  <si>
    <r>
      <rPr>
        <b/>
        <sz val="14"/>
        <color theme="1"/>
        <rFont val="Arial"/>
        <family val="2"/>
      </rPr>
      <t>Measure A</t>
    </r>
    <r>
      <rPr>
        <sz val="14"/>
        <color theme="1"/>
        <rFont val="Arial"/>
        <family val="2"/>
      </rPr>
      <t xml:space="preserve"> – The percentage of individuals receiving assistive technology devices and services who demonstrated improvement in one or more functional capabilities during the reported FFY consistent with the objectives for receiving such devices and services.</t>
    </r>
  </si>
  <si>
    <t>1. From the unduplicated number of persons served that received assistive technology devices and services reported in IV - B2, enter the number of unduplicated individuals receiving assistive technology devices and services for whom change in functional capabilities was assessed, during the reported FFY (Denominator).</t>
  </si>
  <si>
    <t>2. From the unduplicated number of persons reported in A1 above, enter the unduplicated number of individuals receiving assistive technology devices and services who demonstrated improvement in one or more functional capabilities, during the reported FFY. Note: An individual who maintained but did not improve their capabilities may be reported here if the individual’s goal was to prevent further decline in their capabilities (Numerator).</t>
  </si>
  <si>
    <t>3. The percentage of individuals receiving assistive technology devices and services who demonstrated improvement in one or more functional capabilities during the reported FFY consistent with the objectives for receiving such devices and services. (A2 divided by A1 X 100). The percentage is calculated by RSA MIS.</t>
  </si>
  <si>
    <t>B. Independent Living and Adjustment Training Services</t>
  </si>
  <si>
    <r>
      <rPr>
        <b/>
        <sz val="14"/>
        <color theme="1"/>
        <rFont val="Arial"/>
        <family val="2"/>
      </rPr>
      <t>Measure B</t>
    </r>
    <r>
      <rPr>
        <sz val="14"/>
        <color theme="1"/>
        <rFont val="Arial"/>
        <family val="2"/>
      </rPr>
      <t xml:space="preserve"> - The percentage of individuals receiving one or more independent living and adjustment training services who demonstrated improvement in functional capabilities during the reported FFY.</t>
    </r>
  </si>
  <si>
    <t>1. From the unduplicated number of individuals receiving independent living and adjustment training services reported in IV C2, during the reported FFY, enter the unduplicated number of individuals receiving independent living and adjustment training services for whom change in functional capabilities was assessed during the reported FFY (Denominator).</t>
  </si>
  <si>
    <t>2. From the unduplicated number of persons reported in B1 above, enter the unduplicated number of individuals receiving independent living and adjustment training services who demonstrated improvement in one or more functional capabilities. Note: An individual who maintained but did not improve their capabilities may be reported here if the individual’s goal was to prevent further decline in their capabilities (Numerator).</t>
  </si>
  <si>
    <t>3. The percentage of individuals receiving one or more independent living and adjustment training services who demonstrated improvement in functional capabilities during the reported FFY (B2 divided by B1 X 100).  The percentage is calculated by RSA MIS.</t>
  </si>
  <si>
    <t>C. Independence in the Home and Community</t>
  </si>
  <si>
    <r>
      <rPr>
        <b/>
        <sz val="14"/>
        <color theme="1"/>
        <rFont val="Arial"/>
        <family val="2"/>
      </rPr>
      <t xml:space="preserve">Measure C2 </t>
    </r>
    <r>
      <rPr>
        <sz val="14"/>
        <color theme="1"/>
        <rFont val="Arial"/>
        <family val="2"/>
      </rPr>
      <t>- The percentage of individuals completing a plan of services who reported an increased ability to engage in their customary daily life activities in the home and community.</t>
    </r>
  </si>
  <si>
    <t>1. Total: Enter the total number of individuals completing a plan of services during the reported FFY (Denominator). Note: This means a specific set of services designed for the individual to meet his or her goals.</t>
  </si>
  <si>
    <t>2. Engage in customary daily life activities:  Enter the number of individuals completing a plan of services during the reported FFY who reported an increased ability to engage in their customary daily life activities in the home and community (Numerator).</t>
  </si>
  <si>
    <t>3. The percentage of individuals completing a plan of services who reported an increased ability to engage in their customary daily life activities in the home and community. (C2 divided by C1 X 100). The percentage is calculated by RSA MIS.</t>
  </si>
  <si>
    <r>
      <rPr>
        <b/>
        <sz val="14"/>
        <color theme="1"/>
        <rFont val="Arial"/>
        <family val="2"/>
      </rPr>
      <t xml:space="preserve">Measure C1 </t>
    </r>
    <r>
      <rPr>
        <sz val="14"/>
        <color theme="1"/>
        <rFont val="Arial"/>
        <family val="2"/>
      </rPr>
      <t>– The percentage of individuals completing a plan of services who reported feeling more confident in their ability to maintain their current living situation.</t>
    </r>
  </si>
  <si>
    <t>2. Maintain Living Situation – Enter the number of individuals completing a plan of services during the reported FFY who reported feeling that they are more confident in their ability to maintain their current living situation (Numerator).</t>
  </si>
  <si>
    <t>3. The percentage of individuals completing a plan of services who reported feeling that they are more confident in their ability to maintain their current living situation (C4 divided by C1 X 100).  The percentage is calculated by RSA MIS.</t>
  </si>
  <si>
    <t xml:space="preserve">D. Efficiency Measure </t>
  </si>
  <si>
    <t>(Measure will be calculated by RSA using MIS data reported in PARTS I and III)  
Objective: To provide cost effective supports and services to increase the independence of older individuals who are blind so that they may remain in the community and to prevent or delay the need for an increasing level of care, particularly for those individuals who are at risk of entering institutions.</t>
  </si>
  <si>
    <t>Measure D – The average annual cost per individual served through the program during the reported FFY.</t>
  </si>
  <si>
    <t>1. Total funds expended for direct services provided during the reported FFY (as reported in I B2c)</t>
  </si>
  <si>
    <t>2. Number of individuals receiving services during the reported FFY (as reported in III A3)</t>
  </si>
  <si>
    <t>3.	The average annual cost per individual served through the program during the reported period (D1 divided by D2).</t>
  </si>
  <si>
    <r>
      <rPr>
        <b/>
        <sz val="16"/>
        <color theme="1"/>
        <rFont val="Arial"/>
        <family val="2"/>
      </rPr>
      <t>E.</t>
    </r>
    <r>
      <rPr>
        <sz val="16"/>
        <color theme="1"/>
        <rFont val="Arial"/>
        <family val="2"/>
      </rPr>
      <t xml:space="preserve"> </t>
    </r>
    <r>
      <rPr>
        <b/>
        <sz val="16"/>
        <color theme="1"/>
        <rFont val="Arial"/>
        <family val="2"/>
      </rPr>
      <t>Employment Interest</t>
    </r>
  </si>
  <si>
    <t>Measure E - A measure of consumer interest in seeking employment after receiving services.</t>
  </si>
  <si>
    <t>1. From the unduplicated number of individuals receiving independent living and adjustment training services reported in IV C2, during the reported FFY, enter the unduplicated number of individuals receiving services for whom change in interest in seeking employment was assessed during the reported FFY (Denominator).</t>
  </si>
  <si>
    <t>2. From the unduplicated number of persons reported in E1 above, enter the unduplicated number of individuals receiving independent living and adjustment training services who demonstrated increased interest in seeking employment.</t>
  </si>
  <si>
    <t>3. The percentage of individuals receiving one or more independent living and adjustment training services who demonstrated increased interest in seeking employment.</t>
  </si>
  <si>
    <t>Instructions for 7- OB Report:</t>
  </si>
  <si>
    <t>Part II hours for each employee is the weekly average number of hours worked for OIB. To calculate, add up the total number of hours worked in the period covered, then divide by the number of weeks for the applicable period. 1st qtr=13 weeks, 2nd qtr=26 weeks, 3rd quarter=39 weeks, and 4th qtr=52 weeks.</t>
  </si>
  <si>
    <t>Please enter in the cell below, the number of hours that constitutes a full-time equivalent (FTE). For example, if full-time is considered 40/hours a week you should enter 40 below. 40 will be used to calculate the FTE values on the Part II program Staffing sheet.</t>
  </si>
  <si>
    <r>
      <t>Enter participant's names or other identifier on</t>
    </r>
    <r>
      <rPr>
        <b/>
        <sz val="14"/>
        <color theme="1"/>
        <rFont val="Arial"/>
        <family val="2"/>
      </rPr>
      <t xml:space="preserve"> </t>
    </r>
    <r>
      <rPr>
        <sz val="14"/>
        <color theme="1"/>
        <rFont val="Arial"/>
        <family val="2"/>
      </rPr>
      <t>PART III, Column A, Row 17.  This list will automatically populate on PART IV-V</t>
    </r>
    <r>
      <rPr>
        <b/>
        <sz val="14"/>
        <color theme="1"/>
        <rFont val="Arial"/>
        <family val="2"/>
      </rPr>
      <t xml:space="preserve"> </t>
    </r>
    <r>
      <rPr>
        <sz val="14"/>
        <color theme="1"/>
        <rFont val="Arial"/>
        <family val="2"/>
      </rPr>
      <t>sheet of services and outcomes.</t>
    </r>
  </si>
  <si>
    <t>All information entered on Parts II, III, IV, and V will be totaled and populate on the 7-OB report tab.</t>
  </si>
  <si>
    <t>All items on all sheets must be completed, except for the items that are totaled or calculated automatically.</t>
  </si>
  <si>
    <t>You must complete the 'Case Status' column on the Services and Outcomes sheet in order to see options for the three outcome columns that follow as they are dependent on your choice in the case status column.</t>
  </si>
  <si>
    <t>If a consumer is 'Assessed' in the 'Case Status' column you must select outcomes for all of the following outcomes. You cannot assess only one outcome.</t>
  </si>
  <si>
    <t>Place the key that was provided to you by email in cell C2 on the 7-OB Report sheet. That will auto-populate the organization name, grant number, dollar figures for Part I-A.1&amp;5, as well as targets for the Counties you serve.</t>
  </si>
  <si>
    <t>FTE Part II-FTE</t>
  </si>
  <si>
    <t>A. Full-time Equivalent (FTE) Program Staff</t>
  </si>
  <si>
    <t>Data entry begins on Row 7</t>
  </si>
  <si>
    <t>State</t>
  </si>
  <si>
    <t>Contractor</t>
  </si>
  <si>
    <t>FTE State Agency Admin Support</t>
  </si>
  <si>
    <t>FTE State Agency Direct Service</t>
  </si>
  <si>
    <t>Total FTE State Agency</t>
  </si>
  <si>
    <t>FTE through Contract/ Subgrant Admin Support</t>
  </si>
  <si>
    <t>FTE through Contract/ Subgrant Direct Service</t>
  </si>
  <si>
    <t>Total FTE through Contract/ Subgrant</t>
  </si>
  <si>
    <t>Totals</t>
  </si>
  <si>
    <t>Staff Name</t>
  </si>
  <si>
    <t>State or Contractor</t>
  </si>
  <si>
    <t>Admin FTE</t>
  </si>
  <si>
    <t>Direct FTE</t>
  </si>
  <si>
    <t>Total FTE</t>
  </si>
  <si>
    <t>Admin Hours</t>
  </si>
  <si>
    <t>Direct Service Hours</t>
  </si>
  <si>
    <t>Total</t>
  </si>
  <si>
    <t>Disability Status</t>
  </si>
  <si>
    <t>S.Snyder</t>
  </si>
  <si>
    <t>Blind or vision impaired age 55 or older</t>
  </si>
  <si>
    <t>K.Shevlin</t>
  </si>
  <si>
    <t>P. Yeung</t>
  </si>
  <si>
    <t>Blind or vision impaired 54 or younger</t>
  </si>
  <si>
    <t>A. Zuniga</t>
  </si>
  <si>
    <t>D. Celiz</t>
  </si>
  <si>
    <t>D. Pendleton</t>
  </si>
  <si>
    <t>R. Cummings</t>
  </si>
  <si>
    <t>G. Hunter</t>
  </si>
  <si>
    <t>L. Williams</t>
  </si>
  <si>
    <t>H. Pham</t>
  </si>
  <si>
    <t>T. Peterson</t>
  </si>
  <si>
    <t>R. Edwards</t>
  </si>
  <si>
    <t>O. Walker</t>
  </si>
  <si>
    <t>Participant Name</t>
  </si>
  <si>
    <t xml:space="preserve">A. Individuals Served </t>
  </si>
  <si>
    <t xml:space="preserve">B. Age at Application  </t>
  </si>
  <si>
    <t>D. Race</t>
  </si>
  <si>
    <t>G. Major Cause of Visual Impairment</t>
  </si>
  <si>
    <t>H. Other Age-Related Impairments</t>
  </si>
  <si>
    <t>J. Source of Referral</t>
  </si>
  <si>
    <t>County of Residence</t>
  </si>
  <si>
    <t>Possible Duplicate</t>
  </si>
  <si>
    <t>Row 17 begin data entry.</t>
  </si>
  <si>
    <t>See Counties Sheet for detail</t>
  </si>
  <si>
    <t>(Note: If cell A16 shows "TRUE", the demographic data totals match as required on the 7-OB report. "FALSE" indicates a data input error has occurred and needs to be corrected.</t>
  </si>
  <si>
    <t>Check cells to the right to verify that the totals in row 16 are accurate.</t>
  </si>
  <si>
    <t>N/A</t>
  </si>
  <si>
    <t xml:space="preserve">Participant Name </t>
  </si>
  <si>
    <t>A. Clinical/functional Vision Assessments and Services</t>
  </si>
  <si>
    <t>B. Assistive Technology Devices and Services</t>
  </si>
  <si>
    <t>AT Goal Outcomes</t>
  </si>
  <si>
    <t>C. Independent Living and Adjustment Services</t>
  </si>
  <si>
    <t>IL/A Service Goal Outcomes</t>
  </si>
  <si>
    <t>D. Supportive Services</t>
  </si>
  <si>
    <t>Case Status</t>
  </si>
  <si>
    <t>Living Situation Outcomes</t>
  </si>
  <si>
    <t>Home and Community involvement Outcomes</t>
  </si>
  <si>
    <t>Employment Outcome</t>
  </si>
  <si>
    <t>Number of Services</t>
  </si>
  <si>
    <t xml:space="preserve">County (populates from Demographics tab) </t>
  </si>
  <si>
    <t>Status</t>
  </si>
  <si>
    <t>Assessed</t>
  </si>
  <si>
    <t>Pending</t>
  </si>
  <si>
    <t>row 7 begin data entry.</t>
  </si>
  <si>
    <t>Total number of services provided to consumers</t>
  </si>
  <si>
    <t>County</t>
  </si>
  <si>
    <t>Count</t>
  </si>
  <si>
    <t>Target</t>
  </si>
  <si>
    <t>Percentage</t>
  </si>
  <si>
    <t>Count American Indian/ Alaska Native</t>
  </si>
  <si>
    <t>% American Indian/ Alaska Native</t>
  </si>
  <si>
    <t>Target % American Indian/ Alaska Native</t>
  </si>
  <si>
    <t>Met Target</t>
  </si>
  <si>
    <t>Count Asian</t>
  </si>
  <si>
    <t>% Asian</t>
  </si>
  <si>
    <t>Target % Asian</t>
  </si>
  <si>
    <t>Count Black/ African American</t>
  </si>
  <si>
    <t>% Black/ African American</t>
  </si>
  <si>
    <t>Target % Black/ African American</t>
  </si>
  <si>
    <t>Count Native Hawaiian/ Pacific Islander</t>
  </si>
  <si>
    <t>% Native Hawaiian/ Pacific Islander</t>
  </si>
  <si>
    <t>Target % Native Hawaiian/ Pacific Islander</t>
  </si>
  <si>
    <t>Count Hispanic/ LatinX</t>
  </si>
  <si>
    <t>% Hispanic/ LatinX</t>
  </si>
  <si>
    <t>Target % Hispanic/LatinX</t>
  </si>
  <si>
    <t>Count White</t>
  </si>
  <si>
    <t>% White</t>
  </si>
  <si>
    <t>Target % White</t>
  </si>
  <si>
    <t>Count Multiracial</t>
  </si>
  <si>
    <t>% Multiracial</t>
  </si>
  <si>
    <t>Target % Multiracial</t>
  </si>
  <si>
    <t>Count Did Not Identify</t>
  </si>
  <si>
    <t>% Did Not Identify</t>
  </si>
  <si>
    <t># of Services</t>
  </si>
  <si>
    <t>Average Number of Services/ Consumer</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</si>
  <si>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</si>
  <si>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</si>
  <si>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</si>
  <si>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</si>
  <si>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</si>
  <si>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</si>
  <si>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</si>
  <si>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</si>
  <si>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</si>
  <si>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</si>
  <si>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</si>
  <si>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</si>
  <si>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</si>
  <si>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</si>
  <si>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</si>
  <si>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</si>
  <si>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</si>
  <si>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</si>
  <si>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</si>
  <si>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</si>
  <si>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</si>
  <si>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</si>
  <si>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</si>
  <si>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</si>
  <si>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</si>
  <si>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</si>
  <si>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</si>
  <si>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</si>
  <si>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Nevada</t>
  </si>
  <si>
    <t>Orange</t>
  </si>
  <si>
    <t>Placer</t>
  </si>
  <si>
    <t>Plumas</t>
  </si>
  <si>
    <t>Riverside</t>
  </si>
  <si>
    <t>Sacramento</t>
  </si>
  <si>
    <t>San Benito</t>
  </si>
  <si>
    <t>San Bernardino</t>
  </si>
  <si>
    <t>San Diego</t>
  </si>
  <si>
    <t>San Francisco</t>
  </si>
  <si>
    <t>San Joaquin</t>
  </si>
  <si>
    <t>San Luis Obispo</t>
  </si>
  <si>
    <t>San Mateo</t>
  </si>
  <si>
    <t>Santa Barbara</t>
  </si>
  <si>
    <t>Santa Clara</t>
  </si>
  <si>
    <t>Santa Cruz</t>
  </si>
  <si>
    <t>Shasta</t>
  </si>
  <si>
    <t>Sierra</t>
  </si>
  <si>
    <t>Siskiyou</t>
  </si>
  <si>
    <t>Solano</t>
  </si>
  <si>
    <t>Sonoma</t>
  </si>
  <si>
    <t>Stanislaus</t>
  </si>
  <si>
    <t>Sutter</t>
  </si>
  <si>
    <t>Tehama</t>
  </si>
  <si>
    <t>Trinity</t>
  </si>
  <si>
    <t>Tulare</t>
  </si>
  <si>
    <t>Tuolumne</t>
  </si>
  <si>
    <t>Ventura</t>
  </si>
  <si>
    <t>Yolo</t>
  </si>
  <si>
    <t>Yuba</t>
  </si>
  <si>
    <t>Region 1</t>
  </si>
  <si>
    <t>Region 2</t>
  </si>
  <si>
    <t>Total from Demographics</t>
  </si>
  <si>
    <t>Totals above must match</t>
  </si>
  <si>
    <t xml:space="preserve">Individuals Served Count </t>
  </si>
  <si>
    <t>Age Count</t>
  </si>
  <si>
    <t>Gender Count</t>
  </si>
  <si>
    <t>Race Count</t>
  </si>
  <si>
    <t>Ethnicity Count</t>
  </si>
  <si>
    <t>VI Count</t>
  </si>
  <si>
    <t>Cause Count</t>
  </si>
  <si>
    <t>Other Disability Count</t>
  </si>
  <si>
    <t>Residence Count</t>
  </si>
  <si>
    <t>Referral Count</t>
  </si>
  <si>
    <t>Vision Service Count</t>
  </si>
  <si>
    <t>AT Service Count</t>
  </si>
  <si>
    <t>AT Outcome Count</t>
  </si>
  <si>
    <t>IL/A Service Count</t>
  </si>
  <si>
    <t>IL/A Outcome Count</t>
  </si>
  <si>
    <t xml:space="preserve">D. Supportive Services Count </t>
  </si>
  <si>
    <t>Case Assessed Count</t>
  </si>
  <si>
    <t>LS Outcome Count</t>
  </si>
  <si>
    <t>Home and Community Involvement Outcomes</t>
  </si>
  <si>
    <t>H&amp;C Outcome Count</t>
  </si>
  <si>
    <t xml:space="preserve">Employment Outcome Count </t>
  </si>
  <si>
    <t>FTE Disabilities</t>
  </si>
  <si>
    <t>FTE Disability Count</t>
  </si>
  <si>
    <t>Case open prior to Oct. 1</t>
  </si>
  <si>
    <t>55-64</t>
  </si>
  <si>
    <t>Female</t>
  </si>
  <si>
    <t>American Indian or Alaska Native</t>
  </si>
  <si>
    <t>Hispanic or Latino</t>
  </si>
  <si>
    <t>Totally Blind</t>
  </si>
  <si>
    <t>Macular Degeneration</t>
  </si>
  <si>
    <t>Hearing Impairment</t>
  </si>
  <si>
    <t>Private Residence</t>
  </si>
  <si>
    <t>Eye Care Provider</t>
  </si>
  <si>
    <t>Vision  Assessment (Screening/ Exam/evaluation</t>
  </si>
  <si>
    <t>Received AT Devices or Services</t>
  </si>
  <si>
    <t>Not Assessed</t>
  </si>
  <si>
    <t>Received IL/A Services</t>
  </si>
  <si>
    <t>Received Supportive Service</t>
  </si>
  <si>
    <t># of Cases Assessed</t>
  </si>
  <si>
    <t>Plan Incomplete-Not Assessed</t>
  </si>
  <si>
    <t>Disabled, not blind or vision impaired</t>
  </si>
  <si>
    <t>Case open between Oct. 1 - Sept. 30</t>
  </si>
  <si>
    <t>65-74</t>
  </si>
  <si>
    <t>Male</t>
  </si>
  <si>
    <t>Asian</t>
  </si>
  <si>
    <t>Legally Blind</t>
  </si>
  <si>
    <t>Diabetic Retinopathy</t>
  </si>
  <si>
    <t>Mobility Impairment</t>
  </si>
  <si>
    <t>Senior Independent Living</t>
  </si>
  <si>
    <t>Physician/ Medical Provider</t>
  </si>
  <si>
    <t>Surgical or Therapeutic Treatment</t>
  </si>
  <si>
    <t>Assessed with Increased Independence</t>
  </si>
  <si>
    <t>Received O&amp;M</t>
  </si>
  <si>
    <t>Plan Completed - Reported feeling more confident in ability to maintain living situation</t>
  </si>
  <si>
    <t xml:space="preserve">Plan Completed - Reported an increased ability to engage in customary activities </t>
  </si>
  <si>
    <t>Not Interested in Employment</t>
  </si>
  <si>
    <t>75-84</t>
  </si>
  <si>
    <t>Did Not Self-Identify</t>
  </si>
  <si>
    <t>Black or African American</t>
  </si>
  <si>
    <t>Severe Vision Impairment</t>
  </si>
  <si>
    <t>Glaucoma</t>
  </si>
  <si>
    <t>Communication Impairment</t>
  </si>
  <si>
    <t>Assisted Living Facility</t>
  </si>
  <si>
    <t>State VR Agency</t>
  </si>
  <si>
    <t>Assessed and Maintained Independence</t>
  </si>
  <si>
    <t>Received Communication Skills</t>
  </si>
  <si>
    <t>Plan Completed - Reported no difference in ability to maintain living situation</t>
  </si>
  <si>
    <t xml:space="preserve">Plan Completed - Reported no difference in ability to engage in customary activities </t>
  </si>
  <si>
    <t>Less Likely to Seek Employment</t>
  </si>
  <si>
    <t>85 and older</t>
  </si>
  <si>
    <t>Native Hawaiian or Pacific Islander</t>
  </si>
  <si>
    <t>Cataracts</t>
  </si>
  <si>
    <t>Cognitive or Intellectual Impairment</t>
  </si>
  <si>
    <t>Nursing Home</t>
  </si>
  <si>
    <t>Social Service</t>
  </si>
  <si>
    <t>Assessed with Decreased Independence</t>
  </si>
  <si>
    <t>Received Daily Living Skills</t>
  </si>
  <si>
    <t>Plan Completed - Reported feeling less confident in ability to maintain living situation</t>
  </si>
  <si>
    <t>Plan Completed - Reported a decreased ability to engage in customary activities</t>
  </si>
  <si>
    <t>Unsure about Seeking Employment</t>
  </si>
  <si>
    <t>White</t>
  </si>
  <si>
    <t>Other causes</t>
  </si>
  <si>
    <t>Mental Health Impairment</t>
  </si>
  <si>
    <t>Homeless</t>
  </si>
  <si>
    <t>Veterans Administration</t>
  </si>
  <si>
    <t>Total Number Assessed</t>
  </si>
  <si>
    <t>Received Advocacy Training</t>
  </si>
  <si>
    <t>More Likely to Seek Employment</t>
  </si>
  <si>
    <t>Did not self identify Race</t>
  </si>
  <si>
    <t>Other Impairment</t>
  </si>
  <si>
    <t>Senior Program</t>
  </si>
  <si>
    <t>Received Adjustment Counseling</t>
  </si>
  <si>
    <t>2 or More Races</t>
  </si>
  <si>
    <t>Received I&amp;R</t>
  </si>
  <si>
    <t>Received Other Services</t>
  </si>
  <si>
    <t>Independent Living Center</t>
  </si>
  <si>
    <t>Family or Friend</t>
  </si>
  <si>
    <t>Self-Referral</t>
  </si>
  <si>
    <t>Other</t>
  </si>
  <si>
    <t>Name</t>
  </si>
  <si>
    <t>Grant#</t>
  </si>
  <si>
    <t>Key</t>
  </si>
  <si>
    <t>OIB</t>
  </si>
  <si>
    <t>SSR</t>
  </si>
  <si>
    <t>Access to Independence</t>
  </si>
  <si>
    <t>$A2!25</t>
  </si>
  <si>
    <t>Access Central Coast</t>
  </si>
  <si>
    <t>IL25CC</t>
  </si>
  <si>
    <t>Blindness Support Services</t>
  </si>
  <si>
    <t>25B$S</t>
  </si>
  <si>
    <t>Blind and Visually Impaired Center of Monterey</t>
  </si>
  <si>
    <t>bl!25</t>
  </si>
  <si>
    <t>Center of Vision Enhancement</t>
  </si>
  <si>
    <t>c4o$v3</t>
  </si>
  <si>
    <t>Community Center for the Blind and Visually Impaired</t>
  </si>
  <si>
    <t>CC$B25-26</t>
  </si>
  <si>
    <t>The Dayle McIntosh Center</t>
  </si>
  <si>
    <t>TD@y25</t>
  </si>
  <si>
    <t>Lions Center for the Visually Impaired</t>
  </si>
  <si>
    <t>Pitt$25</t>
  </si>
  <si>
    <t>LightHouse for the Blind</t>
  </si>
  <si>
    <t>LH25!</t>
  </si>
  <si>
    <t>San Diego Center</t>
  </si>
  <si>
    <t>S@n25</t>
  </si>
  <si>
    <t>Society for the Blind</t>
  </si>
  <si>
    <t>Valley Center for the Blind</t>
  </si>
  <si>
    <t>25V@l$</t>
  </si>
  <si>
    <t>Visually Impaired Persons Support</t>
  </si>
  <si>
    <t>V!P$25</t>
  </si>
  <si>
    <t>Vista Center for the Blind</t>
  </si>
  <si>
    <t>V!$t@25</t>
  </si>
  <si>
    <t>Wayfinder Family Services</t>
  </si>
  <si>
    <t>25WF$25!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</si>
</sst>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2">
    <font>
      <sz val="11"/>
      <color theme="1"/>
      <name val="Calibri"/>
      <family val="2"/>
      <scheme val="minor"/>
    </font>
    <font>
      <sz val="12"/>
      <color theme="1"/>
      <name val="Arial"/>
      <family val="2"/>
    </font>
    <font>
      <sz val="12"/>
      <color theme="1"/>
      <name val="Arial"/>
      <family val="2"/>
    </font>
    <font>
      <sz val="11"/>
      <color theme="1"/>
      <name val="Calibri"/>
      <family val="2"/>
      <scheme val="minor"/>
    </font>
    <font>
      <sz val="14"/>
      <color theme="1"/>
      <name val="Arial"/>
      <family val="2"/>
    </font>
    <font>
      <sz val="14"/>
      <color rgb="FF000000"/>
      <name val="Arial"/>
      <family val="2"/>
    </font>
    <font>
      <b/>
      <sz val="14"/>
      <color theme="1"/>
      <name val="Arial"/>
      <family val="2"/>
    </font>
    <font>
      <sz val="14"/>
      <color rgb="FFFF0000"/>
      <name val="Arial"/>
      <family val="2"/>
    </font>
    <font>
      <b/>
      <sz val="20"/>
      <color theme="1"/>
      <name val="Arial"/>
      <family val="2"/>
    </font>
    <font>
      <b/>
      <sz val="16"/>
      <color theme="1"/>
      <name val="Arial"/>
      <family val="2"/>
    </font>
    <font>
      <sz val="16"/>
      <color theme="1"/>
      <name val="Arial"/>
      <family val="2"/>
    </font>
    <font>
      <u/>
      <sz val="11"/>
      <color theme="10"/>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9" tint="0.39997558519241921"/>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top style="medium">
        <color indexed="64"/>
      </top>
      <bottom style="medium">
        <color indexed="64"/>
      </bottom>
      <diagonal/>
    </border>
    <border>
      <left style="medium">
        <color indexed="64"/>
      </left>
      <right/>
      <top/>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s>
  <cellStyleXfs count="3">
    <xf numFmtId="0" fontId="0" fillId="0" borderId="0"/>
    <xf numFmtId="9" fontId="3" fillId="0" borderId="0" applyFont="0" applyFill="0" applyBorder="0" applyAlignment="0" applyProtection="0"/>
    <xf numFmtId="0" fontId="11" fillId="0" borderId="0" applyNumberFormat="0" applyFill="0" applyBorder="0" applyAlignment="0" applyProtection="0"/>
  </cellStyleXfs>
  <cellXfs count="106">
    <xf numFmtId="0" fontId="0" fillId="0" borderId="0" xfId="0"/>
    <xf numFmtId="0" fontId="4" fillId="0" borderId="1" xfId="0" applyFont="1" applyBorder="1" applyAlignment="1">
      <alignment horizontal="center" wrapText="1"/>
    </xf>
    <xf numFmtId="2" fontId="4" fillId="0" borderId="1" xfId="0" applyNumberFormat="1" applyFont="1" applyBorder="1"/>
    <xf numFmtId="0" fontId="4" fillId="0" borderId="1" xfId="0" applyFont="1" applyBorder="1"/>
    <xf numFmtId="0" fontId="4" fillId="0" borderId="1" xfId="0" applyFont="1" applyBorder="1" applyAlignment="1">
      <alignment horizontal="center" vertical="center" wrapText="1"/>
    </xf>
    <xf numFmtId="0" fontId="4" fillId="0" borderId="1" xfId="0" applyFont="1" applyBorder="1" applyAlignment="1">
      <alignment wrapText="1"/>
    </xf>
    <xf numFmtId="0" fontId="4" fillId="0" borderId="1" xfId="0" applyFont="1" applyBorder="1" applyAlignment="1">
      <alignment horizontal="center"/>
    </xf>
    <xf numFmtId="44" fontId="4" fillId="0" borderId="1" xfId="0" applyNumberFormat="1" applyFont="1" applyBorder="1" applyAlignment="1" applyProtection="1">
      <alignment wrapText="1"/>
      <protection locked="0"/>
    </xf>
    <xf numFmtId="0" fontId="4" fillId="0" borderId="1" xfId="0" applyFont="1" applyBorder="1" applyProtection="1">
      <protection locked="0"/>
    </xf>
    <xf numFmtId="2" fontId="4" fillId="0" borderId="1" xfId="0" applyNumberFormat="1" applyFont="1" applyBorder="1" applyProtection="1">
      <protection locked="0"/>
    </xf>
    <xf numFmtId="0" fontId="4" fillId="0" borderId="0" xfId="0" applyFont="1" applyAlignment="1">
      <alignment wrapText="1"/>
    </xf>
    <xf numFmtId="0" fontId="4" fillId="0" borderId="0" xfId="0" applyFont="1"/>
    <xf numFmtId="0" fontId="4" fillId="0" borderId="5" xfId="0" applyFont="1" applyBorder="1"/>
    <xf numFmtId="0" fontId="4" fillId="0" borderId="6" xfId="0" applyFont="1" applyBorder="1"/>
    <xf numFmtId="0" fontId="6" fillId="0" borderId="7" xfId="0" applyFont="1" applyBorder="1"/>
    <xf numFmtId="0" fontId="4" fillId="0" borderId="8" xfId="0" applyFont="1" applyBorder="1"/>
    <xf numFmtId="0" fontId="4" fillId="0" borderId="10" xfId="0" applyFont="1" applyBorder="1"/>
    <xf numFmtId="0" fontId="4" fillId="0" borderId="11" xfId="0" applyFont="1" applyBorder="1" applyProtection="1">
      <protection locked="0"/>
    </xf>
    <xf numFmtId="2" fontId="4" fillId="0" borderId="11" xfId="0" applyNumberFormat="1" applyFont="1" applyBorder="1"/>
    <xf numFmtId="2" fontId="4" fillId="0" borderId="11" xfId="0" applyNumberFormat="1" applyFont="1" applyBorder="1" applyProtection="1">
      <protection locked="0"/>
    </xf>
    <xf numFmtId="0" fontId="4" fillId="0" borderId="1" xfId="0" applyFont="1" applyBorder="1" applyAlignment="1">
      <alignment horizontal="left" wrapText="1"/>
    </xf>
    <xf numFmtId="0" fontId="4" fillId="0" borderId="1" xfId="0" applyFont="1" applyBorder="1" applyAlignment="1" applyProtection="1">
      <alignment horizontal="left" wrapText="1"/>
      <protection locked="0"/>
    </xf>
    <xf numFmtId="0" fontId="4" fillId="0" borderId="1" xfId="0" applyFont="1" applyBorder="1" applyAlignment="1">
      <alignment horizontal="left" vertical="center"/>
    </xf>
    <xf numFmtId="0" fontId="6" fillId="0" borderId="2" xfId="0" applyFont="1" applyBorder="1" applyAlignment="1">
      <alignment horizontal="left" vertical="center"/>
    </xf>
    <xf numFmtId="0" fontId="6" fillId="0" borderId="1" xfId="0" applyFont="1" applyBorder="1" applyAlignment="1">
      <alignment horizontal="left" vertical="center"/>
    </xf>
    <xf numFmtId="0" fontId="4" fillId="0" borderId="1" xfId="0" applyFont="1" applyBorder="1" applyAlignment="1">
      <alignment horizontal="left"/>
    </xf>
    <xf numFmtId="0" fontId="4" fillId="0" borderId="10" xfId="0" applyFont="1" applyBorder="1" applyAlignment="1">
      <alignment horizontal="left" wrapText="1"/>
    </xf>
    <xf numFmtId="0" fontId="4" fillId="0" borderId="11" xfId="0" applyFont="1" applyBorder="1" applyAlignment="1" applyProtection="1">
      <alignment horizontal="left"/>
      <protection locked="0"/>
    </xf>
    <xf numFmtId="0" fontId="4" fillId="0" borderId="1" xfId="0" applyFont="1" applyBorder="1" applyAlignment="1" applyProtection="1">
      <alignment horizontal="left"/>
      <protection locked="0"/>
    </xf>
    <xf numFmtId="0" fontId="6" fillId="0" borderId="2" xfId="0" applyFont="1" applyBorder="1" applyAlignment="1">
      <alignment horizontal="left" vertical="center" wrapText="1"/>
    </xf>
    <xf numFmtId="0" fontId="6" fillId="0" borderId="1" xfId="0" applyFont="1" applyBorder="1" applyAlignment="1">
      <alignment horizontal="left" vertical="center" wrapText="1"/>
    </xf>
    <xf numFmtId="0" fontId="4" fillId="0" borderId="1" xfId="0" applyFont="1" applyBorder="1" applyAlignment="1">
      <alignment horizontal="left" vertical="center" wrapText="1"/>
    </xf>
    <xf numFmtId="0" fontId="2" fillId="0" borderId="1" xfId="0" applyFont="1" applyBorder="1" applyAlignment="1">
      <alignment horizontal="left"/>
    </xf>
    <xf numFmtId="0" fontId="4" fillId="0" borderId="11" xfId="0" applyFont="1" applyBorder="1" applyAlignment="1">
      <alignment horizontal="left"/>
    </xf>
    <xf numFmtId="0" fontId="7" fillId="2" borderId="11" xfId="0" applyFont="1" applyFill="1" applyBorder="1" applyAlignment="1">
      <alignment horizontal="left"/>
    </xf>
    <xf numFmtId="0" fontId="7" fillId="0" borderId="11" xfId="0" applyFont="1" applyBorder="1" applyAlignment="1" applyProtection="1">
      <alignment horizontal="left"/>
      <protection locked="0"/>
    </xf>
    <xf numFmtId="0" fontId="7" fillId="2" borderId="1" xfId="0" applyFont="1" applyFill="1" applyBorder="1" applyAlignment="1">
      <alignment horizontal="left"/>
    </xf>
    <xf numFmtId="0" fontId="7" fillId="0" borderId="1" xfId="0" applyFont="1" applyBorder="1" applyAlignment="1" applyProtection="1">
      <alignment horizontal="left"/>
      <protection locked="0"/>
    </xf>
    <xf numFmtId="0" fontId="7" fillId="2" borderId="1" xfId="0" applyFont="1" applyFill="1" applyBorder="1" applyAlignment="1" applyProtection="1">
      <alignment horizontal="left"/>
      <protection locked="0"/>
    </xf>
    <xf numFmtId="0" fontId="10" fillId="0" borderId="0" xfId="0" applyFont="1"/>
    <xf numFmtId="0" fontId="6" fillId="0" borderId="4" xfId="0" applyFont="1" applyBorder="1" applyAlignment="1">
      <alignment horizontal="left" vertical="center" wrapText="1"/>
    </xf>
    <xf numFmtId="0" fontId="11" fillId="0" borderId="0" xfId="2"/>
    <xf numFmtId="10" fontId="4" fillId="0" borderId="1" xfId="0" applyNumberFormat="1" applyFont="1" applyBorder="1"/>
    <xf numFmtId="1" fontId="4" fillId="0" borderId="1" xfId="0" applyNumberFormat="1" applyFont="1" applyBorder="1"/>
    <xf numFmtId="0" fontId="4" fillId="0" borderId="1" xfId="0" applyFont="1" applyBorder="1" applyAlignment="1" applyProtection="1">
      <alignment wrapText="1"/>
      <protection locked="0"/>
    </xf>
    <xf numFmtId="0" fontId="4" fillId="0" borderId="11" xfId="0" applyFont="1" applyBorder="1" applyAlignment="1" applyProtection="1">
      <alignment horizontal="left" wrapText="1"/>
      <protection locked="0"/>
    </xf>
    <xf numFmtId="0" fontId="4" fillId="0" borderId="9" xfId="0" applyFont="1" applyBorder="1" applyAlignment="1" applyProtection="1">
      <alignment horizontal="left" wrapText="1" shrinkToFit="1"/>
      <protection locked="0"/>
    </xf>
    <xf numFmtId="0" fontId="4" fillId="0" borderId="2" xfId="0" applyFont="1" applyBorder="1" applyAlignment="1" applyProtection="1">
      <alignment horizontal="left" wrapText="1" shrinkToFit="1"/>
      <protection locked="0"/>
    </xf>
    <xf numFmtId="0" fontId="4" fillId="0" borderId="2" xfId="0" applyFont="1" applyBorder="1" applyAlignment="1" applyProtection="1">
      <alignment horizontal="left" wrapText="1"/>
      <protection locked="0"/>
    </xf>
    <xf numFmtId="0" fontId="4" fillId="0" borderId="9" xfId="0" applyFont="1" applyBorder="1" applyAlignment="1" applyProtection="1">
      <alignment horizontal="left" wrapText="1"/>
      <protection locked="0"/>
    </xf>
    <xf numFmtId="44" fontId="4" fillId="0" borderId="1" xfId="0" applyNumberFormat="1" applyFont="1" applyBorder="1" applyAlignment="1">
      <alignment wrapText="1"/>
    </xf>
    <xf numFmtId="0" fontId="8" fillId="0" borderId="1" xfId="0" applyFont="1" applyBorder="1" applyAlignment="1">
      <alignment horizontal="left" wrapText="1"/>
    </xf>
    <xf numFmtId="0" fontId="9" fillId="0" borderId="1" xfId="0" applyFont="1" applyBorder="1" applyAlignment="1">
      <alignment horizontal="left" wrapText="1"/>
    </xf>
    <xf numFmtId="9" fontId="4" fillId="0" borderId="1" xfId="1" applyFont="1" applyBorder="1" applyProtection="1"/>
    <xf numFmtId="2" fontId="4" fillId="0" borderId="1" xfId="0" applyNumberFormat="1" applyFont="1" applyBorder="1" applyAlignment="1">
      <alignment wrapText="1"/>
    </xf>
    <xf numFmtId="1" fontId="4" fillId="0" borderId="1" xfId="0" applyNumberFormat="1" applyFont="1" applyBorder="1" applyAlignment="1">
      <alignment wrapText="1"/>
    </xf>
    <xf numFmtId="0" fontId="6" fillId="0" borderId="1" xfId="0" applyFont="1" applyBorder="1" applyAlignment="1">
      <alignment horizontal="left" wrapText="1"/>
    </xf>
    <xf numFmtId="0" fontId="5" fillId="0" borderId="1" xfId="0" applyFont="1" applyBorder="1" applyAlignment="1">
      <alignment horizontal="left" wrapText="1"/>
    </xf>
    <xf numFmtId="10" fontId="4" fillId="0" borderId="1" xfId="0" applyNumberFormat="1" applyFont="1" applyBorder="1" applyAlignment="1">
      <alignment wrapText="1"/>
    </xf>
    <xf numFmtId="3" fontId="4" fillId="0" borderId="1" xfId="0" applyNumberFormat="1" applyFont="1" applyBorder="1" applyAlignment="1">
      <alignment wrapText="1"/>
    </xf>
    <xf numFmtId="0" fontId="10" fillId="0" borderId="1" xfId="0" applyFont="1" applyBorder="1" applyAlignment="1">
      <alignment horizontal="left" wrapText="1"/>
    </xf>
    <xf numFmtId="0" fontId="4" fillId="0" borderId="11" xfId="0" applyFont="1" applyBorder="1"/>
    <xf numFmtId="0" fontId="4" fillId="0" borderId="3" xfId="0" applyFont="1" applyBorder="1" applyAlignment="1">
      <alignment horizontal="left"/>
    </xf>
    <xf numFmtId="0" fontId="6" fillId="0" borderId="1" xfId="0" applyFont="1" applyBorder="1" applyAlignment="1">
      <alignment horizontal="center" wrapText="1"/>
    </xf>
    <xf numFmtId="0" fontId="4" fillId="0" borderId="10" xfId="0" applyFont="1" applyBorder="1" applyAlignment="1">
      <alignment horizontal="center" wrapText="1"/>
    </xf>
    <xf numFmtId="0" fontId="4" fillId="4" borderId="10" xfId="0" applyFont="1" applyFill="1" applyBorder="1" applyAlignment="1">
      <alignment horizontal="left" wrapText="1"/>
    </xf>
    <xf numFmtId="0" fontId="4" fillId="0" borderId="3" xfId="0" applyFont="1" applyBorder="1" applyAlignment="1">
      <alignment horizontal="left" vertical="center" wrapText="1"/>
    </xf>
    <xf numFmtId="0" fontId="6" fillId="0" borderId="15" xfId="0" applyFont="1" applyBorder="1" applyAlignment="1">
      <alignment horizontal="left" vertical="center" wrapText="1"/>
    </xf>
    <xf numFmtId="0" fontId="6" fillId="0" borderId="13" xfId="0" applyFont="1" applyBorder="1" applyAlignment="1">
      <alignment horizontal="left" vertical="center" wrapText="1"/>
    </xf>
    <xf numFmtId="0" fontId="4" fillId="0" borderId="15" xfId="0" applyFont="1" applyBorder="1" applyAlignment="1">
      <alignment horizontal="left" vertical="center" wrapText="1"/>
    </xf>
    <xf numFmtId="0" fontId="4" fillId="0" borderId="17" xfId="0" applyFont="1" applyBorder="1" applyAlignment="1">
      <alignment horizontal="left" vertical="center" wrapText="1"/>
    </xf>
    <xf numFmtId="0" fontId="1" fillId="0" borderId="20" xfId="0" applyFont="1" applyBorder="1" applyAlignment="1">
      <alignment horizontal="left" vertical="center" wrapText="1"/>
    </xf>
    <xf numFmtId="0" fontId="4" fillId="0" borderId="3" xfId="0" applyFont="1" applyBorder="1" applyAlignment="1">
      <alignment horizontal="left" vertical="center"/>
    </xf>
    <xf numFmtId="0" fontId="6" fillId="0" borderId="12" xfId="0" applyFont="1" applyBorder="1" applyAlignment="1">
      <alignment horizontal="left" wrapText="1"/>
    </xf>
    <xf numFmtId="0" fontId="6" fillId="0" borderId="17" xfId="0" applyFont="1" applyBorder="1" applyAlignment="1">
      <alignment horizontal="left" vertical="center"/>
    </xf>
    <xf numFmtId="0" fontId="4" fillId="0" borderId="24" xfId="0" applyFont="1" applyBorder="1" applyAlignment="1">
      <alignment horizontal="left" wrapText="1"/>
    </xf>
    <xf numFmtId="0" fontId="4" fillId="0" borderId="19" xfId="0" applyFont="1" applyBorder="1" applyAlignment="1">
      <alignment horizontal="left"/>
    </xf>
    <xf numFmtId="0" fontId="4" fillId="4" borderId="24" xfId="0" applyFont="1" applyFill="1" applyBorder="1" applyAlignment="1">
      <alignment horizontal="left" wrapText="1"/>
    </xf>
    <xf numFmtId="0" fontId="9" fillId="3" borderId="25" xfId="0" applyFont="1" applyFill="1" applyBorder="1" applyAlignment="1">
      <alignment horizontal="left"/>
    </xf>
    <xf numFmtId="0" fontId="6" fillId="0" borderId="26" xfId="0" applyFont="1" applyBorder="1" applyAlignment="1">
      <alignment horizontal="left" wrapText="1"/>
    </xf>
    <xf numFmtId="0" fontId="4" fillId="0" borderId="27" xfId="0" applyFont="1" applyBorder="1" applyAlignment="1">
      <alignment horizontal="left"/>
    </xf>
    <xf numFmtId="0" fontId="9" fillId="3" borderId="28" xfId="0" applyFont="1" applyFill="1" applyBorder="1" applyAlignment="1">
      <alignment horizontal="left"/>
    </xf>
    <xf numFmtId="0" fontId="9" fillId="3" borderId="22" xfId="0" applyFont="1" applyFill="1" applyBorder="1" applyAlignment="1">
      <alignment horizontal="left" wrapText="1"/>
    </xf>
    <xf numFmtId="0" fontId="4" fillId="0" borderId="22" xfId="0" applyFont="1" applyBorder="1" applyAlignment="1">
      <alignment horizontal="left" wrapText="1"/>
    </xf>
    <xf numFmtId="0" fontId="4" fillId="0" borderId="29" xfId="0" applyFont="1" applyBorder="1" applyAlignment="1">
      <alignment horizontal="left"/>
    </xf>
    <xf numFmtId="0" fontId="1" fillId="0" borderId="12" xfId="0" applyFont="1" applyBorder="1" applyAlignment="1">
      <alignment horizontal="left" vertical="center" wrapText="1"/>
    </xf>
    <xf numFmtId="0" fontId="1" fillId="0" borderId="18" xfId="0" applyFont="1" applyBorder="1" applyAlignment="1">
      <alignment horizontal="left" vertical="center" wrapText="1"/>
    </xf>
    <xf numFmtId="0" fontId="1" fillId="0" borderId="1" xfId="0" applyFont="1" applyBorder="1" applyAlignment="1">
      <alignment horizontal="left" vertical="center" wrapText="1"/>
    </xf>
    <xf numFmtId="0" fontId="1" fillId="0" borderId="1" xfId="0" applyFont="1" applyBorder="1" applyAlignment="1">
      <alignment horizontal="left" wrapText="1"/>
    </xf>
    <xf numFmtId="0" fontId="1" fillId="0" borderId="19" xfId="0" applyFont="1" applyBorder="1" applyAlignment="1">
      <alignment horizontal="left"/>
    </xf>
    <xf numFmtId="0" fontId="1" fillId="0" borderId="3" xfId="0" applyFont="1" applyBorder="1" applyAlignment="1">
      <alignment horizontal="left"/>
    </xf>
    <xf numFmtId="0" fontId="1" fillId="0" borderId="1" xfId="0" applyFont="1" applyBorder="1" applyAlignment="1">
      <alignment horizontal="left"/>
    </xf>
    <xf numFmtId="0" fontId="1" fillId="0" borderId="21" xfId="0" applyFont="1" applyBorder="1" applyAlignment="1">
      <alignment horizontal="left" vertical="center" wrapText="1"/>
    </xf>
    <xf numFmtId="0" fontId="1" fillId="0" borderId="22" xfId="0" applyFont="1" applyBorder="1" applyAlignment="1">
      <alignment horizontal="left" vertical="center" wrapText="1"/>
    </xf>
    <xf numFmtId="0" fontId="1" fillId="0" borderId="22" xfId="0" applyFont="1" applyBorder="1" applyAlignment="1">
      <alignment horizontal="left"/>
    </xf>
    <xf numFmtId="0" fontId="1" fillId="0" borderId="23" xfId="0" applyFont="1" applyBorder="1" applyAlignment="1">
      <alignment horizontal="left"/>
    </xf>
    <xf numFmtId="0" fontId="1" fillId="0" borderId="1" xfId="0" applyFont="1" applyBorder="1" applyAlignment="1">
      <alignment horizontal="center" vertical="center" wrapText="1"/>
    </xf>
    <xf numFmtId="0" fontId="4" fillId="0" borderId="1" xfId="0" applyFont="1" applyBorder="1" applyAlignment="1">
      <alignment wrapText="1"/>
    </xf>
    <xf numFmtId="0" fontId="0" fillId="0" borderId="1" xfId="0" applyBorder="1" applyAlignment="1">
      <alignment wrapText="1"/>
    </xf>
    <xf numFmtId="0" fontId="4" fillId="0" borderId="1" xfId="0" applyFont="1" applyBorder="1" applyAlignment="1">
      <alignment horizontal="center" wrapText="1"/>
    </xf>
    <xf numFmtId="0" fontId="6" fillId="0" borderId="1" xfId="0" applyFont="1" applyBorder="1" applyAlignment="1">
      <alignment horizontal="center" wrapText="1"/>
    </xf>
    <xf numFmtId="0" fontId="6" fillId="0" borderId="13" xfId="0" applyFont="1" applyBorder="1" applyAlignment="1">
      <alignment horizontal="left" vertical="center" wrapText="1"/>
    </xf>
    <xf numFmtId="0" fontId="0" fillId="0" borderId="16" xfId="0" applyBorder="1" applyAlignment="1">
      <alignment horizontal="left" vertical="center" wrapText="1"/>
    </xf>
    <xf numFmtId="0" fontId="0" fillId="0" borderId="14" xfId="0" applyBorder="1" applyAlignment="1">
      <alignment horizontal="left" vertical="center" wrapText="1"/>
    </xf>
    <xf numFmtId="0" fontId="6" fillId="0" borderId="14" xfId="0" applyFont="1" applyBorder="1" applyAlignment="1">
      <alignment horizontal="left" vertical="center" wrapText="1"/>
    </xf>
    <xf numFmtId="0" fontId="4" fillId="0" borderId="1" xfId="0" applyFont="1" applyBorder="1" applyAlignment="1">
      <alignment horizontal="center" vertical="center" wrapText="1"/>
    </xf>
  </cellXfs>
  <cellStyles count="3">
    <cellStyle name="Hyperlink" xfId="2" builtinId="8"/>
    <cellStyle name="Normal" xfId="0" builtinId="0"/>
    <cellStyle name="Percent" xfId="1" builtinId="5"/>
  </cellStyles>
  <dxfs count="316">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mailto:25V@l$" TargetMode="External"/><Relationship Id="rId2" Type="http://schemas.openxmlformats.org/officeDocument/2006/relationships/hyperlink" Target="mailto:S@n25" TargetMode="External"/><Relationship Id="rId1" Type="http://schemas.openxmlformats.org/officeDocument/2006/relationships/hyperlink" Target="mailto:TD@y25" TargetMode="External"/><Relationship Id="rId4" Type="http://schemas.openxmlformats.org/officeDocument/2006/relationships/hyperlink" Target="mailto:V!$t@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205"/>
  <sheetViews>
    <sheetView topLeftCell="A12" zoomScale="84" zoomScaleNormal="100" zoomScaleSheetLayoutView="84" workbookViewId="0">
      <selection activeCell="E31" sqref="E31"/>
    </sheetView>
  </sheetViews>
  <sheetFormatPr defaultColWidth="8.7109375" defaultRowHeight="17.45"/>
  <cols>
    <col min="1" max="1" width="151.5703125" style="20" customWidth="1"/>
    <col min="2" max="2" width="19.5703125" style="5" customWidth="1"/>
    <col min="3" max="3" width="17.140625" style="5" customWidth="1"/>
    <col min="4" max="16384" width="8.7109375" style="3"/>
  </cols>
  <sheetData>
    <row r="1" spans="1:4" ht="34.9">
      <c r="A1" s="97" t="s">
        <v>0</v>
      </c>
      <c r="B1" s="98"/>
      <c r="C1" s="5" t="s">
        <v>1</v>
      </c>
      <c r="D1" s="11"/>
    </row>
    <row r="2" spans="1:4" ht="18">
      <c r="C2" s="44" t="s">
        <v>2</v>
      </c>
    </row>
    <row r="3" spans="1:4">
      <c r="A3" s="20" t="s">
        <v>3</v>
      </c>
      <c r="B3" s="5" t="s">
        <v>4</v>
      </c>
    </row>
    <row r="4" spans="1:4" ht="33" customHeight="1">
      <c r="A4" s="5" t="str">
        <f>_xlfn.XLOOKUP($C$2,Data!$C$51:$C$65,Data!$A$51:$A$65)</f>
        <v>Society for the Blind</v>
      </c>
      <c r="B4" s="5">
        <f>_xlfn.XLOOKUP($C$2,Data!$C$51:$C$65,Data!$B$51:$B$65)</f>
        <v>32539</v>
      </c>
    </row>
    <row r="5" spans="1:4">
      <c r="A5" s="20" t="s">
        <v>5</v>
      </c>
      <c r="B5" s="5" t="s">
        <v>6</v>
      </c>
    </row>
    <row r="6" spans="1:4" ht="36" customHeight="1">
      <c r="A6" s="21"/>
      <c r="B6" s="5" t="s">
        <v>7</v>
      </c>
    </row>
    <row r="7" spans="1:4">
      <c r="A7" s="20" t="s">
        <v>8</v>
      </c>
    </row>
    <row r="8" spans="1:4">
      <c r="A8" s="20" t="str">
        <f>CONCATENATE("October 1 through ",IF(A6="1st Quarter","December 31",IF(A6="2nd Quarter","March 31",IF(A6="3rd Quarter","June 30",IF(A6="4th Quarter","September 30","unknown")))))</f>
        <v>October 1 through unknown</v>
      </c>
    </row>
    <row r="10" spans="1:4" ht="24.6">
      <c r="A10" s="51" t="s">
        <v>9</v>
      </c>
      <c r="C10" s="3"/>
    </row>
    <row r="12" spans="1:4" ht="42">
      <c r="A12" s="52" t="s">
        <v>10</v>
      </c>
      <c r="C12" s="3"/>
    </row>
    <row r="13" spans="1:4" ht="45.6" customHeight="1">
      <c r="A13" s="20" t="s">
        <v>11</v>
      </c>
      <c r="B13" s="50">
        <f>_xlfn.XLOOKUP($C$2,Data!$C$51:$C$65,Data!$D$51:$D$65)</f>
        <v>256836</v>
      </c>
      <c r="C13" s="3"/>
    </row>
    <row r="14" spans="1:4" ht="34.9">
      <c r="A14" s="20" t="s">
        <v>12</v>
      </c>
      <c r="B14" s="50"/>
      <c r="C14" s="3"/>
    </row>
    <row r="15" spans="1:4">
      <c r="A15" s="20" t="s">
        <v>13</v>
      </c>
      <c r="B15" s="50">
        <f>B13+B14</f>
        <v>256836</v>
      </c>
      <c r="C15" s="3"/>
    </row>
    <row r="16" spans="1:4" ht="34.9">
      <c r="A16" s="20" t="s">
        <v>14</v>
      </c>
      <c r="B16" s="50"/>
      <c r="C16" s="3"/>
    </row>
    <row r="17" spans="1:3" ht="69.599999999999994">
      <c r="A17" s="20" t="s">
        <v>15</v>
      </c>
      <c r="B17" s="50">
        <f>_xlfn.XLOOKUP($C$2,Data!$C$51:$C$65,Data!$E$51:$E$65)</f>
        <v>255693</v>
      </c>
      <c r="C17" s="3"/>
    </row>
    <row r="18" spans="1:3">
      <c r="A18" s="20" t="s">
        <v>16</v>
      </c>
      <c r="B18" s="50">
        <f>SUM(B15:B17)</f>
        <v>512529</v>
      </c>
      <c r="C18" s="3"/>
    </row>
    <row r="19" spans="1:3" ht="52.15">
      <c r="A19" s="20" t="s">
        <v>17</v>
      </c>
      <c r="B19" s="50"/>
      <c r="C19" s="3"/>
    </row>
    <row r="20" spans="1:3" ht="52.15">
      <c r="A20" s="20" t="s">
        <v>18</v>
      </c>
      <c r="B20" s="50"/>
      <c r="C20" s="3"/>
    </row>
    <row r="21" spans="1:3" ht="52.15">
      <c r="A21" s="20" t="s">
        <v>19</v>
      </c>
      <c r="B21" s="50"/>
      <c r="C21" s="3"/>
    </row>
    <row r="22" spans="1:3" ht="34.9">
      <c r="A22" s="20" t="s">
        <v>20</v>
      </c>
      <c r="B22" s="50">
        <f>B19+B21</f>
        <v>0</v>
      </c>
      <c r="C22" s="3"/>
    </row>
    <row r="23" spans="1:3" ht="34.9">
      <c r="A23" s="20" t="s">
        <v>21</v>
      </c>
      <c r="B23" s="50">
        <f>B18+B22</f>
        <v>512529</v>
      </c>
      <c r="C23" s="3"/>
    </row>
    <row r="25" spans="1:3" ht="21">
      <c r="A25" s="52" t="s">
        <v>22</v>
      </c>
      <c r="C25" s="3"/>
    </row>
    <row r="26" spans="1:3" ht="87">
      <c r="A26" s="20" t="s">
        <v>23</v>
      </c>
      <c r="C26" s="3"/>
    </row>
    <row r="27" spans="1:3" ht="54">
      <c r="A27" s="20" t="s">
        <v>24</v>
      </c>
      <c r="B27" s="7"/>
      <c r="C27" s="53" t="e">
        <f>B27/(B27+B31)</f>
        <v>#DIV/0!</v>
      </c>
    </row>
    <row r="28" spans="1:3">
      <c r="A28" s="20" t="s">
        <v>25</v>
      </c>
      <c r="B28" s="50"/>
      <c r="C28" s="3"/>
    </row>
    <row r="29" spans="1:3">
      <c r="A29" s="20" t="s">
        <v>26</v>
      </c>
      <c r="B29" s="50">
        <f>B27+B28</f>
        <v>0</v>
      </c>
      <c r="C29" s="3"/>
    </row>
    <row r="30" spans="1:3" ht="34.9">
      <c r="A30" s="20" t="s">
        <v>27</v>
      </c>
      <c r="C30" s="3"/>
    </row>
    <row r="31" spans="1:3" ht="54">
      <c r="A31" s="20" t="s">
        <v>28</v>
      </c>
      <c r="B31" s="7"/>
      <c r="C31" s="3"/>
    </row>
    <row r="32" spans="1:3">
      <c r="A32" s="20" t="s">
        <v>29</v>
      </c>
      <c r="B32" s="50"/>
      <c r="C32" s="3"/>
    </row>
    <row r="33" spans="1:3">
      <c r="A33" s="20" t="s">
        <v>30</v>
      </c>
      <c r="B33" s="50">
        <f>B31+B32</f>
        <v>0</v>
      </c>
      <c r="C33" s="3"/>
    </row>
    <row r="34" spans="1:3">
      <c r="A34" s="20" t="s">
        <v>31</v>
      </c>
      <c r="B34" s="50">
        <f>B29+B33</f>
        <v>0</v>
      </c>
      <c r="C34" s="3"/>
    </row>
    <row r="36" spans="1:3" ht="24.6">
      <c r="A36" s="51" t="s">
        <v>32</v>
      </c>
      <c r="C36" s="3"/>
    </row>
    <row r="38" spans="1:3" ht="142.9">
      <c r="A38" s="20" t="s">
        <v>33</v>
      </c>
      <c r="C38" s="3"/>
    </row>
    <row r="39" spans="1:3">
      <c r="A39" s="20" t="s">
        <v>34</v>
      </c>
      <c r="C39" s="3"/>
    </row>
    <row r="40" spans="1:3" ht="34.9">
      <c r="A40" s="20" t="s">
        <v>35</v>
      </c>
      <c r="B40" s="5">
        <f>'PART II-PROGRAM STAFFING'!C4</f>
        <v>0</v>
      </c>
      <c r="C40" s="3"/>
    </row>
    <row r="41" spans="1:3" ht="52.15">
      <c r="A41" s="20" t="s">
        <v>36</v>
      </c>
      <c r="B41" s="5">
        <f>'PART II-PROGRAM STAFFING'!D4</f>
        <v>0</v>
      </c>
      <c r="C41" s="3"/>
    </row>
    <row r="42" spans="1:3" ht="34.9">
      <c r="A42" s="20" t="s">
        <v>37</v>
      </c>
      <c r="B42" s="54">
        <f>B40+B41</f>
        <v>0</v>
      </c>
      <c r="C42" s="3"/>
    </row>
    <row r="43" spans="1:3">
      <c r="A43" s="20" t="s">
        <v>38</v>
      </c>
      <c r="C43" s="3"/>
    </row>
    <row r="44" spans="1:3" ht="52.15">
      <c r="A44" s="20" t="s">
        <v>39</v>
      </c>
      <c r="B44" s="54">
        <f>'PART II-PROGRAM STAFFING'!F4</f>
        <v>1.2100000000000002</v>
      </c>
      <c r="C44" s="3"/>
    </row>
    <row r="45" spans="1:3" ht="52.15">
      <c r="A45" s="20" t="s">
        <v>40</v>
      </c>
      <c r="B45" s="54">
        <f>'PART II-PROGRAM STAFFING'!G4</f>
        <v>8.0400000000000009</v>
      </c>
      <c r="C45" s="3"/>
    </row>
    <row r="46" spans="1:3" ht="34.9">
      <c r="A46" s="20" t="s">
        <v>41</v>
      </c>
      <c r="B46" s="54">
        <f>B44+B45</f>
        <v>9.2500000000000018</v>
      </c>
      <c r="C46" s="3"/>
    </row>
    <row r="47" spans="1:3" ht="34.9">
      <c r="A47" s="20" t="s">
        <v>42</v>
      </c>
      <c r="C47" s="3"/>
    </row>
    <row r="48" spans="1:3">
      <c r="A48" s="20" t="s">
        <v>43</v>
      </c>
      <c r="B48" s="54">
        <f>B40+B44</f>
        <v>1.2100000000000002</v>
      </c>
      <c r="C48" s="3"/>
    </row>
    <row r="49" spans="1:3">
      <c r="A49" s="20" t="s">
        <v>44</v>
      </c>
      <c r="B49" s="54">
        <f>B41+B45</f>
        <v>8.0400000000000009</v>
      </c>
      <c r="C49" s="3"/>
    </row>
    <row r="50" spans="1:3">
      <c r="A50" s="20" t="s">
        <v>45</v>
      </c>
      <c r="B50" s="54">
        <f>IF(B48+B49&lt;&gt;B42+B46,"ERROR",B48+B49)</f>
        <v>9.2500000000000018</v>
      </c>
      <c r="C50" s="3"/>
    </row>
    <row r="52" spans="1:3" ht="21">
      <c r="A52" s="52" t="s">
        <v>46</v>
      </c>
      <c r="C52" s="3"/>
    </row>
    <row r="53" spans="1:3" ht="52.15">
      <c r="A53" s="20" t="s">
        <v>47</v>
      </c>
      <c r="B53" s="55">
        <f>Data!$AP2</f>
        <v>0</v>
      </c>
      <c r="C53" s="3"/>
    </row>
    <row r="54" spans="1:3" ht="34.9">
      <c r="A54" s="20" t="s">
        <v>48</v>
      </c>
      <c r="B54" s="55">
        <f>Data!$AP3</f>
        <v>4</v>
      </c>
      <c r="C54" s="3"/>
    </row>
    <row r="55" spans="1:3" ht="34.9">
      <c r="A55" s="20" t="s">
        <v>49</v>
      </c>
      <c r="B55" s="55">
        <f>Data!$AP4</f>
        <v>4</v>
      </c>
      <c r="C55" s="3"/>
    </row>
    <row r="56" spans="1:3" ht="34.9">
      <c r="A56" s="20" t="s">
        <v>50</v>
      </c>
      <c r="B56" s="55">
        <f>SUM(B53:B55)</f>
        <v>8</v>
      </c>
      <c r="C56" s="3"/>
    </row>
    <row r="58" spans="1:3" ht="24.6">
      <c r="A58" s="51" t="s">
        <v>51</v>
      </c>
      <c r="C58" s="3"/>
    </row>
    <row r="60" spans="1:3" ht="21">
      <c r="A60" s="52" t="s">
        <v>52</v>
      </c>
      <c r="C60" s="3"/>
    </row>
    <row r="61" spans="1:3" ht="52.15">
      <c r="A61" s="20" t="s">
        <v>53</v>
      </c>
      <c r="B61" s="55">
        <f>Data!B2</f>
        <v>0</v>
      </c>
      <c r="C61" s="3" t="e">
        <f>CONCATENATE(TEXT(B61/$B$63,"0%")," of participants")</f>
        <v>#DIV/0!</v>
      </c>
    </row>
    <row r="62" spans="1:3" ht="34.9">
      <c r="A62" s="20" t="s">
        <v>54</v>
      </c>
      <c r="B62" s="55">
        <f>Data!B3</f>
        <v>0</v>
      </c>
      <c r="C62" s="3" t="e">
        <f>CONCATENATE(TEXT(B62/$B$63,"0%")," of participants")</f>
        <v>#DIV/0!</v>
      </c>
    </row>
    <row r="63" spans="1:3">
      <c r="A63" s="20" t="s">
        <v>55</v>
      </c>
      <c r="B63" s="55">
        <f>B61+B62</f>
        <v>0</v>
      </c>
      <c r="C63" s="3" t="s">
        <v>56</v>
      </c>
    </row>
    <row r="65" spans="1:3" ht="38.450000000000003">
      <c r="A65" s="20" t="s">
        <v>57</v>
      </c>
      <c r="C65" s="3"/>
    </row>
    <row r="66" spans="1:3">
      <c r="A66" s="20" t="s">
        <v>58</v>
      </c>
      <c r="B66" s="55">
        <f>Data!D2</f>
        <v>0</v>
      </c>
      <c r="C66" s="3" t="e">
        <f>CONCATENATE(TEXT(B66/$B$63,"0%")," of participants")</f>
        <v>#DIV/0!</v>
      </c>
    </row>
    <row r="67" spans="1:3">
      <c r="A67" s="20" t="s">
        <v>59</v>
      </c>
      <c r="B67" s="55">
        <f>Data!D3</f>
        <v>0</v>
      </c>
      <c r="C67" s="3" t="e">
        <f>CONCATENATE(TEXT(B67/$B$63,"0%")," of participants")</f>
        <v>#DIV/0!</v>
      </c>
    </row>
    <row r="68" spans="1:3">
      <c r="A68" s="20" t="s">
        <v>60</v>
      </c>
      <c r="B68" s="55">
        <f>Data!D4</f>
        <v>0</v>
      </c>
      <c r="C68" s="3" t="e">
        <f>CONCATENATE(TEXT(B68/$B$63,"0%")," of participants")</f>
        <v>#DIV/0!</v>
      </c>
    </row>
    <row r="69" spans="1:3">
      <c r="A69" s="20" t="s">
        <v>61</v>
      </c>
      <c r="B69" s="55">
        <f>Data!D5</f>
        <v>0</v>
      </c>
      <c r="C69" s="3" t="e">
        <f>CONCATENATE(TEXT(B69/$B$63,"0%")," of participants")</f>
        <v>#DIV/0!</v>
      </c>
    </row>
    <row r="70" spans="1:3" ht="34.9">
      <c r="A70" s="20" t="s">
        <v>62</v>
      </c>
      <c r="B70" s="55">
        <f>SUM(B66:B69)</f>
        <v>0</v>
      </c>
      <c r="C70" s="3" t="e">
        <f>IF(B70/$B$63=1,CONCATENATE(((B70/$B$119)*100),"% of participants"),"ERROR! Number of participants does not total number of participants served")</f>
        <v>#DIV/0!</v>
      </c>
    </row>
    <row r="72" spans="1:3">
      <c r="A72" s="56" t="s">
        <v>63</v>
      </c>
    </row>
    <row r="73" spans="1:3">
      <c r="A73" s="20" t="s">
        <v>64</v>
      </c>
      <c r="B73" s="55">
        <f>Data!F2</f>
        <v>0</v>
      </c>
      <c r="C73" s="3" t="e">
        <f>CONCATENATE(TEXT(B73/$B$63,"0%")," of participants")</f>
        <v>#DIV/0!</v>
      </c>
    </row>
    <row r="74" spans="1:3">
      <c r="A74" s="20" t="s">
        <v>65</v>
      </c>
      <c r="B74" s="55">
        <f>Data!F3</f>
        <v>0</v>
      </c>
      <c r="C74" s="3" t="e">
        <f>CONCATENATE(TEXT(B74/$B$63,"0%")," of participants")</f>
        <v>#DIV/0!</v>
      </c>
    </row>
    <row r="75" spans="1:3">
      <c r="A75" s="20" t="s">
        <v>66</v>
      </c>
      <c r="B75" s="55">
        <f>Data!F4</f>
        <v>0</v>
      </c>
      <c r="C75" s="3" t="e">
        <f>CONCATENATE(TEXT(B75/$B$63,"0%")," of participants")</f>
        <v>#DIV/0!</v>
      </c>
    </row>
    <row r="76" spans="1:3">
      <c r="A76" s="20" t="s">
        <v>67</v>
      </c>
      <c r="B76" s="55">
        <f>SUM(B73:B75)</f>
        <v>0</v>
      </c>
      <c r="C76" s="3" t="e">
        <f>IF(B76/$B$63=1,CONCATENATE(((B76/$B$119)*100),"% of participants"),"ERROR! Number of participants does not total number of participants served")</f>
        <v>#DIV/0!</v>
      </c>
    </row>
    <row r="78" spans="1:3" ht="139.15">
      <c r="A78" s="20" t="s">
        <v>68</v>
      </c>
    </row>
    <row r="79" spans="1:3" ht="52.15">
      <c r="A79" s="57" t="s">
        <v>69</v>
      </c>
      <c r="B79" s="55">
        <f>Data!H2</f>
        <v>0</v>
      </c>
      <c r="C79" s="3" t="e">
        <f t="shared" ref="C79:C85" si="0">CONCATENATE(TEXT(B79/$B$63,"0%")," of participants")</f>
        <v>#DIV/0!</v>
      </c>
    </row>
    <row r="80" spans="1:3" ht="52.15">
      <c r="A80" s="20" t="s">
        <v>70</v>
      </c>
      <c r="B80" s="55">
        <f>Data!H3</f>
        <v>0</v>
      </c>
      <c r="C80" s="3" t="e">
        <f t="shared" si="0"/>
        <v>#DIV/0!</v>
      </c>
    </row>
    <row r="81" spans="1:3" ht="34.9">
      <c r="A81" s="20" t="s">
        <v>71</v>
      </c>
      <c r="B81" s="55">
        <f>Data!H4</f>
        <v>0</v>
      </c>
      <c r="C81" s="3" t="e">
        <f t="shared" si="0"/>
        <v>#DIV/0!</v>
      </c>
    </row>
    <row r="82" spans="1:3" ht="52.15">
      <c r="A82" s="20" t="s">
        <v>72</v>
      </c>
      <c r="B82" s="55">
        <f>Data!H5</f>
        <v>0</v>
      </c>
      <c r="C82" s="3" t="e">
        <f t="shared" si="0"/>
        <v>#DIV/0!</v>
      </c>
    </row>
    <row r="83" spans="1:3" ht="34.9">
      <c r="A83" s="20" t="s">
        <v>73</v>
      </c>
      <c r="B83" s="55">
        <f>Data!H6</f>
        <v>0</v>
      </c>
      <c r="C83" s="3" t="e">
        <f t="shared" si="0"/>
        <v>#DIV/0!</v>
      </c>
    </row>
    <row r="84" spans="1:3" ht="34.9">
      <c r="A84" s="20" t="s">
        <v>74</v>
      </c>
      <c r="B84" s="55">
        <f>Data!H7</f>
        <v>0</v>
      </c>
      <c r="C84" s="3" t="e">
        <f t="shared" si="0"/>
        <v>#DIV/0!</v>
      </c>
    </row>
    <row r="85" spans="1:3">
      <c r="A85" s="20" t="s">
        <v>75</v>
      </c>
      <c r="B85" s="55">
        <f>Data!H8</f>
        <v>0</v>
      </c>
      <c r="C85" s="3" t="e">
        <f t="shared" si="0"/>
        <v>#DIV/0!</v>
      </c>
    </row>
    <row r="86" spans="1:3" ht="34.9">
      <c r="A86" s="20" t="s">
        <v>76</v>
      </c>
      <c r="B86" s="55">
        <f>SUM(B79:B85)</f>
        <v>0</v>
      </c>
      <c r="C86" s="3" t="e">
        <f>IF(B86/$B$63=1,CONCATENATE(((B86/$B$119)*100),"% of participants"),"ERROR! Number of participants does not total number of participants served")</f>
        <v>#DIV/0!</v>
      </c>
    </row>
    <row r="88" spans="1:3">
      <c r="A88" s="56" t="s">
        <v>77</v>
      </c>
    </row>
    <row r="89" spans="1:3" ht="52.15">
      <c r="A89" s="20" t="s">
        <v>78</v>
      </c>
      <c r="B89" s="55">
        <f>Data!J2</f>
        <v>0</v>
      </c>
      <c r="C89" s="3" t="e">
        <f>CONCATENATE(TEXT(B89/$B$63,"0%")," of participants")</f>
        <v>#DIV/0!</v>
      </c>
    </row>
    <row r="91" spans="1:3">
      <c r="A91" s="56" t="s">
        <v>79</v>
      </c>
    </row>
    <row r="92" spans="1:3">
      <c r="A92" s="20" t="s">
        <v>80</v>
      </c>
      <c r="B92" s="55">
        <f>Data!L2</f>
        <v>0</v>
      </c>
      <c r="C92" s="3" t="e">
        <f>CONCATENATE(TEXT(B92/$B$63,"0%")," of participants")</f>
        <v>#DIV/0!</v>
      </c>
    </row>
    <row r="93" spans="1:3">
      <c r="A93" s="20" t="s">
        <v>81</v>
      </c>
      <c r="B93" s="55">
        <f>Data!L3</f>
        <v>0</v>
      </c>
      <c r="C93" s="3" t="e">
        <f>CONCATENATE(TEXT(B93/$B$63,"0%")," of participants")</f>
        <v>#DIV/0!</v>
      </c>
    </row>
    <row r="94" spans="1:3">
      <c r="A94" s="20" t="s">
        <v>82</v>
      </c>
      <c r="B94" s="55">
        <f>Data!L4</f>
        <v>0</v>
      </c>
      <c r="C94" s="3" t="e">
        <f>CONCATENATE(TEXT(B94/$B$63,"0%")," of participants")</f>
        <v>#DIV/0!</v>
      </c>
    </row>
    <row r="95" spans="1:3">
      <c r="A95" s="20" t="s">
        <v>83</v>
      </c>
      <c r="B95" s="55">
        <f>SUM(B92:B94)</f>
        <v>0</v>
      </c>
      <c r="C95" s="3" t="e">
        <f>IF(B95/$B$63=1,CONCATENATE(((B95/$B$119)*100),"% of participants"),"ERROR! Number of participants does not total number of participants served")</f>
        <v>#DIV/0!</v>
      </c>
    </row>
    <row r="97" spans="1:3" ht="52.15">
      <c r="A97" s="20" t="s">
        <v>84</v>
      </c>
    </row>
    <row r="98" spans="1:3" ht="52.15">
      <c r="A98" s="20" t="s">
        <v>85</v>
      </c>
      <c r="B98" s="55">
        <f>Data!N2</f>
        <v>0</v>
      </c>
      <c r="C98" s="3" t="e">
        <f>CONCATENATE(TEXT(B98/$B$63,"0%")," of participants")</f>
        <v>#DIV/0!</v>
      </c>
    </row>
    <row r="99" spans="1:3" ht="52.15">
      <c r="A99" s="20" t="s">
        <v>86</v>
      </c>
      <c r="B99" s="55">
        <f>Data!N3</f>
        <v>0</v>
      </c>
      <c r="C99" s="3" t="e">
        <f>CONCATENATE(TEXT(B99/$B$63,"0%")," of participants")</f>
        <v>#DIV/0!</v>
      </c>
    </row>
    <row r="100" spans="1:3" ht="34.9">
      <c r="A100" s="20" t="s">
        <v>87</v>
      </c>
      <c r="B100" s="55">
        <f>Data!N4</f>
        <v>0</v>
      </c>
      <c r="C100" s="3" t="e">
        <f>CONCATENATE(TEXT(B100/$B$63,"0%")," of participants")</f>
        <v>#DIV/0!</v>
      </c>
    </row>
    <row r="101" spans="1:3" ht="34.9">
      <c r="A101" s="20" t="s">
        <v>88</v>
      </c>
      <c r="B101" s="55">
        <f>Data!N5</f>
        <v>0</v>
      </c>
      <c r="C101" s="3" t="e">
        <f>CONCATENATE(TEXT(B101/$B$63,"0%")," of participants")</f>
        <v>#DIV/0!</v>
      </c>
    </row>
    <row r="102" spans="1:3" ht="34.9">
      <c r="A102" s="20" t="s">
        <v>89</v>
      </c>
      <c r="B102" s="55">
        <f>Data!N6</f>
        <v>0</v>
      </c>
      <c r="C102" s="3" t="e">
        <f>CONCATENATE(TEXT(B102/$B$63,"0%")," of participants")</f>
        <v>#DIV/0!</v>
      </c>
    </row>
    <row r="103" spans="1:3">
      <c r="A103" s="20" t="s">
        <v>90</v>
      </c>
      <c r="B103" s="55">
        <f>SUM(B98:B102)</f>
        <v>0</v>
      </c>
      <c r="C103" s="3" t="e">
        <f>IF(B103/$B$63=1,CONCATENATE(((B103/$B$119)*100),"% of participants"),"ERROR! Number of participants does not total number of participants served")</f>
        <v>#DIV/0!</v>
      </c>
    </row>
    <row r="105" spans="1:3" ht="87">
      <c r="A105" s="20" t="s">
        <v>91</v>
      </c>
    </row>
    <row r="106" spans="1:3" ht="52.15">
      <c r="A106" s="20" t="s">
        <v>92</v>
      </c>
      <c r="B106" s="55">
        <f>Data!P2</f>
        <v>0</v>
      </c>
      <c r="C106" s="3" t="e">
        <f t="shared" ref="C106:C111" si="1">CONCATENATE(TEXT(B106/$B$63,"0%")," of participants")</f>
        <v>#DIV/0!</v>
      </c>
    </row>
    <row r="107" spans="1:3" ht="87">
      <c r="A107" s="20" t="s">
        <v>93</v>
      </c>
      <c r="B107" s="55">
        <f>Data!P3</f>
        <v>0</v>
      </c>
      <c r="C107" s="3" t="e">
        <f t="shared" si="1"/>
        <v>#DIV/0!</v>
      </c>
    </row>
    <row r="108" spans="1:3" ht="34.9">
      <c r="A108" s="20" t="s">
        <v>94</v>
      </c>
      <c r="B108" s="55">
        <f>Data!P4</f>
        <v>0</v>
      </c>
      <c r="C108" s="3" t="e">
        <f t="shared" si="1"/>
        <v>#DIV/0!</v>
      </c>
    </row>
    <row r="109" spans="1:3" ht="52.15">
      <c r="A109" s="20" t="s">
        <v>95</v>
      </c>
      <c r="B109" s="55">
        <f>Data!P5</f>
        <v>0</v>
      </c>
      <c r="C109" s="3" t="e">
        <f t="shared" si="1"/>
        <v>#DIV/0!</v>
      </c>
    </row>
    <row r="110" spans="1:3" ht="52.15">
      <c r="A110" s="20" t="s">
        <v>96</v>
      </c>
      <c r="B110" s="55">
        <f>Data!P6</f>
        <v>0</v>
      </c>
      <c r="C110" s="3" t="e">
        <f t="shared" si="1"/>
        <v>#DIV/0!</v>
      </c>
    </row>
    <row r="111" spans="1:3">
      <c r="A111" s="20" t="s">
        <v>97</v>
      </c>
      <c r="B111" s="55">
        <f>Data!P7</f>
        <v>0</v>
      </c>
      <c r="C111" s="3" t="e">
        <f t="shared" si="1"/>
        <v>#DIV/0!</v>
      </c>
    </row>
    <row r="113" spans="1:3">
      <c r="A113" s="56" t="s">
        <v>98</v>
      </c>
    </row>
    <row r="114" spans="1:3">
      <c r="A114" s="20" t="s">
        <v>99</v>
      </c>
      <c r="B114" s="55">
        <f>Data!R2</f>
        <v>0</v>
      </c>
      <c r="C114" s="3" t="e">
        <f>CONCATENATE(TEXT(B114/$B$63,"0%")," of participants")</f>
        <v>#DIV/0!</v>
      </c>
    </row>
    <row r="115" spans="1:3" ht="34.9">
      <c r="A115" s="20" t="s">
        <v>100</v>
      </c>
      <c r="B115" s="55">
        <f>Data!R3</f>
        <v>0</v>
      </c>
      <c r="C115" s="3" t="e">
        <f>CONCATENATE(TEXT(B115/$B$63,"0%")," of participants")</f>
        <v>#DIV/0!</v>
      </c>
    </row>
    <row r="116" spans="1:3" ht="34.9">
      <c r="A116" s="20" t="s">
        <v>101</v>
      </c>
      <c r="B116" s="55">
        <f>Data!R4</f>
        <v>0</v>
      </c>
      <c r="C116" s="3" t="e">
        <f>CONCATENATE(TEXT(B116/$B$63,"0%")," of participants")</f>
        <v>#DIV/0!</v>
      </c>
    </row>
    <row r="117" spans="1:3" ht="52.15">
      <c r="A117" s="20" t="s">
        <v>102</v>
      </c>
      <c r="B117" s="55">
        <f>Data!R5</f>
        <v>0</v>
      </c>
      <c r="C117" s="3" t="e">
        <f>CONCATENATE(TEXT(B117/$B$63,"0%")," of participants")</f>
        <v>#DIV/0!</v>
      </c>
    </row>
    <row r="118" spans="1:3">
      <c r="A118" s="20" t="s">
        <v>103</v>
      </c>
      <c r="B118" s="55">
        <f>Data!R6</f>
        <v>0</v>
      </c>
      <c r="C118" s="3" t="e">
        <f>CONCATENATE(TEXT(B118/$B$63,"0%")," of participants")</f>
        <v>#DIV/0!</v>
      </c>
    </row>
    <row r="119" spans="1:3">
      <c r="A119" s="20" t="s">
        <v>104</v>
      </c>
      <c r="B119" s="55">
        <f>SUM(B114:B118)</f>
        <v>0</v>
      </c>
      <c r="C119" s="3" t="e">
        <f>IF(B119/$B$63=1,CONCATENATE(((B119/$B$119)*100),"% of participants"),"ERROR! Number of participants does not total number of participants served")</f>
        <v>#DIV/0!</v>
      </c>
    </row>
    <row r="121" spans="1:3">
      <c r="A121" s="20" t="s">
        <v>105</v>
      </c>
    </row>
    <row r="122" spans="1:3" ht="34.9">
      <c r="A122" s="20" t="s">
        <v>106</v>
      </c>
      <c r="B122" s="55">
        <f>Data!T2</f>
        <v>0</v>
      </c>
      <c r="C122" s="3" t="e">
        <f t="shared" ref="C122:C133" si="2">CONCATENATE(TEXT(B122/$B$63,"0%")," of participants")</f>
        <v>#DIV/0!</v>
      </c>
    </row>
    <row r="123" spans="1:3" ht="34.9">
      <c r="A123" s="20" t="s">
        <v>107</v>
      </c>
      <c r="B123" s="55">
        <f>Data!T3</f>
        <v>0</v>
      </c>
      <c r="C123" s="3" t="e">
        <f t="shared" si="2"/>
        <v>#DIV/0!</v>
      </c>
    </row>
    <row r="124" spans="1:3">
      <c r="A124" s="20" t="s">
        <v>108</v>
      </c>
      <c r="B124" s="55">
        <f>Data!T4</f>
        <v>0</v>
      </c>
      <c r="C124" s="3" t="e">
        <f t="shared" si="2"/>
        <v>#DIV/0!</v>
      </c>
    </row>
    <row r="125" spans="1:3" ht="52.15">
      <c r="A125" s="20" t="s">
        <v>109</v>
      </c>
      <c r="B125" s="55">
        <f>Data!T5</f>
        <v>0</v>
      </c>
      <c r="C125" s="3" t="e">
        <f t="shared" si="2"/>
        <v>#DIV/0!</v>
      </c>
    </row>
    <row r="126" spans="1:3">
      <c r="A126" s="20" t="s">
        <v>110</v>
      </c>
      <c r="B126" s="55">
        <f>Data!T6</f>
        <v>0</v>
      </c>
      <c r="C126" s="3" t="e">
        <f t="shared" si="2"/>
        <v>#DIV/0!</v>
      </c>
    </row>
    <row r="127" spans="1:3" ht="34.9">
      <c r="A127" s="20" t="s">
        <v>111</v>
      </c>
      <c r="B127" s="55">
        <f>Data!T7</f>
        <v>0</v>
      </c>
      <c r="C127" s="3" t="e">
        <f t="shared" si="2"/>
        <v>#DIV/0!</v>
      </c>
    </row>
    <row r="128" spans="1:3" ht="34.9">
      <c r="A128" s="20" t="s">
        <v>112</v>
      </c>
      <c r="B128" s="55">
        <f>Data!T8</f>
        <v>0</v>
      </c>
      <c r="C128" s="3" t="e">
        <f t="shared" si="2"/>
        <v>#DIV/0!</v>
      </c>
    </row>
    <row r="129" spans="1:3" ht="52.15">
      <c r="A129" s="20" t="s">
        <v>113</v>
      </c>
      <c r="B129" s="55">
        <f>Data!T9</f>
        <v>0</v>
      </c>
      <c r="C129" s="3" t="e">
        <f t="shared" si="2"/>
        <v>#DIV/0!</v>
      </c>
    </row>
    <row r="130" spans="1:3" ht="52.15">
      <c r="A130" s="20" t="s">
        <v>114</v>
      </c>
      <c r="B130" s="55">
        <f>Data!T10</f>
        <v>0</v>
      </c>
      <c r="C130" s="3" t="e">
        <f t="shared" si="2"/>
        <v>#DIV/0!</v>
      </c>
    </row>
    <row r="131" spans="1:3">
      <c r="A131" s="20" t="s">
        <v>115</v>
      </c>
      <c r="B131" s="55">
        <f>Data!T11</f>
        <v>0</v>
      </c>
      <c r="C131" s="3" t="e">
        <f t="shared" si="2"/>
        <v>#DIV/0!</v>
      </c>
    </row>
    <row r="132" spans="1:3">
      <c r="A132" s="20" t="s">
        <v>116</v>
      </c>
      <c r="B132" s="55">
        <f>Data!T12</f>
        <v>0</v>
      </c>
      <c r="C132" s="3" t="e">
        <f t="shared" si="2"/>
        <v>#DIV/0!</v>
      </c>
    </row>
    <row r="133" spans="1:3" ht="34.9">
      <c r="A133" s="20" t="s">
        <v>117</v>
      </c>
      <c r="B133" s="55">
        <f>Data!T13</f>
        <v>0</v>
      </c>
      <c r="C133" s="3" t="e">
        <f t="shared" si="2"/>
        <v>#DIV/0!</v>
      </c>
    </row>
    <row r="134" spans="1:3">
      <c r="A134" s="20" t="s">
        <v>118</v>
      </c>
      <c r="B134" s="55">
        <f>SUM(B122:B133)</f>
        <v>0</v>
      </c>
      <c r="C134" s="3" t="e">
        <f>IF(B134/$B$63=1,CONCATENATE(((B134/$B$119)*100),"% of participants"),"ERROR! Number of participants does not total number of participants served")</f>
        <v>#DIV/0!</v>
      </c>
    </row>
    <row r="136" spans="1:3" ht="24.6">
      <c r="A136" s="51" t="s">
        <v>119</v>
      </c>
    </row>
    <row r="137" spans="1:3" ht="121.9">
      <c r="A137" s="20" t="s">
        <v>120</v>
      </c>
    </row>
    <row r="139" spans="1:3" ht="21">
      <c r="A139" s="52" t="s">
        <v>121</v>
      </c>
    </row>
    <row r="140" spans="1:3" ht="52.15">
      <c r="A140" s="20" t="s">
        <v>122</v>
      </c>
      <c r="B140" s="7"/>
    </row>
    <row r="141" spans="1:3" ht="121.9">
      <c r="A141" s="20" t="s">
        <v>123</v>
      </c>
      <c r="B141" s="55">
        <f>Data!$V2</f>
        <v>0</v>
      </c>
      <c r="C141" s="3" t="e">
        <f>CONCATENATE(TEXT(B141/$B$63,"0%")," of participants received this service")</f>
        <v>#DIV/0!</v>
      </c>
    </row>
    <row r="142" spans="1:3" ht="69.599999999999994">
      <c r="A142" s="20" t="s">
        <v>124</v>
      </c>
      <c r="B142" s="55">
        <f>Data!$V3</f>
        <v>0</v>
      </c>
      <c r="C142" s="3" t="e">
        <f>CONCATENATE(TEXT(B142/$B$63,"0%")," of participants received this service")</f>
        <v>#DIV/0!</v>
      </c>
    </row>
    <row r="144" spans="1:3" ht="177.6">
      <c r="A144" s="20" t="s">
        <v>125</v>
      </c>
    </row>
    <row r="145" spans="1:3" ht="52.15">
      <c r="A145" s="20" t="s">
        <v>126</v>
      </c>
      <c r="B145" s="7"/>
    </row>
    <row r="146" spans="1:3" ht="52.15">
      <c r="A146" s="20" t="s">
        <v>127</v>
      </c>
      <c r="B146" s="55">
        <f>Data!$X2</f>
        <v>0</v>
      </c>
      <c r="C146" s="3" t="e">
        <f>CONCATENATE(TEXT(B146/$B$63,"0%")," of participants received this service")</f>
        <v>#DIV/0!</v>
      </c>
    </row>
    <row r="148" spans="1:3" ht="21">
      <c r="A148" s="52" t="s">
        <v>128</v>
      </c>
    </row>
    <row r="149" spans="1:3" ht="69.599999999999994">
      <c r="A149" s="20" t="s">
        <v>129</v>
      </c>
      <c r="B149" s="7"/>
    </row>
    <row r="150" spans="1:3" ht="52.15">
      <c r="A150" s="20" t="s">
        <v>130</v>
      </c>
      <c r="B150" s="55">
        <f>Data!$AB2</f>
        <v>0</v>
      </c>
      <c r="C150" s="3" t="e">
        <f>CONCATENATE(TEXT(B150/$B$63,"0%")," of participants received this service")</f>
        <v>#DIV/0!</v>
      </c>
    </row>
    <row r="151" spans="1:3">
      <c r="A151" s="20" t="s">
        <v>131</v>
      </c>
      <c r="C151" s="3"/>
    </row>
    <row r="152" spans="1:3" ht="52.15">
      <c r="A152" s="20" t="s">
        <v>132</v>
      </c>
      <c r="B152" s="55">
        <f>Data!$AB3</f>
        <v>0</v>
      </c>
      <c r="C152" s="3" t="e">
        <f t="shared" ref="C152:C158" si="3">CONCATENATE(TEXT(B152/$B$63,"0%")," of participants received this service")</f>
        <v>#DIV/0!</v>
      </c>
    </row>
    <row r="153" spans="1:3" ht="104.45">
      <c r="A153" s="20" t="s">
        <v>133</v>
      </c>
      <c r="B153" s="55">
        <f>Data!$AB4</f>
        <v>0</v>
      </c>
      <c r="C153" s="3" t="e">
        <f t="shared" si="3"/>
        <v>#DIV/0!</v>
      </c>
    </row>
    <row r="154" spans="1:3" ht="52.15">
      <c r="A154" s="20" t="s">
        <v>134</v>
      </c>
      <c r="B154" s="55">
        <f>Data!$AB5</f>
        <v>0</v>
      </c>
      <c r="C154" s="3" t="e">
        <f t="shared" si="3"/>
        <v>#DIV/0!</v>
      </c>
    </row>
    <row r="155" spans="1:3" ht="34.9">
      <c r="A155" s="20" t="s">
        <v>135</v>
      </c>
      <c r="B155" s="55">
        <f>Data!$AB6</f>
        <v>0</v>
      </c>
      <c r="C155" s="3" t="e">
        <f t="shared" si="3"/>
        <v>#DIV/0!</v>
      </c>
    </row>
    <row r="156" spans="1:3" ht="52.15">
      <c r="A156" s="20" t="s">
        <v>136</v>
      </c>
      <c r="B156" s="55">
        <f>Data!$AB7</f>
        <v>0</v>
      </c>
      <c r="C156" s="3" t="e">
        <f t="shared" si="3"/>
        <v>#DIV/0!</v>
      </c>
    </row>
    <row r="157" spans="1:3" ht="87">
      <c r="A157" s="20" t="s">
        <v>137</v>
      </c>
      <c r="B157" s="55">
        <f>Data!$AB8</f>
        <v>0</v>
      </c>
      <c r="C157" s="3" t="e">
        <f t="shared" si="3"/>
        <v>#DIV/0!</v>
      </c>
    </row>
    <row r="158" spans="1:3" ht="34.9">
      <c r="A158" s="20" t="s">
        <v>138</v>
      </c>
      <c r="B158" s="55">
        <f>Data!$AB9</f>
        <v>0</v>
      </c>
      <c r="C158" s="3" t="e">
        <f t="shared" si="3"/>
        <v>#DIV/0!</v>
      </c>
    </row>
    <row r="160" spans="1:3" ht="73.150000000000006">
      <c r="A160" s="20" t="s">
        <v>139</v>
      </c>
      <c r="C160" s="3"/>
    </row>
    <row r="161" spans="1:3" ht="34.9">
      <c r="A161" s="20" t="s">
        <v>140</v>
      </c>
      <c r="B161" s="7"/>
      <c r="C161" s="3"/>
    </row>
    <row r="162" spans="1:3" ht="52.15">
      <c r="A162" s="20" t="s">
        <v>141</v>
      </c>
      <c r="B162" s="55">
        <f>Data!AF2</f>
        <v>0</v>
      </c>
      <c r="C162" s="3" t="e">
        <f>CONCATENATE(TEXT(B162/$B$63,"0%")," of participants received this service")</f>
        <v>#DIV/0!</v>
      </c>
    </row>
    <row r="164" spans="1:3" ht="21">
      <c r="A164" s="52" t="s">
        <v>142</v>
      </c>
      <c r="C164" s="3"/>
    </row>
    <row r="165" spans="1:3" ht="69.599999999999994">
      <c r="A165" s="20" t="s">
        <v>143</v>
      </c>
      <c r="B165" s="7"/>
      <c r="C165" s="3"/>
    </row>
    <row r="167" spans="1:3" ht="38.450000000000003">
      <c r="A167" s="20" t="s">
        <v>144</v>
      </c>
      <c r="B167" s="50">
        <f>B140+B145+B149+B161+B165</f>
        <v>0</v>
      </c>
    </row>
    <row r="168" spans="1:3">
      <c r="A168" s="20" t="s">
        <v>145</v>
      </c>
      <c r="B168" s="50">
        <f>B33</f>
        <v>0</v>
      </c>
      <c r="C168" s="5" t="b">
        <f>EXACT(B$167,B168)</f>
        <v>1</v>
      </c>
    </row>
    <row r="170" spans="1:3" ht="59.45">
      <c r="A170" s="20" t="s">
        <v>146</v>
      </c>
    </row>
    <row r="171" spans="1:3" ht="52.15">
      <c r="A171" s="20" t="s">
        <v>147</v>
      </c>
    </row>
    <row r="173" spans="1:3" ht="21">
      <c r="A173" s="52" t="s">
        <v>148</v>
      </c>
    </row>
    <row r="174" spans="1:3" ht="52.15">
      <c r="A174" s="20" t="s">
        <v>149</v>
      </c>
    </row>
    <row r="175" spans="1:3" ht="52.15">
      <c r="A175" s="20" t="s">
        <v>150</v>
      </c>
      <c r="B175" s="55">
        <f>IF(Data!$Z$6&gt;$B$146,"ERROR! Value cannot exceed the number of participants receiving AT Services",Data!$Z$6)</f>
        <v>0</v>
      </c>
      <c r="C175" s="5" t="str">
        <f>IF(B146&gt;=B175,"","ERROR: The number of outcomes cannot exceed the number of people getting AT Services and Devices")</f>
        <v/>
      </c>
    </row>
    <row r="176" spans="1:3" ht="69.599999999999994">
      <c r="A176" s="20" t="s">
        <v>151</v>
      </c>
      <c r="B176" s="55">
        <f>IF(SUM(Data!$Z$3:$Z$4)&gt;B175,"ERROR! Number of Individuals experiencing an increase cannot exceed the number of individuals assessed",SUM(Data!$Z$3:$Z$4))</f>
        <v>0</v>
      </c>
      <c r="C176" s="5" t="e">
        <f>CONCATENATE(TEXT(B175/$B$63,"0%")," of participants were asked about their independence in this category")</f>
        <v>#DIV/0!</v>
      </c>
    </row>
    <row r="177" spans="1:3" ht="52.15">
      <c r="A177" s="20" t="s">
        <v>152</v>
      </c>
      <c r="B177" s="58" t="e">
        <f>B176/B175</f>
        <v>#DIV/0!</v>
      </c>
    </row>
    <row r="179" spans="1:3" ht="38.450000000000003" customHeight="1">
      <c r="A179" s="52" t="s">
        <v>153</v>
      </c>
    </row>
    <row r="180" spans="1:3" ht="34.9">
      <c r="A180" s="20" t="s">
        <v>154</v>
      </c>
    </row>
    <row r="181" spans="1:3" ht="52.15">
      <c r="A181" s="20" t="s">
        <v>155</v>
      </c>
      <c r="B181" s="55">
        <f>IF(Data!$AD$6&gt;$B$150,"ERROR! Value cannot exceed the number of participants receiving IL/A Services",Data!$AD$6)</f>
        <v>0</v>
      </c>
      <c r="C181" s="5" t="str">
        <f>IF(B150&gt;=B181,"","ERROR: The number of outcomes cannot exceed the number of people getting AT Services and Devices")</f>
        <v/>
      </c>
    </row>
    <row r="182" spans="1:3" ht="69.599999999999994">
      <c r="A182" s="20" t="s">
        <v>156</v>
      </c>
      <c r="B182" s="55">
        <f>IF(SUM(Data!$AD$3:$AD$4)&gt;B181,"ERROR! Number of Individuals experiencing an increase cannot exceed the number of individuals assessed",SUM(Data!$AD$3:$AD$4))</f>
        <v>0</v>
      </c>
      <c r="C182" s="5" t="e">
        <f>CONCATENATE(TEXT(B181/$B$63,"0%")," of participants were asked about their independence in this category")</f>
        <v>#DIV/0!</v>
      </c>
    </row>
    <row r="183" spans="1:3" ht="52.15">
      <c r="A183" s="20" t="s">
        <v>157</v>
      </c>
      <c r="B183" s="58" t="e">
        <f>B182/B181</f>
        <v>#DIV/0!</v>
      </c>
      <c r="C183" s="3"/>
    </row>
    <row r="185" spans="1:3" ht="32.450000000000003" customHeight="1">
      <c r="A185" s="52" t="s">
        <v>158</v>
      </c>
      <c r="C185" s="3"/>
    </row>
    <row r="186" spans="1:3" ht="34.9">
      <c r="A186" s="20" t="s">
        <v>159</v>
      </c>
      <c r="C186" s="3"/>
    </row>
    <row r="187" spans="1:3" ht="34.9">
      <c r="A187" s="20" t="s">
        <v>160</v>
      </c>
      <c r="B187" s="55">
        <f>Data!AH2</f>
        <v>0</v>
      </c>
      <c r="C187" s="3"/>
    </row>
    <row r="188" spans="1:3" ht="34.9">
      <c r="A188" s="20" t="s">
        <v>161</v>
      </c>
      <c r="B188" s="55">
        <f>SUM(Data!$AL$3:$AL$4)</f>
        <v>0</v>
      </c>
      <c r="C188" s="5" t="e">
        <f>CONCATENATE(TEXT(B187/$B$63,"0%")," of participants were asked about their independence in this category")</f>
        <v>#DIV/0!</v>
      </c>
    </row>
    <row r="189" spans="1:3" ht="34.9">
      <c r="A189" s="20" t="s">
        <v>162</v>
      </c>
      <c r="B189" s="58" t="e">
        <f>B188/B187</f>
        <v>#DIV/0!</v>
      </c>
      <c r="C189" s="3"/>
    </row>
    <row r="190" spans="1:3" ht="48.6" customHeight="1">
      <c r="A190" s="20" t="s">
        <v>163</v>
      </c>
      <c r="C190" s="3"/>
    </row>
    <row r="191" spans="1:3" ht="34.9">
      <c r="A191" s="20" t="s">
        <v>160</v>
      </c>
      <c r="B191" s="55">
        <f>Data!AH2</f>
        <v>0</v>
      </c>
      <c r="C191" s="3"/>
    </row>
    <row r="192" spans="1:3" ht="34.9">
      <c r="A192" s="20" t="s">
        <v>164</v>
      </c>
      <c r="B192" s="55">
        <f>SUM(Data!$AJ$3:$AJ$4)</f>
        <v>0</v>
      </c>
      <c r="C192" s="5" t="e">
        <f>CONCATENATE(TEXT(B191/$B$63,"0%")," of participants were asked about their independence in this category")</f>
        <v>#DIV/0!</v>
      </c>
    </row>
    <row r="193" spans="1:3" ht="34.9">
      <c r="A193" s="20" t="s">
        <v>165</v>
      </c>
      <c r="B193" s="58" t="e">
        <f>B192/B191</f>
        <v>#DIV/0!</v>
      </c>
      <c r="C193" s="3"/>
    </row>
    <row r="194" spans="1:3" ht="21">
      <c r="A194" s="52" t="s">
        <v>166</v>
      </c>
    </row>
    <row r="195" spans="1:3" ht="69.599999999999994">
      <c r="A195" s="20" t="s">
        <v>167</v>
      </c>
      <c r="C195" s="3"/>
    </row>
    <row r="196" spans="1:3">
      <c r="A196" s="20" t="s">
        <v>168</v>
      </c>
      <c r="C196" s="3"/>
    </row>
    <row r="197" spans="1:3" ht="28.15" customHeight="1">
      <c r="A197" s="20" t="s">
        <v>169</v>
      </c>
      <c r="B197" s="50">
        <f>B33</f>
        <v>0</v>
      </c>
      <c r="C197" s="3"/>
    </row>
    <row r="198" spans="1:3" ht="28.15" customHeight="1">
      <c r="A198" s="20" t="s">
        <v>170</v>
      </c>
      <c r="B198" s="59">
        <f>B63</f>
        <v>0</v>
      </c>
      <c r="C198" s="3"/>
    </row>
    <row r="199" spans="1:3" ht="28.15" customHeight="1">
      <c r="A199" s="20" t="s">
        <v>171</v>
      </c>
      <c r="B199" s="50" t="e">
        <f>B197/B198</f>
        <v>#DIV/0!</v>
      </c>
      <c r="C199" s="3"/>
    </row>
    <row r="201" spans="1:3" ht="31.9" customHeight="1">
      <c r="A201" s="60" t="s">
        <v>172</v>
      </c>
    </row>
    <row r="202" spans="1:3" ht="31.9" customHeight="1">
      <c r="A202" s="20" t="s">
        <v>173</v>
      </c>
    </row>
    <row r="203" spans="1:3" ht="52.15">
      <c r="A203" s="20" t="s">
        <v>174</v>
      </c>
      <c r="B203" s="55">
        <f>Data!AH2</f>
        <v>0</v>
      </c>
    </row>
    <row r="204" spans="1:3" ht="34.9">
      <c r="A204" s="20" t="s">
        <v>175</v>
      </c>
      <c r="B204" s="5">
        <f>Data!AN6</f>
        <v>0</v>
      </c>
      <c r="C204" s="5" t="e">
        <f>CONCATENATE(TEXT(B203/$B$63,"0%")," of participants were asked about their independence in this category")</f>
        <v>#DIV/0!</v>
      </c>
    </row>
    <row r="205" spans="1:3" ht="34.9">
      <c r="A205" s="20" t="s">
        <v>176</v>
      </c>
      <c r="B205" s="58" t="e">
        <f>B204/B203</f>
        <v>#DIV/0!</v>
      </c>
    </row>
  </sheetData>
  <sheetProtection algorithmName="SHA-512" hashValue="bvLVcK7Wng+cvaXBEB/el7XmqPdkUfT3wwDumPo/4nWQxW+t4KhhsXHdpzuPRNVQUDe9XXwl4O+EoZirQ7pFKA==" saltValue="qDhRelzfmWufl+bpliHoTQ==" spinCount="100000" sheet="1" autoFilter="0"/>
  <mergeCells count="1">
    <mergeCell ref="A1:B1"/>
  </mergeCells>
  <conditionalFormatting sqref="A1:XFD1048576">
    <cfRule type="expression" dxfId="315" priority="1">
      <formula>CELL("protect",A1:B206)</formula>
    </cfRule>
  </conditionalFormatting>
  <dataValidations disablePrompts="1" count="1">
    <dataValidation type="list" showInputMessage="1" showErrorMessage="1" errorTitle="Error" error="Please select a value from the list." promptTitle="Select Quarter" prompt="Please select the applicable quarter of the report." sqref="A6" xr:uid="{00000000-0002-0000-0000-000000000000}">
      <formula1>"1st Quarter, 2nd Quarter, 3rd Quarter, 4th Quarter"</formula1>
    </dataValidation>
  </dataValidations>
  <pageMargins left="0.7" right="0.7" top="0.75" bottom="0.75" header="0.3" footer="0.3"/>
  <pageSetup scale="52"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64"/>
  <sheetViews>
    <sheetView zoomScale="80" zoomScaleNormal="80" zoomScaleSheetLayoutView="78" workbookViewId="0">
      <selection activeCell="A2" sqref="A2"/>
    </sheetView>
  </sheetViews>
  <sheetFormatPr defaultColWidth="8.7109375" defaultRowHeight="17.45"/>
  <cols>
    <col min="1" max="1" width="8.140625" style="11" customWidth="1"/>
    <col min="2" max="2" width="87.140625" style="11" customWidth="1"/>
    <col min="3" max="3" width="9.140625" style="11" bestFit="1" customWidth="1"/>
    <col min="4" max="5" width="9.5703125" style="11" bestFit="1" customWidth="1"/>
    <col min="6" max="16384" width="8.7109375" style="11"/>
  </cols>
  <sheetData>
    <row r="1" spans="1:24">
      <c r="A1" s="12"/>
      <c r="B1" s="13"/>
    </row>
    <row r="2" spans="1:24">
      <c r="A2" s="14" t="s">
        <v>177</v>
      </c>
      <c r="B2" s="15"/>
    </row>
    <row r="3" spans="1:24" ht="87">
      <c r="A3" s="5">
        <v>1</v>
      </c>
      <c r="B3" s="5" t="s">
        <v>178</v>
      </c>
    </row>
    <row r="4" spans="1:24" ht="69.599999999999994" hidden="1">
      <c r="A4" s="3">
        <v>2</v>
      </c>
      <c r="B4" s="5" t="s">
        <v>179</v>
      </c>
      <c r="C4" s="10"/>
      <c r="D4" s="10"/>
      <c r="E4" s="10"/>
      <c r="F4" s="10"/>
      <c r="G4" s="10"/>
      <c r="H4" s="10"/>
      <c r="I4" s="10"/>
      <c r="J4" s="10"/>
      <c r="K4" s="10"/>
      <c r="L4" s="10"/>
      <c r="M4" s="10"/>
      <c r="N4" s="10"/>
      <c r="O4" s="10"/>
      <c r="P4" s="10"/>
      <c r="Q4" s="10"/>
      <c r="R4" s="10"/>
      <c r="S4" s="10"/>
      <c r="T4" s="10"/>
      <c r="U4" s="10"/>
      <c r="V4" s="10"/>
      <c r="W4" s="10"/>
      <c r="X4" s="10"/>
    </row>
    <row r="5" spans="1:24" hidden="1">
      <c r="A5" s="3">
        <v>3</v>
      </c>
      <c r="B5" s="3">
        <v>40</v>
      </c>
    </row>
    <row r="6" spans="1:24" ht="52.15">
      <c r="A6" s="3">
        <v>2</v>
      </c>
      <c r="B6" s="5" t="s">
        <v>180</v>
      </c>
    </row>
    <row r="7" spans="1:24" ht="34.9">
      <c r="A7" s="3">
        <v>3</v>
      </c>
      <c r="B7" s="5" t="s">
        <v>181</v>
      </c>
    </row>
    <row r="8" spans="1:24" ht="34.9">
      <c r="A8" s="3">
        <v>4</v>
      </c>
      <c r="B8" s="5" t="s">
        <v>182</v>
      </c>
    </row>
    <row r="9" spans="1:24" ht="52.15">
      <c r="A9" s="3">
        <v>5</v>
      </c>
      <c r="B9" s="5" t="s">
        <v>183</v>
      </c>
    </row>
    <row r="10" spans="1:24" ht="52.15">
      <c r="A10" s="3">
        <v>6</v>
      </c>
      <c r="B10" s="5" t="s">
        <v>184</v>
      </c>
    </row>
    <row r="11" spans="1:24" ht="69.599999999999994">
      <c r="A11" s="3">
        <v>7</v>
      </c>
      <c r="B11" s="5" t="s">
        <v>185</v>
      </c>
    </row>
    <row r="12" spans="1:24">
      <c r="B12" s="10"/>
    </row>
    <row r="13" spans="1:24">
      <c r="B13" s="10"/>
    </row>
    <row r="14" spans="1:24">
      <c r="B14" s="10"/>
    </row>
    <row r="15" spans="1:24">
      <c r="B15" s="10"/>
    </row>
    <row r="16" spans="1:24">
      <c r="B16" s="10"/>
    </row>
    <row r="17" spans="2:2">
      <c r="B17" s="10"/>
    </row>
    <row r="18" spans="2:2">
      <c r="B18" s="10"/>
    </row>
    <row r="57" spans="3:3">
      <c r="C57" s="41"/>
    </row>
    <row r="60" spans="3:3">
      <c r="C60" s="41"/>
    </row>
    <row r="62" spans="3:3">
      <c r="C62" s="41"/>
    </row>
    <row r="64" spans="3:3">
      <c r="C64" s="41"/>
    </row>
  </sheetData>
  <sheetProtection algorithmName="SHA-512" hashValue="cwdGpibd7CyZlF19O0YqhyqrzqckaUkupo88L1VGKu9rEz58M3bUxQtzVuTtnY/v/TrtMJYN2tO3XPJnrKR5Eg==" saltValue="KcI0IohNQjJEzm+sJAKTJA==" spinCount="100000" sheet="1" objects="1" scenarios="1"/>
  <conditionalFormatting sqref="A52">
    <cfRule type="expression" dxfId="314" priority="5251">
      <formula>CELL("protect",A52:B257)</formula>
    </cfRule>
  </conditionalFormatting>
  <conditionalFormatting sqref="A1:XFC51 C52:XFC52 A58:XFC1048370">
    <cfRule type="expression" dxfId="313" priority="2">
      <formula>CELL("protect",A1:B206)</formula>
    </cfRule>
  </conditionalFormatting>
  <conditionalFormatting sqref="A1048371:XFC1048371">
    <cfRule type="expression" dxfId="312" priority="5256">
      <formula>CELL("protect",A1:B1048371)</formula>
    </cfRule>
  </conditionalFormatting>
  <conditionalFormatting sqref="A1048372:XFC1048574">
    <cfRule type="expression" dxfId="311" priority="5265">
      <formula>CELL("protect",A1:B1048372)</formula>
    </cfRule>
  </conditionalFormatting>
  <conditionalFormatting sqref="A1048575:XFC1048576">
    <cfRule type="expression" dxfId="310" priority="5264">
      <formula>CELL("protect",A203:B1048576)</formula>
    </cfRule>
  </conditionalFormatting>
  <conditionalFormatting sqref="B52 A53:XFC57">
    <cfRule type="expression" dxfId="309" priority="1">
      <formula>CELL("protect",A52:B256)</formula>
    </cfRule>
  </conditionalFormatting>
  <conditionalFormatting sqref="XFD1:XFD52 XFD58:XFD1048574">
    <cfRule type="expression" dxfId="308" priority="5250">
      <formula>CELL("protect",1:206)</formula>
    </cfRule>
  </conditionalFormatting>
  <conditionalFormatting sqref="XFD53:XFD57">
    <cfRule type="expression" dxfId="307" priority="5259">
      <formula>CELL("protect",53:257)</formula>
    </cfRule>
  </conditionalFormatting>
  <conditionalFormatting sqref="XFD1048575:XFD1048576">
    <cfRule type="expression" dxfId="306" priority="5260">
      <formula>CELL("protect",204:1048575)</formula>
    </cfRule>
  </conditionalFormatting>
  <dataValidations disablePrompts="1" count="1">
    <dataValidation type="decimal" showInputMessage="1" showErrorMessage="1" errorTitle="Error" error="Please enter a number in the range of 30-40" promptTitle="Number of Hours for 1 FTE" prompt="Enter the number of hours that constitutes 1 FTE" sqref="B5" xr:uid="{00000000-0002-0000-0100-000000000000}">
      <formula1>30</formula1>
      <formula2>40</formula2>
    </dataValidation>
  </dataValidations>
  <pageMargins left="0.45" right="0.45"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59999389629810485"/>
  </sheetPr>
  <dimension ref="A1:L2001"/>
  <sheetViews>
    <sheetView tabSelected="1" zoomScale="80" zoomScaleNormal="100" zoomScaleSheetLayoutView="68" workbookViewId="0">
      <selection activeCell="I17" sqref="I17"/>
    </sheetView>
  </sheetViews>
  <sheetFormatPr defaultColWidth="9.140625" defaultRowHeight="17.45"/>
  <cols>
    <col min="1" max="1" width="53.42578125" style="3" bestFit="1" customWidth="1"/>
    <col min="2" max="2" width="13.5703125" style="3" bestFit="1" customWidth="1"/>
    <col min="3" max="4" width="22.85546875" style="3" bestFit="1" customWidth="1"/>
    <col min="5" max="5" width="29.7109375" style="3" bestFit="1" customWidth="1"/>
    <col min="6" max="6" width="30.85546875" style="3" bestFit="1" customWidth="1"/>
    <col min="7" max="7" width="30.140625" style="3" bestFit="1" customWidth="1"/>
    <col min="8" max="8" width="34.28515625" style="3" bestFit="1" customWidth="1"/>
    <col min="9" max="9" width="26.28515625" style="3" bestFit="1" customWidth="1"/>
    <col min="10" max="11" width="28.42578125" style="3" bestFit="1" customWidth="1"/>
    <col min="12" max="12" width="26.28515625" style="3" bestFit="1" customWidth="1"/>
    <col min="13" max="16384" width="9.140625" style="3"/>
  </cols>
  <sheetData>
    <row r="1" spans="1:12" s="6" customFormat="1" ht="34.9">
      <c r="A1" s="1" t="s">
        <v>186</v>
      </c>
      <c r="B1" s="1"/>
      <c r="C1" s="100" t="s">
        <v>187</v>
      </c>
      <c r="D1" s="100"/>
      <c r="E1" s="100"/>
      <c r="F1" s="100"/>
      <c r="G1" s="100"/>
      <c r="H1" s="100"/>
      <c r="I1" s="63" t="s">
        <v>46</v>
      </c>
      <c r="J1" s="63"/>
      <c r="K1" s="63"/>
      <c r="L1" s="63"/>
    </row>
    <row r="2" spans="1:12" s="6" customFormat="1" ht="34.9">
      <c r="A2" s="1" t="s">
        <v>188</v>
      </c>
      <c r="B2" s="1"/>
      <c r="C2" s="99" t="s">
        <v>189</v>
      </c>
      <c r="D2" s="99"/>
      <c r="E2" s="99"/>
      <c r="F2" s="99" t="s">
        <v>190</v>
      </c>
      <c r="G2" s="99"/>
      <c r="H2" s="99"/>
      <c r="I2" s="1" t="str">
        <f>CONCATENATE(Data!$AO2,": ",Data!$AP2)</f>
        <v>Disabled, not blind or vision impaired: 0</v>
      </c>
      <c r="J2" s="1"/>
      <c r="K2" s="1"/>
      <c r="L2" s="1"/>
    </row>
    <row r="3" spans="1:12" ht="52.15">
      <c r="A3" s="4"/>
      <c r="B3" s="4"/>
      <c r="C3" s="4" t="s">
        <v>191</v>
      </c>
      <c r="D3" s="4" t="s">
        <v>192</v>
      </c>
      <c r="E3" s="4" t="s">
        <v>193</v>
      </c>
      <c r="F3" s="4" t="s">
        <v>194</v>
      </c>
      <c r="G3" s="4" t="s">
        <v>195</v>
      </c>
      <c r="H3" s="4" t="s">
        <v>196</v>
      </c>
      <c r="I3" s="1" t="str">
        <f>CONCATENATE(Data!$AO3,": ",Data!$AP3)</f>
        <v>Blind or vision impaired age 55 or older: 4</v>
      </c>
      <c r="J3" s="4"/>
      <c r="K3" s="4"/>
      <c r="L3" s="4"/>
    </row>
    <row r="4" spans="1:12" ht="52.15">
      <c r="A4" s="3" t="s">
        <v>197</v>
      </c>
      <c r="C4" s="2">
        <f>SUMIF($B$7:$B$1999,"State",$C$7:$C$1999)</f>
        <v>0</v>
      </c>
      <c r="D4" s="2">
        <f>SUMIF($B$7:$B$1999,"State",$D$7:$D$1999)</f>
        <v>0</v>
      </c>
      <c r="E4" s="2">
        <f>SUM(C4:D4)</f>
        <v>0</v>
      </c>
      <c r="F4" s="2">
        <f>SUMIF($B$7:$B$1999,"Contractor",$C$7:$C$1999)</f>
        <v>1.2100000000000002</v>
      </c>
      <c r="G4" s="2">
        <f>SUMIF($B$7:$B$1999,"Contractor",$D$7:$D$1999)</f>
        <v>8.0400000000000009</v>
      </c>
      <c r="H4" s="2">
        <f>SUM(F4:G4)</f>
        <v>9.2500000000000018</v>
      </c>
      <c r="I4" s="1" t="str">
        <f>CONCATENATE(Data!$AO4,": ",Data!$AP4)</f>
        <v>Blind or vision impaired 54 or younger: 4</v>
      </c>
    </row>
    <row r="5" spans="1:12">
      <c r="C5" s="2"/>
      <c r="D5" s="2"/>
      <c r="E5" s="2"/>
      <c r="F5" s="2"/>
      <c r="G5" s="2"/>
      <c r="H5" s="2"/>
      <c r="I5" s="64"/>
      <c r="J5" s="16"/>
      <c r="K5" s="16"/>
      <c r="L5" s="16"/>
    </row>
    <row r="6" spans="1:12" ht="34.9">
      <c r="A6" s="1" t="s">
        <v>198</v>
      </c>
      <c r="B6" s="4" t="s">
        <v>199</v>
      </c>
      <c r="C6" s="3" t="s">
        <v>200</v>
      </c>
      <c r="D6" s="3" t="s">
        <v>201</v>
      </c>
      <c r="E6" s="3" t="s">
        <v>202</v>
      </c>
      <c r="F6" s="3" t="s">
        <v>203</v>
      </c>
      <c r="G6" s="3" t="s">
        <v>204</v>
      </c>
      <c r="H6" s="3" t="s">
        <v>205</v>
      </c>
      <c r="I6" s="16" t="s">
        <v>206</v>
      </c>
      <c r="J6" s="16"/>
      <c r="K6" s="16"/>
      <c r="L6" s="16"/>
    </row>
    <row r="7" spans="1:12" ht="29.45" customHeight="1">
      <c r="A7" s="17" t="s">
        <v>207</v>
      </c>
      <c r="B7" s="61" t="str">
        <f t="shared" ref="B7:B51" si="0">IF(A7&lt;&gt;"","Contractor","")</f>
        <v>Contractor</v>
      </c>
      <c r="C7" s="18">
        <f>F7/Instructions!$B$5</f>
        <v>0.22500000000000001</v>
      </c>
      <c r="D7" s="18">
        <f>G7/Instructions!$B$5</f>
        <v>2.5000000000000001E-2</v>
      </c>
      <c r="E7" s="18">
        <f>IF(SUM(C7:D7)&gt;1,"Error",SUM(C7:D7))</f>
        <v>0.25</v>
      </c>
      <c r="F7" s="19">
        <v>9</v>
      </c>
      <c r="G7" s="19">
        <v>1</v>
      </c>
      <c r="H7" s="18">
        <f>IF(SUM(F7:G7)&gt;Instructions!$B$5,"Error",SUM(F7:G7))</f>
        <v>10</v>
      </c>
      <c r="I7" s="8" t="s">
        <v>208</v>
      </c>
      <c r="J7" s="61"/>
      <c r="K7" s="61"/>
      <c r="L7" s="61"/>
    </row>
    <row r="8" spans="1:12" ht="29.45" customHeight="1">
      <c r="A8" s="8" t="s">
        <v>209</v>
      </c>
      <c r="B8" s="61" t="str">
        <f t="shared" si="0"/>
        <v>Contractor</v>
      </c>
      <c r="C8" s="2">
        <f>F8/Instructions!$B$5</f>
        <v>0.15</v>
      </c>
      <c r="D8" s="2">
        <f>G8/Instructions!$B$5</f>
        <v>0.6</v>
      </c>
      <c r="E8" s="2">
        <f t="shared" ref="E8:E71" si="1">IF(SUM(C8:D8)&gt;1,"Error",SUM(C8:D8))</f>
        <v>0.75</v>
      </c>
      <c r="F8" s="9">
        <v>6</v>
      </c>
      <c r="G8" s="9">
        <v>24</v>
      </c>
      <c r="H8" s="2">
        <f>IF(SUM(F8:G8)&gt;Instructions!$B$5,"Error",SUM(F8:G8))</f>
        <v>30</v>
      </c>
      <c r="I8" s="8"/>
    </row>
    <row r="9" spans="1:12" ht="29.45" customHeight="1">
      <c r="A9" s="8" t="s">
        <v>210</v>
      </c>
      <c r="B9" s="61" t="str">
        <f t="shared" si="0"/>
        <v>Contractor</v>
      </c>
      <c r="C9" s="2">
        <f>F9/Instructions!$B$5</f>
        <v>0.16</v>
      </c>
      <c r="D9" s="2">
        <f>G9/Instructions!$B$5</f>
        <v>0.64</v>
      </c>
      <c r="E9" s="2">
        <f t="shared" si="1"/>
        <v>0.8</v>
      </c>
      <c r="F9" s="9">
        <v>6.4</v>
      </c>
      <c r="G9" s="9">
        <v>25.6</v>
      </c>
      <c r="H9" s="2">
        <f>IF(SUM(F9:G9)&gt;Instructions!$B$5,"Error",SUM(F9:G9))</f>
        <v>32</v>
      </c>
      <c r="I9" s="8" t="s">
        <v>211</v>
      </c>
    </row>
    <row r="10" spans="1:12" ht="29.45" customHeight="1">
      <c r="A10" s="8" t="s">
        <v>212</v>
      </c>
      <c r="B10" s="61" t="str">
        <f t="shared" si="0"/>
        <v>Contractor</v>
      </c>
      <c r="C10" s="2">
        <f>F10/Instructions!$B$5</f>
        <v>0</v>
      </c>
      <c r="D10" s="2">
        <f>G10/Instructions!$B$5</f>
        <v>1</v>
      </c>
      <c r="E10" s="2">
        <f t="shared" si="1"/>
        <v>1</v>
      </c>
      <c r="F10" s="9">
        <v>0</v>
      </c>
      <c r="G10" s="9">
        <v>40</v>
      </c>
      <c r="H10" s="2">
        <f>IF(SUM(F10:G10)&gt;Instructions!$B$5,"Error",SUM(F10:G10))</f>
        <v>40</v>
      </c>
      <c r="I10" s="8" t="s">
        <v>211</v>
      </c>
    </row>
    <row r="11" spans="1:12" ht="29.45" customHeight="1">
      <c r="A11" s="8" t="s">
        <v>213</v>
      </c>
      <c r="B11" s="61" t="str">
        <f t="shared" si="0"/>
        <v>Contractor</v>
      </c>
      <c r="C11" s="2">
        <f>F11/Instructions!$B$5</f>
        <v>0</v>
      </c>
      <c r="D11" s="2">
        <f>G11/Instructions!$B$5</f>
        <v>0.25</v>
      </c>
      <c r="E11" s="2">
        <f t="shared" si="1"/>
        <v>0.25</v>
      </c>
      <c r="F11" s="9">
        <v>0</v>
      </c>
      <c r="G11" s="9">
        <v>10</v>
      </c>
      <c r="H11" s="2">
        <f>IF(SUM(F11:G11)&gt;Instructions!$B$5,"Error",SUM(F11:G11))</f>
        <v>10</v>
      </c>
      <c r="I11" s="8" t="s">
        <v>208</v>
      </c>
    </row>
    <row r="12" spans="1:12" ht="29.45" customHeight="1">
      <c r="A12" s="8" t="s">
        <v>214</v>
      </c>
      <c r="B12" s="61" t="str">
        <f t="shared" si="0"/>
        <v>Contractor</v>
      </c>
      <c r="C12" s="2">
        <f>F12/Instructions!$B$5</f>
        <v>0</v>
      </c>
      <c r="D12" s="2">
        <f>G12/Instructions!$B$5</f>
        <v>1</v>
      </c>
      <c r="E12" s="2">
        <f t="shared" si="1"/>
        <v>1</v>
      </c>
      <c r="F12" s="9">
        <v>0</v>
      </c>
      <c r="G12" s="9">
        <v>40</v>
      </c>
      <c r="H12" s="2">
        <f>IF(SUM(F12:G12)&gt;Instructions!$B$5,"Error",SUM(F12:G12))</f>
        <v>40</v>
      </c>
      <c r="I12" s="8" t="s">
        <v>208</v>
      </c>
    </row>
    <row r="13" spans="1:12" ht="29.45" customHeight="1">
      <c r="A13" s="8" t="s">
        <v>215</v>
      </c>
      <c r="B13" s="61" t="str">
        <f t="shared" si="0"/>
        <v>Contractor</v>
      </c>
      <c r="C13" s="2">
        <f>F13/Instructions!$B$5</f>
        <v>0</v>
      </c>
      <c r="D13" s="2">
        <f>G13/Instructions!$B$5</f>
        <v>1</v>
      </c>
      <c r="E13" s="2">
        <f t="shared" si="1"/>
        <v>1</v>
      </c>
      <c r="F13" s="9">
        <v>0</v>
      </c>
      <c r="G13" s="9">
        <v>40</v>
      </c>
      <c r="H13" s="2">
        <f>IF(SUM(F13:G13)&gt;Instructions!$B$5,"Error",SUM(F13:G13))</f>
        <v>40</v>
      </c>
      <c r="I13" s="8" t="s">
        <v>208</v>
      </c>
    </row>
    <row r="14" spans="1:12" ht="29.45" customHeight="1">
      <c r="A14" s="8" t="s">
        <v>216</v>
      </c>
      <c r="B14" s="61" t="str">
        <f t="shared" si="0"/>
        <v>Contractor</v>
      </c>
      <c r="C14" s="2">
        <f>F14/Instructions!$B$5</f>
        <v>0.2</v>
      </c>
      <c r="D14" s="2">
        <f>G14/Instructions!$B$5</f>
        <v>0.8</v>
      </c>
      <c r="E14" s="2">
        <f t="shared" si="1"/>
        <v>1</v>
      </c>
      <c r="F14" s="9">
        <v>8</v>
      </c>
      <c r="G14" s="9">
        <v>32</v>
      </c>
      <c r="H14" s="2">
        <f>IF(SUM(F14:G14)&gt;Instructions!$B$5,"Error",SUM(F14:G14))</f>
        <v>40</v>
      </c>
      <c r="I14" s="8"/>
    </row>
    <row r="15" spans="1:12" ht="29.45" customHeight="1">
      <c r="A15" s="8" t="s">
        <v>217</v>
      </c>
      <c r="B15" s="61" t="str">
        <f t="shared" si="0"/>
        <v>Contractor</v>
      </c>
      <c r="C15" s="2">
        <f>F15/Instructions!$B$5</f>
        <v>0.2</v>
      </c>
      <c r="D15" s="2">
        <f>G15/Instructions!$B$5</f>
        <v>0.8</v>
      </c>
      <c r="E15" s="2">
        <f t="shared" si="1"/>
        <v>1</v>
      </c>
      <c r="F15" s="9">
        <v>8</v>
      </c>
      <c r="G15" s="9">
        <v>32</v>
      </c>
      <c r="H15" s="2">
        <f>IF(SUM(F15:G15)&gt;Instructions!$B$5,"Error",SUM(F15:G15))</f>
        <v>40</v>
      </c>
      <c r="I15" s="8"/>
    </row>
    <row r="16" spans="1:12" ht="29.45" customHeight="1">
      <c r="A16" s="8" t="s">
        <v>218</v>
      </c>
      <c r="B16" s="61" t="str">
        <f t="shared" si="0"/>
        <v>Contractor</v>
      </c>
      <c r="C16" s="2">
        <f>F16/Instructions!$B$5</f>
        <v>0</v>
      </c>
      <c r="D16" s="2">
        <f>G16/Instructions!$B$5</f>
        <v>0.4</v>
      </c>
      <c r="E16" s="2">
        <f t="shared" si="1"/>
        <v>0.4</v>
      </c>
      <c r="F16" s="9">
        <v>0</v>
      </c>
      <c r="G16" s="9">
        <v>16</v>
      </c>
      <c r="H16" s="2">
        <f>IF(SUM(F16:G16)&gt;Instructions!$B$5,"Error",SUM(F16:G16))</f>
        <v>16</v>
      </c>
      <c r="I16" s="8" t="s">
        <v>211</v>
      </c>
    </row>
    <row r="17" spans="1:9" ht="29.45" customHeight="1">
      <c r="A17" s="8" t="s">
        <v>219</v>
      </c>
      <c r="B17" s="61" t="str">
        <f t="shared" si="0"/>
        <v>Contractor</v>
      </c>
      <c r="C17" s="2">
        <f>F17/Instructions!$B$5</f>
        <v>0.1</v>
      </c>
      <c r="D17" s="2">
        <f>G17/Instructions!$B$5</f>
        <v>0</v>
      </c>
      <c r="E17" s="2">
        <f t="shared" si="1"/>
        <v>0.1</v>
      </c>
      <c r="F17" s="9">
        <v>4</v>
      </c>
      <c r="G17" s="9"/>
      <c r="H17" s="2">
        <f>IF(SUM(F17:G17)&gt;Instructions!$B$5,"Error",SUM(F17:G17))</f>
        <v>4</v>
      </c>
      <c r="I17" s="8"/>
    </row>
    <row r="18" spans="1:9" ht="29.45" customHeight="1">
      <c r="A18" s="8" t="s">
        <v>220</v>
      </c>
      <c r="B18" s="61" t="str">
        <f t="shared" si="0"/>
        <v>Contractor</v>
      </c>
      <c r="C18" s="2">
        <f>F18/Instructions!$B$5</f>
        <v>0</v>
      </c>
      <c r="D18" s="2">
        <f>G18/Instructions!$B$5</f>
        <v>0.8</v>
      </c>
      <c r="E18" s="2">
        <f t="shared" si="1"/>
        <v>0.8</v>
      </c>
      <c r="F18" s="9"/>
      <c r="G18" s="9">
        <v>32</v>
      </c>
      <c r="H18" s="2">
        <f>IF(SUM(F18:G18)&gt;Instructions!$B$5,"Error",SUM(F18:G18))</f>
        <v>32</v>
      </c>
      <c r="I18" s="8" t="s">
        <v>211</v>
      </c>
    </row>
    <row r="19" spans="1:9" ht="29.45" customHeight="1">
      <c r="A19" s="8" t="s">
        <v>221</v>
      </c>
      <c r="B19" s="61" t="str">
        <f t="shared" si="0"/>
        <v>Contractor</v>
      </c>
      <c r="C19" s="2">
        <f>F19/Instructions!$B$5</f>
        <v>0.17499999999999999</v>
      </c>
      <c r="D19" s="2">
        <f>G19/Instructions!$B$5</f>
        <v>0.72499999999999998</v>
      </c>
      <c r="E19" s="2">
        <f t="shared" si="1"/>
        <v>0.89999999999999991</v>
      </c>
      <c r="F19" s="9">
        <v>7</v>
      </c>
      <c r="G19" s="9">
        <v>29</v>
      </c>
      <c r="H19" s="2">
        <f>IF(SUM(F19:G19)&gt;Instructions!$B$5,"Error",SUM(F19:G19))</f>
        <v>36</v>
      </c>
      <c r="I19" s="8"/>
    </row>
    <row r="20" spans="1:9" ht="29.45" customHeight="1">
      <c r="A20" s="8"/>
      <c r="B20" s="61" t="str">
        <f t="shared" si="0"/>
        <v/>
      </c>
      <c r="C20" s="2">
        <f>F20/Instructions!$B$5</f>
        <v>0</v>
      </c>
      <c r="D20" s="2">
        <f>G20/Instructions!$B$5</f>
        <v>0</v>
      </c>
      <c r="E20" s="2">
        <f t="shared" si="1"/>
        <v>0</v>
      </c>
      <c r="F20" s="9"/>
      <c r="G20" s="9"/>
      <c r="H20" s="2">
        <f>IF(SUM(F20:G20)&gt;Instructions!$B$5,"Error",SUM(F20:G20))</f>
        <v>0</v>
      </c>
      <c r="I20" s="8"/>
    </row>
    <row r="21" spans="1:9" ht="29.45" customHeight="1">
      <c r="A21" s="8"/>
      <c r="B21" s="61" t="str">
        <f t="shared" si="0"/>
        <v/>
      </c>
      <c r="C21" s="2">
        <f>F21/Instructions!$B$5</f>
        <v>0</v>
      </c>
      <c r="D21" s="2">
        <f>G21/Instructions!$B$5</f>
        <v>0</v>
      </c>
      <c r="E21" s="2">
        <f t="shared" si="1"/>
        <v>0</v>
      </c>
      <c r="F21" s="9"/>
      <c r="G21" s="9"/>
      <c r="H21" s="2">
        <f>IF(SUM(F21:G21)&gt;Instructions!$B$5,"Error",SUM(F21:G21))</f>
        <v>0</v>
      </c>
      <c r="I21" s="8"/>
    </row>
    <row r="22" spans="1:9" ht="29.45" customHeight="1">
      <c r="A22" s="8"/>
      <c r="B22" s="61" t="str">
        <f t="shared" si="0"/>
        <v/>
      </c>
      <c r="C22" s="2">
        <f>F22/Instructions!$B$5</f>
        <v>0</v>
      </c>
      <c r="D22" s="2">
        <f>G22/Instructions!$B$5</f>
        <v>0</v>
      </c>
      <c r="E22" s="2">
        <f t="shared" si="1"/>
        <v>0</v>
      </c>
      <c r="F22" s="9"/>
      <c r="G22" s="9"/>
      <c r="H22" s="2">
        <f>IF(SUM(F22:G22)&gt;Instructions!$B$5,"Error",SUM(F22:G22))</f>
        <v>0</v>
      </c>
      <c r="I22" s="8"/>
    </row>
    <row r="23" spans="1:9" ht="29.45" customHeight="1">
      <c r="A23" s="8"/>
      <c r="B23" s="61" t="str">
        <f t="shared" si="0"/>
        <v/>
      </c>
      <c r="C23" s="2">
        <f>F23/Instructions!$B$5</f>
        <v>0</v>
      </c>
      <c r="D23" s="2">
        <f>G23/Instructions!$B$5</f>
        <v>0</v>
      </c>
      <c r="E23" s="2">
        <f t="shared" si="1"/>
        <v>0</v>
      </c>
      <c r="F23" s="9"/>
      <c r="G23" s="9"/>
      <c r="H23" s="2">
        <f>IF(SUM(F23:G23)&gt;Instructions!$B$5,"Error",SUM(F23:G23))</f>
        <v>0</v>
      </c>
      <c r="I23" s="8"/>
    </row>
    <row r="24" spans="1:9" ht="29.45" customHeight="1">
      <c r="A24" s="8"/>
      <c r="B24" s="61" t="str">
        <f t="shared" si="0"/>
        <v/>
      </c>
      <c r="C24" s="2">
        <f>F24/Instructions!$B$5</f>
        <v>0</v>
      </c>
      <c r="D24" s="2">
        <f>G24/Instructions!$B$5</f>
        <v>0</v>
      </c>
      <c r="E24" s="2">
        <f t="shared" si="1"/>
        <v>0</v>
      </c>
      <c r="F24" s="9"/>
      <c r="G24" s="9"/>
      <c r="H24" s="2">
        <f>IF(SUM(F24:G24)&gt;Instructions!$B$5,"Error",SUM(F24:G24))</f>
        <v>0</v>
      </c>
      <c r="I24" s="8"/>
    </row>
    <row r="25" spans="1:9" ht="29.45" customHeight="1">
      <c r="A25" s="8"/>
      <c r="B25" s="61" t="str">
        <f t="shared" si="0"/>
        <v/>
      </c>
      <c r="C25" s="2">
        <f>F25/Instructions!$B$5</f>
        <v>0</v>
      </c>
      <c r="D25" s="2">
        <f>G25/Instructions!$B$5</f>
        <v>0</v>
      </c>
      <c r="E25" s="2">
        <f t="shared" si="1"/>
        <v>0</v>
      </c>
      <c r="F25" s="9"/>
      <c r="G25" s="9"/>
      <c r="H25" s="2">
        <f>IF(SUM(F25:G25)&gt;Instructions!$B$5,"Error",SUM(F25:G25))</f>
        <v>0</v>
      </c>
      <c r="I25" s="8"/>
    </row>
    <row r="26" spans="1:9" ht="29.45" customHeight="1">
      <c r="A26" s="8"/>
      <c r="B26" s="61" t="str">
        <f t="shared" si="0"/>
        <v/>
      </c>
      <c r="C26" s="2">
        <f>F26/Instructions!$B$5</f>
        <v>0</v>
      </c>
      <c r="D26" s="2">
        <f>G26/Instructions!$B$5</f>
        <v>0</v>
      </c>
      <c r="E26" s="2">
        <f t="shared" si="1"/>
        <v>0</v>
      </c>
      <c r="F26" s="9"/>
      <c r="G26" s="9"/>
      <c r="H26" s="2">
        <f>IF(SUM(F26:G26)&gt;Instructions!$B$5,"Error",SUM(F26:G26))</f>
        <v>0</v>
      </c>
      <c r="I26" s="8"/>
    </row>
    <row r="27" spans="1:9" ht="29.45" customHeight="1">
      <c r="A27" s="8"/>
      <c r="B27" s="61" t="str">
        <f t="shared" si="0"/>
        <v/>
      </c>
      <c r="C27" s="2">
        <f>F27/Instructions!$B$5</f>
        <v>0</v>
      </c>
      <c r="D27" s="2">
        <f>G27/Instructions!$B$5</f>
        <v>0</v>
      </c>
      <c r="E27" s="2">
        <f t="shared" si="1"/>
        <v>0</v>
      </c>
      <c r="F27" s="9"/>
      <c r="G27" s="9"/>
      <c r="H27" s="2">
        <f>IF(SUM(F27:G27)&gt;Instructions!$B$5,"Error",SUM(F27:G27))</f>
        <v>0</v>
      </c>
      <c r="I27" s="8"/>
    </row>
    <row r="28" spans="1:9" ht="29.45" customHeight="1">
      <c r="A28" s="8"/>
      <c r="B28" s="61" t="str">
        <f t="shared" si="0"/>
        <v/>
      </c>
      <c r="C28" s="2">
        <f>F28/Instructions!$B$5</f>
        <v>0</v>
      </c>
      <c r="D28" s="2">
        <f>G28/Instructions!$B$5</f>
        <v>0</v>
      </c>
      <c r="E28" s="2">
        <f t="shared" si="1"/>
        <v>0</v>
      </c>
      <c r="F28" s="9"/>
      <c r="G28" s="9"/>
      <c r="H28" s="2">
        <f>IF(SUM(F28:G28)&gt;Instructions!$B$5,"Error",SUM(F28:G28))</f>
        <v>0</v>
      </c>
      <c r="I28" s="8"/>
    </row>
    <row r="29" spans="1:9" ht="29.45" customHeight="1">
      <c r="A29" s="8"/>
      <c r="B29" s="61" t="str">
        <f t="shared" si="0"/>
        <v/>
      </c>
      <c r="C29" s="2">
        <f>F29/Instructions!$B$5</f>
        <v>0</v>
      </c>
      <c r="D29" s="2">
        <f>G29/Instructions!$B$5</f>
        <v>0</v>
      </c>
      <c r="E29" s="2">
        <f t="shared" si="1"/>
        <v>0</v>
      </c>
      <c r="F29" s="9"/>
      <c r="G29" s="9"/>
      <c r="H29" s="2">
        <f>IF(SUM(F29:G29)&gt;Instructions!$B$5,"Error",SUM(F29:G29))</f>
        <v>0</v>
      </c>
      <c r="I29" s="8"/>
    </row>
    <row r="30" spans="1:9" ht="29.45" customHeight="1">
      <c r="A30" s="8"/>
      <c r="B30" s="61" t="str">
        <f t="shared" si="0"/>
        <v/>
      </c>
      <c r="C30" s="2">
        <f>F30/Instructions!$B$5</f>
        <v>0</v>
      </c>
      <c r="D30" s="2">
        <f>G30/Instructions!$B$5</f>
        <v>0</v>
      </c>
      <c r="E30" s="2">
        <f t="shared" si="1"/>
        <v>0</v>
      </c>
      <c r="F30" s="9"/>
      <c r="G30" s="9"/>
      <c r="H30" s="2">
        <f>IF(SUM(F30:G30)&gt;Instructions!$B$5,"Error",SUM(F30:G30))</f>
        <v>0</v>
      </c>
      <c r="I30" s="8"/>
    </row>
    <row r="31" spans="1:9" ht="29.45" customHeight="1">
      <c r="A31" s="8"/>
      <c r="B31" s="61" t="str">
        <f t="shared" si="0"/>
        <v/>
      </c>
      <c r="C31" s="2">
        <f>F31/Instructions!$B$5</f>
        <v>0</v>
      </c>
      <c r="D31" s="2">
        <f>G31/Instructions!$B$5</f>
        <v>0</v>
      </c>
      <c r="E31" s="2">
        <f t="shared" si="1"/>
        <v>0</v>
      </c>
      <c r="F31" s="9"/>
      <c r="G31" s="9"/>
      <c r="H31" s="2">
        <f>IF(SUM(F31:G31)&gt;Instructions!$B$5,"Error",SUM(F31:G31))</f>
        <v>0</v>
      </c>
      <c r="I31" s="8"/>
    </row>
    <row r="32" spans="1:9" ht="29.45" customHeight="1">
      <c r="A32" s="8"/>
      <c r="B32" s="61" t="str">
        <f t="shared" si="0"/>
        <v/>
      </c>
      <c r="C32" s="2">
        <f>F32/Instructions!$B$5</f>
        <v>0</v>
      </c>
      <c r="D32" s="2">
        <f>G32/Instructions!$B$5</f>
        <v>0</v>
      </c>
      <c r="E32" s="2">
        <f t="shared" si="1"/>
        <v>0</v>
      </c>
      <c r="F32" s="9"/>
      <c r="G32" s="9"/>
      <c r="H32" s="2">
        <f>IF(SUM(F32:G32)&gt;Instructions!$B$5,"Error",SUM(F32:G32))</f>
        <v>0</v>
      </c>
      <c r="I32" s="8"/>
    </row>
    <row r="33" spans="1:9" ht="29.45" customHeight="1">
      <c r="A33" s="8"/>
      <c r="B33" s="61" t="str">
        <f t="shared" si="0"/>
        <v/>
      </c>
      <c r="C33" s="2">
        <f>F33/Instructions!$B$5</f>
        <v>0</v>
      </c>
      <c r="D33" s="2">
        <f>G33/Instructions!$B$5</f>
        <v>0</v>
      </c>
      <c r="E33" s="2">
        <f t="shared" si="1"/>
        <v>0</v>
      </c>
      <c r="F33" s="9"/>
      <c r="G33" s="9"/>
      <c r="H33" s="2">
        <f>IF(SUM(F33:G33)&gt;Instructions!$B$5,"Error",SUM(F33:G33))</f>
        <v>0</v>
      </c>
      <c r="I33" s="8"/>
    </row>
    <row r="34" spans="1:9" ht="29.45" customHeight="1">
      <c r="A34" s="8"/>
      <c r="B34" s="61" t="str">
        <f t="shared" si="0"/>
        <v/>
      </c>
      <c r="C34" s="2">
        <f>F34/Instructions!$B$5</f>
        <v>0</v>
      </c>
      <c r="D34" s="2">
        <f>G34/Instructions!$B$5</f>
        <v>0</v>
      </c>
      <c r="E34" s="2">
        <f t="shared" si="1"/>
        <v>0</v>
      </c>
      <c r="F34" s="9"/>
      <c r="G34" s="9"/>
      <c r="H34" s="2">
        <f>IF(SUM(F34:G34)&gt;Instructions!$B$5,"Error",SUM(F34:G34))</f>
        <v>0</v>
      </c>
      <c r="I34" s="8"/>
    </row>
    <row r="35" spans="1:9" ht="29.45" customHeight="1">
      <c r="A35" s="8"/>
      <c r="B35" s="61" t="str">
        <f t="shared" si="0"/>
        <v/>
      </c>
      <c r="C35" s="2">
        <f>F35/Instructions!$B$5</f>
        <v>0</v>
      </c>
      <c r="D35" s="2">
        <f>G35/Instructions!$B$5</f>
        <v>0</v>
      </c>
      <c r="E35" s="2">
        <f t="shared" si="1"/>
        <v>0</v>
      </c>
      <c r="F35" s="9"/>
      <c r="G35" s="9"/>
      <c r="H35" s="2">
        <f>IF(SUM(F35:G35)&gt;Instructions!$B$5,"Error",SUM(F35:G35))</f>
        <v>0</v>
      </c>
      <c r="I35" s="8"/>
    </row>
    <row r="36" spans="1:9" ht="29.45" customHeight="1">
      <c r="A36" s="8"/>
      <c r="B36" s="61" t="str">
        <f t="shared" si="0"/>
        <v/>
      </c>
      <c r="C36" s="2">
        <f>F36/Instructions!$B$5</f>
        <v>0</v>
      </c>
      <c r="D36" s="2">
        <f>G36/Instructions!$B$5</f>
        <v>0</v>
      </c>
      <c r="E36" s="2">
        <f t="shared" si="1"/>
        <v>0</v>
      </c>
      <c r="F36" s="9"/>
      <c r="G36" s="9"/>
      <c r="H36" s="2">
        <f>IF(SUM(F36:G36)&gt;Instructions!$B$5,"Error",SUM(F36:G36))</f>
        <v>0</v>
      </c>
      <c r="I36" s="8"/>
    </row>
    <row r="37" spans="1:9" ht="29.45" customHeight="1">
      <c r="A37" s="8"/>
      <c r="B37" s="61" t="str">
        <f t="shared" si="0"/>
        <v/>
      </c>
      <c r="C37" s="2">
        <f>F37/Instructions!$B$5</f>
        <v>0</v>
      </c>
      <c r="D37" s="2">
        <f>G37/Instructions!$B$5</f>
        <v>0</v>
      </c>
      <c r="E37" s="2">
        <f t="shared" si="1"/>
        <v>0</v>
      </c>
      <c r="F37" s="9"/>
      <c r="G37" s="9"/>
      <c r="H37" s="2">
        <f>IF(SUM(F37:G37)&gt;Instructions!$B$5,"Error",SUM(F37:G37))</f>
        <v>0</v>
      </c>
      <c r="I37" s="8"/>
    </row>
    <row r="38" spans="1:9" ht="29.45" customHeight="1">
      <c r="A38" s="8"/>
      <c r="B38" s="61" t="str">
        <f t="shared" si="0"/>
        <v/>
      </c>
      <c r="C38" s="2">
        <f>F38/Instructions!$B$5</f>
        <v>0</v>
      </c>
      <c r="D38" s="2">
        <f>G38/Instructions!$B$5</f>
        <v>0</v>
      </c>
      <c r="E38" s="2">
        <f t="shared" si="1"/>
        <v>0</v>
      </c>
      <c r="F38" s="9"/>
      <c r="G38" s="9"/>
      <c r="H38" s="2">
        <f>IF(SUM(F38:G38)&gt;Instructions!$B$5,"Error",SUM(F38:G38))</f>
        <v>0</v>
      </c>
      <c r="I38" s="8"/>
    </row>
    <row r="39" spans="1:9" ht="29.45" customHeight="1">
      <c r="A39" s="8"/>
      <c r="B39" s="61" t="str">
        <f t="shared" si="0"/>
        <v/>
      </c>
      <c r="C39" s="2">
        <f>F39/Instructions!$B$5</f>
        <v>0</v>
      </c>
      <c r="D39" s="2">
        <f>G39/Instructions!$B$5</f>
        <v>0</v>
      </c>
      <c r="E39" s="2">
        <f t="shared" si="1"/>
        <v>0</v>
      </c>
      <c r="F39" s="9"/>
      <c r="G39" s="9"/>
      <c r="H39" s="2">
        <f>IF(SUM(F39:G39)&gt;Instructions!$B$5,"Error",SUM(F39:G39))</f>
        <v>0</v>
      </c>
      <c r="I39" s="8"/>
    </row>
    <row r="40" spans="1:9" ht="29.45" customHeight="1">
      <c r="A40" s="8"/>
      <c r="B40" s="61" t="str">
        <f t="shared" si="0"/>
        <v/>
      </c>
      <c r="C40" s="2">
        <f>F40/Instructions!$B$5</f>
        <v>0</v>
      </c>
      <c r="D40" s="2">
        <f>G40/Instructions!$B$5</f>
        <v>0</v>
      </c>
      <c r="E40" s="2">
        <f t="shared" si="1"/>
        <v>0</v>
      </c>
      <c r="F40" s="9"/>
      <c r="G40" s="9"/>
      <c r="H40" s="2">
        <f>IF(SUM(F40:G40)&gt;Instructions!$B$5,"Error",SUM(F40:G40))</f>
        <v>0</v>
      </c>
      <c r="I40" s="8"/>
    </row>
    <row r="41" spans="1:9" ht="29.45" customHeight="1">
      <c r="A41" s="8"/>
      <c r="B41" s="61" t="str">
        <f t="shared" si="0"/>
        <v/>
      </c>
      <c r="C41" s="2">
        <f>F41/Instructions!$B$5</f>
        <v>0</v>
      </c>
      <c r="D41" s="2">
        <f>G41/Instructions!$B$5</f>
        <v>0</v>
      </c>
      <c r="E41" s="2">
        <f t="shared" si="1"/>
        <v>0</v>
      </c>
      <c r="F41" s="9"/>
      <c r="G41" s="9"/>
      <c r="H41" s="2">
        <f>IF(SUM(F41:G41)&gt;Instructions!$B$5,"Error",SUM(F41:G41))</f>
        <v>0</v>
      </c>
      <c r="I41" s="8"/>
    </row>
    <row r="42" spans="1:9" ht="29.45" customHeight="1">
      <c r="A42" s="8"/>
      <c r="B42" s="61" t="str">
        <f t="shared" si="0"/>
        <v/>
      </c>
      <c r="C42" s="2">
        <f>F42/Instructions!$B$5</f>
        <v>0</v>
      </c>
      <c r="D42" s="2">
        <f>G42/Instructions!$B$5</f>
        <v>0</v>
      </c>
      <c r="E42" s="2">
        <f t="shared" si="1"/>
        <v>0</v>
      </c>
      <c r="F42" s="9"/>
      <c r="G42" s="9"/>
      <c r="H42" s="2">
        <f>IF(SUM(F42:G42)&gt;Instructions!$B$5,"Error",SUM(F42:G42))</f>
        <v>0</v>
      </c>
      <c r="I42" s="8"/>
    </row>
    <row r="43" spans="1:9" ht="29.45" customHeight="1">
      <c r="A43" s="8"/>
      <c r="B43" s="61" t="str">
        <f t="shared" si="0"/>
        <v/>
      </c>
      <c r="C43" s="2">
        <f>F43/Instructions!$B$5</f>
        <v>0</v>
      </c>
      <c r="D43" s="2">
        <f>G43/Instructions!$B$5</f>
        <v>0</v>
      </c>
      <c r="E43" s="2">
        <f t="shared" si="1"/>
        <v>0</v>
      </c>
      <c r="F43" s="9"/>
      <c r="G43" s="9"/>
      <c r="H43" s="2">
        <f>IF(SUM(F43:G43)&gt;Instructions!$B$5,"Error",SUM(F43:G43))</f>
        <v>0</v>
      </c>
      <c r="I43" s="8"/>
    </row>
    <row r="44" spans="1:9" ht="29.45" customHeight="1">
      <c r="A44" s="8"/>
      <c r="B44" s="61" t="str">
        <f t="shared" si="0"/>
        <v/>
      </c>
      <c r="C44" s="2">
        <f>F44/Instructions!$B$5</f>
        <v>0</v>
      </c>
      <c r="D44" s="2">
        <f>G44/Instructions!$B$5</f>
        <v>0</v>
      </c>
      <c r="E44" s="2">
        <f t="shared" si="1"/>
        <v>0</v>
      </c>
      <c r="F44" s="9"/>
      <c r="G44" s="9"/>
      <c r="H44" s="2">
        <f>IF(SUM(F44:G44)&gt;Instructions!$B$5,"Error",SUM(F44:G44))</f>
        <v>0</v>
      </c>
      <c r="I44" s="8"/>
    </row>
    <row r="45" spans="1:9" ht="29.45" customHeight="1">
      <c r="A45" s="8"/>
      <c r="B45" s="61" t="str">
        <f t="shared" si="0"/>
        <v/>
      </c>
      <c r="C45" s="2">
        <f>F45/Instructions!$B$5</f>
        <v>0</v>
      </c>
      <c r="D45" s="2">
        <f>G45/Instructions!$B$5</f>
        <v>0</v>
      </c>
      <c r="E45" s="2">
        <f t="shared" si="1"/>
        <v>0</v>
      </c>
      <c r="F45" s="9"/>
      <c r="G45" s="9"/>
      <c r="H45" s="2">
        <f>IF(SUM(F45:G45)&gt;Instructions!$B$5,"Error",SUM(F45:G45))</f>
        <v>0</v>
      </c>
      <c r="I45" s="8"/>
    </row>
    <row r="46" spans="1:9" ht="29.45" customHeight="1">
      <c r="A46" s="8"/>
      <c r="B46" s="61" t="str">
        <f t="shared" si="0"/>
        <v/>
      </c>
      <c r="C46" s="2">
        <f>F46/Instructions!$B$5</f>
        <v>0</v>
      </c>
      <c r="D46" s="2">
        <f>G46/Instructions!$B$5</f>
        <v>0</v>
      </c>
      <c r="E46" s="2">
        <f t="shared" si="1"/>
        <v>0</v>
      </c>
      <c r="F46" s="9"/>
      <c r="G46" s="9"/>
      <c r="H46" s="2">
        <f>IF(SUM(F46:G46)&gt;Instructions!$B$5,"Error",SUM(F46:G46))</f>
        <v>0</v>
      </c>
      <c r="I46" s="8"/>
    </row>
    <row r="47" spans="1:9" ht="29.45" customHeight="1">
      <c r="A47" s="8"/>
      <c r="B47" s="61" t="str">
        <f t="shared" si="0"/>
        <v/>
      </c>
      <c r="C47" s="2">
        <f>F47/Instructions!$B$5</f>
        <v>0</v>
      </c>
      <c r="D47" s="2">
        <f>G47/Instructions!$B$5</f>
        <v>0</v>
      </c>
      <c r="E47" s="2">
        <f t="shared" si="1"/>
        <v>0</v>
      </c>
      <c r="F47" s="9"/>
      <c r="G47" s="9"/>
      <c r="H47" s="2">
        <f>IF(SUM(F47:G47)&gt;Instructions!$B$5,"Error",SUM(F47:G47))</f>
        <v>0</v>
      </c>
      <c r="I47" s="8"/>
    </row>
    <row r="48" spans="1:9" ht="29.45" customHeight="1">
      <c r="A48" s="8"/>
      <c r="B48" s="61" t="str">
        <f t="shared" si="0"/>
        <v/>
      </c>
      <c r="C48" s="2">
        <f>F48/Instructions!$B$5</f>
        <v>0</v>
      </c>
      <c r="D48" s="2">
        <f>G48/Instructions!$B$5</f>
        <v>0</v>
      </c>
      <c r="E48" s="2">
        <f t="shared" si="1"/>
        <v>0</v>
      </c>
      <c r="F48" s="9"/>
      <c r="G48" s="9"/>
      <c r="H48" s="2">
        <f>IF(SUM(F48:G48)&gt;Instructions!$B$5,"Error",SUM(F48:G48))</f>
        <v>0</v>
      </c>
      <c r="I48" s="8"/>
    </row>
    <row r="49" spans="1:9" ht="29.45" customHeight="1">
      <c r="A49" s="8"/>
      <c r="B49" s="61" t="str">
        <f t="shared" si="0"/>
        <v/>
      </c>
      <c r="C49" s="2">
        <f>F49/Instructions!$B$5</f>
        <v>0</v>
      </c>
      <c r="D49" s="2">
        <f>G49/Instructions!$B$5</f>
        <v>0</v>
      </c>
      <c r="E49" s="2">
        <f t="shared" si="1"/>
        <v>0</v>
      </c>
      <c r="F49" s="9"/>
      <c r="G49" s="9"/>
      <c r="H49" s="2">
        <f>IF(SUM(F49:G49)&gt;Instructions!$B$5,"Error",SUM(F49:G49))</f>
        <v>0</v>
      </c>
      <c r="I49" s="8"/>
    </row>
    <row r="50" spans="1:9" ht="29.45" customHeight="1">
      <c r="A50" s="8"/>
      <c r="B50" s="61" t="str">
        <f t="shared" si="0"/>
        <v/>
      </c>
      <c r="C50" s="2">
        <f>F50/Instructions!$B$5</f>
        <v>0</v>
      </c>
      <c r="D50" s="2">
        <f>G50/Instructions!$B$5</f>
        <v>0</v>
      </c>
      <c r="E50" s="2">
        <f t="shared" si="1"/>
        <v>0</v>
      </c>
      <c r="F50" s="9"/>
      <c r="G50" s="9"/>
      <c r="H50" s="2">
        <f>IF(SUM(F50:G50)&gt;Instructions!$B$5,"Error",SUM(F50:G50))</f>
        <v>0</v>
      </c>
      <c r="I50" s="8"/>
    </row>
    <row r="51" spans="1:9" ht="29.45" customHeight="1">
      <c r="A51" s="8"/>
      <c r="B51" s="61" t="str">
        <f t="shared" si="0"/>
        <v/>
      </c>
      <c r="C51" s="2">
        <f>F51/Instructions!$B$5</f>
        <v>0</v>
      </c>
      <c r="D51" s="2">
        <f>G51/Instructions!$B$5</f>
        <v>0</v>
      </c>
      <c r="E51" s="2">
        <f t="shared" si="1"/>
        <v>0</v>
      </c>
      <c r="F51" s="9"/>
      <c r="G51" s="9"/>
      <c r="H51" s="2">
        <f>IF(SUM(F51:G51)&gt;Instructions!$B$5,"Error",SUM(F51:G51))</f>
        <v>0</v>
      </c>
      <c r="I51" s="8"/>
    </row>
    <row r="52" spans="1:9" ht="29.45" customHeight="1">
      <c r="A52" s="8"/>
      <c r="C52" s="2">
        <f>F52/Instructions!$B$5</f>
        <v>0</v>
      </c>
      <c r="D52" s="2">
        <f>G52/Instructions!$B$5</f>
        <v>0</v>
      </c>
      <c r="E52" s="2">
        <f t="shared" si="1"/>
        <v>0</v>
      </c>
      <c r="F52" s="9"/>
      <c r="G52" s="9"/>
      <c r="H52" s="2">
        <f>IF(SUM(F52:G52)&gt;Instructions!$B$5,"Error",SUM(F52:G52))</f>
        <v>0</v>
      </c>
      <c r="I52" s="8"/>
    </row>
    <row r="53" spans="1:9" ht="29.45" customHeight="1">
      <c r="A53" s="8"/>
      <c r="C53" s="2">
        <f>F53/Instructions!$B$5</f>
        <v>0</v>
      </c>
      <c r="D53" s="2">
        <f>G53/Instructions!$B$5</f>
        <v>0</v>
      </c>
      <c r="E53" s="2">
        <f t="shared" si="1"/>
        <v>0</v>
      </c>
      <c r="F53" s="9"/>
      <c r="G53" s="9"/>
      <c r="H53" s="2">
        <f>IF(SUM(F53:G53)&gt;Instructions!$B$5,"Error",SUM(F53:G53))</f>
        <v>0</v>
      </c>
      <c r="I53" s="8"/>
    </row>
    <row r="54" spans="1:9" ht="29.45" customHeight="1">
      <c r="A54" s="8"/>
      <c r="C54" s="2">
        <f>F54/Instructions!$B$5</f>
        <v>0</v>
      </c>
      <c r="D54" s="2">
        <f>G54/Instructions!$B$5</f>
        <v>0</v>
      </c>
      <c r="E54" s="2">
        <f t="shared" si="1"/>
        <v>0</v>
      </c>
      <c r="F54" s="9"/>
      <c r="G54" s="9"/>
      <c r="H54" s="2">
        <f>IF(SUM(F54:G54)&gt;Instructions!$B$5,"Error",SUM(F54:G54))</f>
        <v>0</v>
      </c>
      <c r="I54" s="8"/>
    </row>
    <row r="55" spans="1:9" ht="29.45" customHeight="1">
      <c r="A55" s="8"/>
      <c r="C55" s="2">
        <f>F55/Instructions!$B$5</f>
        <v>0</v>
      </c>
      <c r="D55" s="2">
        <f>G55/Instructions!$B$5</f>
        <v>0</v>
      </c>
      <c r="E55" s="2">
        <f t="shared" si="1"/>
        <v>0</v>
      </c>
      <c r="F55" s="9"/>
      <c r="G55" s="9"/>
      <c r="H55" s="2">
        <f>IF(SUM(F55:G55)&gt;Instructions!$B$5,"Error",SUM(F55:G55))</f>
        <v>0</v>
      </c>
      <c r="I55" s="8"/>
    </row>
    <row r="56" spans="1:9" ht="29.45" customHeight="1">
      <c r="A56" s="8"/>
      <c r="C56" s="2">
        <f>F56/Instructions!$B$5</f>
        <v>0</v>
      </c>
      <c r="D56" s="2">
        <f>G56/Instructions!$B$5</f>
        <v>0</v>
      </c>
      <c r="E56" s="2">
        <f t="shared" si="1"/>
        <v>0</v>
      </c>
      <c r="F56" s="9"/>
      <c r="G56" s="9"/>
      <c r="H56" s="2">
        <f>IF(SUM(F56:G56)&gt;Instructions!$B$5,"Error",SUM(F56:G56))</f>
        <v>0</v>
      </c>
      <c r="I56" s="8"/>
    </row>
    <row r="57" spans="1:9" ht="29.45" customHeight="1">
      <c r="A57" s="8"/>
      <c r="C57" s="2">
        <f>F57/Instructions!$B$5</f>
        <v>0</v>
      </c>
      <c r="D57" s="2">
        <f>G57/Instructions!$B$5</f>
        <v>0</v>
      </c>
      <c r="E57" s="2">
        <f t="shared" si="1"/>
        <v>0</v>
      </c>
      <c r="F57" s="9"/>
      <c r="G57" s="9"/>
      <c r="H57" s="2">
        <f>IF(SUM(F57:G57)&gt;Instructions!$B$5,"Error",SUM(F57:G57))</f>
        <v>0</v>
      </c>
      <c r="I57" s="8"/>
    </row>
    <row r="58" spans="1:9" ht="29.45" customHeight="1">
      <c r="A58" s="8"/>
      <c r="C58" s="2">
        <f>F58/Instructions!$B$5</f>
        <v>0</v>
      </c>
      <c r="D58" s="2">
        <f>G58/Instructions!$B$5</f>
        <v>0</v>
      </c>
      <c r="E58" s="2">
        <f t="shared" si="1"/>
        <v>0</v>
      </c>
      <c r="F58" s="9"/>
      <c r="G58" s="9"/>
      <c r="H58" s="2">
        <f>IF(SUM(F58:G58)&gt;Instructions!$B$5,"Error",SUM(F58:G58))</f>
        <v>0</v>
      </c>
      <c r="I58" s="8"/>
    </row>
    <row r="59" spans="1:9" ht="29.45" customHeight="1">
      <c r="A59" s="8"/>
      <c r="C59" s="2">
        <f>F59/Instructions!$B$5</f>
        <v>0</v>
      </c>
      <c r="D59" s="2">
        <f>G59/Instructions!$B$5</f>
        <v>0</v>
      </c>
      <c r="E59" s="2">
        <f t="shared" si="1"/>
        <v>0</v>
      </c>
      <c r="F59" s="9"/>
      <c r="G59" s="9"/>
      <c r="H59" s="2">
        <f>IF(SUM(F59:G59)&gt;Instructions!$B$5,"Error",SUM(F59:G59))</f>
        <v>0</v>
      </c>
      <c r="I59" s="8"/>
    </row>
    <row r="60" spans="1:9" ht="29.45" customHeight="1">
      <c r="A60" s="8"/>
      <c r="C60" s="2">
        <f>F60/Instructions!$B$5</f>
        <v>0</v>
      </c>
      <c r="D60" s="2">
        <f>G60/Instructions!$B$5</f>
        <v>0</v>
      </c>
      <c r="E60" s="2">
        <f t="shared" si="1"/>
        <v>0</v>
      </c>
      <c r="F60" s="9"/>
      <c r="G60" s="9"/>
      <c r="H60" s="2">
        <f>IF(SUM(F60:G60)&gt;Instructions!$B$5,"Error",SUM(F60:G60))</f>
        <v>0</v>
      </c>
      <c r="I60" s="8"/>
    </row>
    <row r="61" spans="1:9" ht="29.45" customHeight="1">
      <c r="A61" s="8"/>
      <c r="C61" s="2">
        <f>F61/Instructions!$B$5</f>
        <v>0</v>
      </c>
      <c r="D61" s="2">
        <f>G61/Instructions!$B$5</f>
        <v>0</v>
      </c>
      <c r="E61" s="2">
        <f t="shared" si="1"/>
        <v>0</v>
      </c>
      <c r="F61" s="9"/>
      <c r="G61" s="9"/>
      <c r="H61" s="2">
        <f>IF(SUM(F61:G61)&gt;Instructions!$B$5,"Error",SUM(F61:G61))</f>
        <v>0</v>
      </c>
      <c r="I61" s="8"/>
    </row>
    <row r="62" spans="1:9" ht="29.45" customHeight="1">
      <c r="A62" s="8"/>
      <c r="C62" s="2">
        <f>F62/Instructions!$B$5</f>
        <v>0</v>
      </c>
      <c r="D62" s="2">
        <f>G62/Instructions!$B$5</f>
        <v>0</v>
      </c>
      <c r="E62" s="2">
        <f t="shared" si="1"/>
        <v>0</v>
      </c>
      <c r="F62" s="9"/>
      <c r="G62" s="9"/>
      <c r="H62" s="2">
        <f>IF(SUM(F62:G62)&gt;Instructions!$B$5,"Error",SUM(F62:G62))</f>
        <v>0</v>
      </c>
      <c r="I62" s="8"/>
    </row>
    <row r="63" spans="1:9" ht="29.45" customHeight="1">
      <c r="A63" s="8"/>
      <c r="C63" s="2">
        <f>F63/Instructions!$B$5</f>
        <v>0</v>
      </c>
      <c r="D63" s="2">
        <f>G63/Instructions!$B$5</f>
        <v>0</v>
      </c>
      <c r="E63" s="2">
        <f t="shared" si="1"/>
        <v>0</v>
      </c>
      <c r="F63" s="9"/>
      <c r="G63" s="9"/>
      <c r="H63" s="2">
        <f>IF(SUM(F63:G63)&gt;Instructions!$B$5,"Error",SUM(F63:G63))</f>
        <v>0</v>
      </c>
      <c r="I63" s="8"/>
    </row>
    <row r="64" spans="1:9" ht="29.45" customHeight="1">
      <c r="A64" s="8"/>
      <c r="C64" s="2">
        <f>F64/Instructions!$B$5</f>
        <v>0</v>
      </c>
      <c r="D64" s="2">
        <f>G64/Instructions!$B$5</f>
        <v>0</v>
      </c>
      <c r="E64" s="2">
        <f t="shared" si="1"/>
        <v>0</v>
      </c>
      <c r="F64" s="9"/>
      <c r="G64" s="9"/>
      <c r="H64" s="2">
        <f>IF(SUM(F64:G64)&gt;Instructions!$B$5,"Error",SUM(F64:G64))</f>
        <v>0</v>
      </c>
      <c r="I64" s="8"/>
    </row>
    <row r="65" spans="1:9" ht="29.45" customHeight="1">
      <c r="A65" s="8"/>
      <c r="C65" s="2">
        <f>F65/Instructions!$B$5</f>
        <v>0</v>
      </c>
      <c r="D65" s="2">
        <f>G65/Instructions!$B$5</f>
        <v>0</v>
      </c>
      <c r="E65" s="2">
        <f t="shared" si="1"/>
        <v>0</v>
      </c>
      <c r="F65" s="9"/>
      <c r="G65" s="9"/>
      <c r="H65" s="2">
        <f>IF(SUM(F65:G65)&gt;Instructions!$B$5,"Error",SUM(F65:G65))</f>
        <v>0</v>
      </c>
      <c r="I65" s="8"/>
    </row>
    <row r="66" spans="1:9" ht="29.45" customHeight="1">
      <c r="A66" s="8"/>
      <c r="C66" s="2">
        <f>F66/Instructions!$B$5</f>
        <v>0</v>
      </c>
      <c r="D66" s="2">
        <f>G66/Instructions!$B$5</f>
        <v>0</v>
      </c>
      <c r="E66" s="2">
        <f t="shared" si="1"/>
        <v>0</v>
      </c>
      <c r="F66" s="9"/>
      <c r="G66" s="9"/>
      <c r="H66" s="2">
        <f>IF(SUM(F66:G66)&gt;Instructions!$B$5,"Error",SUM(F66:G66))</f>
        <v>0</v>
      </c>
      <c r="I66" s="8"/>
    </row>
    <row r="67" spans="1:9" ht="29.45" customHeight="1">
      <c r="A67" s="8"/>
      <c r="B67" s="8"/>
      <c r="C67" s="2">
        <f>F67/Instructions!$B$5</f>
        <v>0</v>
      </c>
      <c r="D67" s="2">
        <f>G67/Instructions!$B$5</f>
        <v>0</v>
      </c>
      <c r="E67" s="2">
        <f t="shared" si="1"/>
        <v>0</v>
      </c>
      <c r="F67" s="9"/>
      <c r="G67" s="9"/>
      <c r="H67" s="2">
        <f>IF(SUM(F67:G67)&gt;Instructions!$B$5,"Error",SUM(F67:G67))</f>
        <v>0</v>
      </c>
      <c r="I67" s="8"/>
    </row>
    <row r="68" spans="1:9" ht="29.45" customHeight="1">
      <c r="A68" s="8"/>
      <c r="B68" s="8"/>
      <c r="C68" s="2">
        <f>F68/Instructions!$B$5</f>
        <v>0</v>
      </c>
      <c r="D68" s="2">
        <f>G68/Instructions!$B$5</f>
        <v>0</v>
      </c>
      <c r="E68" s="2">
        <f t="shared" si="1"/>
        <v>0</v>
      </c>
      <c r="F68" s="9"/>
      <c r="G68" s="9"/>
      <c r="H68" s="2">
        <f>IF(SUM(F68:G68)&gt;Instructions!$B$5,"Error",SUM(F68:G68))</f>
        <v>0</v>
      </c>
      <c r="I68" s="8"/>
    </row>
    <row r="69" spans="1:9" ht="29.45" customHeight="1">
      <c r="A69" s="8"/>
      <c r="B69" s="8"/>
      <c r="C69" s="2">
        <f>F69/Instructions!$B$5</f>
        <v>0</v>
      </c>
      <c r="D69" s="2">
        <f>G69/Instructions!$B$5</f>
        <v>0</v>
      </c>
      <c r="E69" s="2">
        <f t="shared" si="1"/>
        <v>0</v>
      </c>
      <c r="F69" s="9"/>
      <c r="G69" s="9"/>
      <c r="H69" s="2">
        <f>IF(SUM(F69:G69)&gt;Instructions!$B$5,"Error",SUM(F69:G69))</f>
        <v>0</v>
      </c>
      <c r="I69" s="8"/>
    </row>
    <row r="70" spans="1:9" ht="29.45" customHeight="1">
      <c r="A70" s="8"/>
      <c r="B70" s="8"/>
      <c r="C70" s="2">
        <f>F70/Instructions!$B$5</f>
        <v>0</v>
      </c>
      <c r="D70" s="2">
        <f>G70/Instructions!$B$5</f>
        <v>0</v>
      </c>
      <c r="E70" s="2">
        <f t="shared" si="1"/>
        <v>0</v>
      </c>
      <c r="F70" s="9"/>
      <c r="G70" s="9"/>
      <c r="H70" s="2">
        <f>IF(SUM(F70:G70)&gt;Instructions!$B$5,"Error",SUM(F70:G70))</f>
        <v>0</v>
      </c>
      <c r="I70" s="8"/>
    </row>
    <row r="71" spans="1:9" ht="29.45" customHeight="1">
      <c r="A71" s="8"/>
      <c r="B71" s="8"/>
      <c r="C71" s="2">
        <f>F71/Instructions!$B$5</f>
        <v>0</v>
      </c>
      <c r="D71" s="2">
        <f>G71/Instructions!$B$5</f>
        <v>0</v>
      </c>
      <c r="E71" s="2">
        <f t="shared" si="1"/>
        <v>0</v>
      </c>
      <c r="F71" s="9"/>
      <c r="G71" s="9"/>
      <c r="H71" s="2">
        <f>IF(SUM(F71:G71)&gt;Instructions!$B$5,"Error",SUM(F71:G71))</f>
        <v>0</v>
      </c>
      <c r="I71" s="8"/>
    </row>
    <row r="72" spans="1:9" ht="29.45" customHeight="1">
      <c r="A72" s="8"/>
      <c r="B72" s="8"/>
      <c r="C72" s="2">
        <f>F72/Instructions!$B$5</f>
        <v>0</v>
      </c>
      <c r="D72" s="2">
        <f>G72/Instructions!$B$5</f>
        <v>0</v>
      </c>
      <c r="E72" s="2">
        <f t="shared" ref="E72:E135" si="2">IF(SUM(C72:D72)&gt;1,"Error",SUM(C72:D72))</f>
        <v>0</v>
      </c>
      <c r="F72" s="9"/>
      <c r="G72" s="9"/>
      <c r="H72" s="2">
        <f>IF(SUM(F72:G72)&gt;Instructions!$B$5,"Error",SUM(F72:G72))</f>
        <v>0</v>
      </c>
      <c r="I72" s="8"/>
    </row>
    <row r="73" spans="1:9" ht="29.45" customHeight="1">
      <c r="A73" s="8"/>
      <c r="B73" s="8"/>
      <c r="C73" s="2">
        <f>F73/Instructions!$B$5</f>
        <v>0</v>
      </c>
      <c r="D73" s="2">
        <f>G73/Instructions!$B$5</f>
        <v>0</v>
      </c>
      <c r="E73" s="2">
        <f t="shared" si="2"/>
        <v>0</v>
      </c>
      <c r="F73" s="9"/>
      <c r="G73" s="9"/>
      <c r="H73" s="2">
        <f>IF(SUM(F73:G73)&gt;Instructions!$B$5,"Error",SUM(F73:G73))</f>
        <v>0</v>
      </c>
      <c r="I73" s="8"/>
    </row>
    <row r="74" spans="1:9" ht="29.45" customHeight="1">
      <c r="A74" s="8"/>
      <c r="B74" s="8"/>
      <c r="C74" s="2">
        <f>F74/Instructions!$B$5</f>
        <v>0</v>
      </c>
      <c r="D74" s="2">
        <f>G74/Instructions!$B$5</f>
        <v>0</v>
      </c>
      <c r="E74" s="2">
        <f t="shared" si="2"/>
        <v>0</v>
      </c>
      <c r="F74" s="9"/>
      <c r="G74" s="9"/>
      <c r="H74" s="2">
        <f>IF(SUM(F74:G74)&gt;Instructions!$B$5,"Error",SUM(F74:G74))</f>
        <v>0</v>
      </c>
      <c r="I74" s="8"/>
    </row>
    <row r="75" spans="1:9" ht="29.45" customHeight="1">
      <c r="A75" s="8"/>
      <c r="B75" s="8"/>
      <c r="C75" s="2">
        <f>F75/Instructions!$B$5</f>
        <v>0</v>
      </c>
      <c r="D75" s="2">
        <f>G75/Instructions!$B$5</f>
        <v>0</v>
      </c>
      <c r="E75" s="2">
        <f t="shared" si="2"/>
        <v>0</v>
      </c>
      <c r="F75" s="9"/>
      <c r="G75" s="9"/>
      <c r="H75" s="2">
        <f>IF(SUM(F75:G75)&gt;Instructions!$B$5,"Error",SUM(F75:G75))</f>
        <v>0</v>
      </c>
      <c r="I75" s="8"/>
    </row>
    <row r="76" spans="1:9" ht="29.45" customHeight="1">
      <c r="A76" s="8"/>
      <c r="B76" s="8"/>
      <c r="C76" s="2">
        <f>F76/Instructions!$B$5</f>
        <v>0</v>
      </c>
      <c r="D76" s="2">
        <f>G76/Instructions!$B$5</f>
        <v>0</v>
      </c>
      <c r="E76" s="2">
        <f t="shared" si="2"/>
        <v>0</v>
      </c>
      <c r="F76" s="9"/>
      <c r="G76" s="9"/>
      <c r="H76" s="2">
        <f>IF(SUM(F76:G76)&gt;Instructions!$B$5,"Error",SUM(F76:G76))</f>
        <v>0</v>
      </c>
      <c r="I76" s="8"/>
    </row>
    <row r="77" spans="1:9" ht="29.45" customHeight="1">
      <c r="A77" s="8"/>
      <c r="B77" s="8"/>
      <c r="C77" s="2">
        <f>F77/Instructions!$B$5</f>
        <v>0</v>
      </c>
      <c r="D77" s="2">
        <f>G77/Instructions!$B$5</f>
        <v>0</v>
      </c>
      <c r="E77" s="2">
        <f t="shared" si="2"/>
        <v>0</v>
      </c>
      <c r="F77" s="9"/>
      <c r="G77" s="9"/>
      <c r="H77" s="2">
        <f>IF(SUM(F77:G77)&gt;Instructions!$B$5,"Error",SUM(F77:G77))</f>
        <v>0</v>
      </c>
      <c r="I77" s="8"/>
    </row>
    <row r="78" spans="1:9" ht="29.45" customHeight="1">
      <c r="A78" s="8"/>
      <c r="B78" s="8"/>
      <c r="C78" s="2">
        <f>F78/Instructions!$B$5</f>
        <v>0</v>
      </c>
      <c r="D78" s="2">
        <f>G78/Instructions!$B$5</f>
        <v>0</v>
      </c>
      <c r="E78" s="2">
        <f t="shared" si="2"/>
        <v>0</v>
      </c>
      <c r="F78" s="9"/>
      <c r="G78" s="9"/>
      <c r="H78" s="2">
        <f>IF(SUM(F78:G78)&gt;Instructions!$B$5,"Error",SUM(F78:G78))</f>
        <v>0</v>
      </c>
      <c r="I78" s="8"/>
    </row>
    <row r="79" spans="1:9" ht="29.45" customHeight="1">
      <c r="A79" s="8"/>
      <c r="B79" s="8"/>
      <c r="C79" s="2">
        <f>F79/Instructions!$B$5</f>
        <v>0</v>
      </c>
      <c r="D79" s="2">
        <f>G79/Instructions!$B$5</f>
        <v>0</v>
      </c>
      <c r="E79" s="2">
        <f t="shared" si="2"/>
        <v>0</v>
      </c>
      <c r="F79" s="9"/>
      <c r="G79" s="9"/>
      <c r="H79" s="2">
        <f>IF(SUM(F79:G79)&gt;Instructions!$B$5,"Error",SUM(F79:G79))</f>
        <v>0</v>
      </c>
      <c r="I79" s="8"/>
    </row>
    <row r="80" spans="1:9" ht="29.45" customHeight="1">
      <c r="A80" s="8"/>
      <c r="B80" s="8"/>
      <c r="C80" s="2">
        <f>F80/Instructions!$B$5</f>
        <v>0</v>
      </c>
      <c r="D80" s="2">
        <f>G80/Instructions!$B$5</f>
        <v>0</v>
      </c>
      <c r="E80" s="2">
        <f t="shared" si="2"/>
        <v>0</v>
      </c>
      <c r="F80" s="9"/>
      <c r="G80" s="9"/>
      <c r="H80" s="2">
        <f>IF(SUM(F80:G80)&gt;Instructions!$B$5,"Error",SUM(F80:G80))</f>
        <v>0</v>
      </c>
      <c r="I80" s="8"/>
    </row>
    <row r="81" spans="1:9" ht="29.45" customHeight="1">
      <c r="A81" s="8"/>
      <c r="B81" s="8"/>
      <c r="C81" s="2">
        <f>F81/Instructions!$B$5</f>
        <v>0</v>
      </c>
      <c r="D81" s="2">
        <f>G81/Instructions!$B$5</f>
        <v>0</v>
      </c>
      <c r="E81" s="2">
        <f t="shared" si="2"/>
        <v>0</v>
      </c>
      <c r="F81" s="9"/>
      <c r="G81" s="9"/>
      <c r="H81" s="2">
        <f>IF(SUM(F81:G81)&gt;Instructions!$B$5,"Error",SUM(F81:G81))</f>
        <v>0</v>
      </c>
      <c r="I81" s="8"/>
    </row>
    <row r="82" spans="1:9" ht="29.45" customHeight="1">
      <c r="A82" s="8"/>
      <c r="B82" s="8"/>
      <c r="C82" s="2">
        <f>F82/Instructions!$B$5</f>
        <v>0</v>
      </c>
      <c r="D82" s="2">
        <f>G82/Instructions!$B$5</f>
        <v>0</v>
      </c>
      <c r="E82" s="2">
        <f t="shared" si="2"/>
        <v>0</v>
      </c>
      <c r="F82" s="9"/>
      <c r="G82" s="9"/>
      <c r="H82" s="2">
        <f>IF(SUM(F82:G82)&gt;Instructions!$B$5,"Error",SUM(F82:G82))</f>
        <v>0</v>
      </c>
      <c r="I82" s="8"/>
    </row>
    <row r="83" spans="1:9" ht="29.45" customHeight="1">
      <c r="A83" s="8"/>
      <c r="B83" s="8"/>
      <c r="C83" s="2">
        <f>F83/Instructions!$B$5</f>
        <v>0</v>
      </c>
      <c r="D83" s="2">
        <f>G83/Instructions!$B$5</f>
        <v>0</v>
      </c>
      <c r="E83" s="2">
        <f t="shared" si="2"/>
        <v>0</v>
      </c>
      <c r="F83" s="9"/>
      <c r="G83" s="9"/>
      <c r="H83" s="2">
        <f>IF(SUM(F83:G83)&gt;Instructions!$B$5,"Error",SUM(F83:G83))</f>
        <v>0</v>
      </c>
      <c r="I83" s="8"/>
    </row>
    <row r="84" spans="1:9" ht="29.45" customHeight="1">
      <c r="A84" s="8"/>
      <c r="B84" s="8"/>
      <c r="C84" s="2">
        <f>F84/Instructions!$B$5</f>
        <v>0</v>
      </c>
      <c r="D84" s="2">
        <f>G84/Instructions!$B$5</f>
        <v>0</v>
      </c>
      <c r="E84" s="2">
        <f t="shared" si="2"/>
        <v>0</v>
      </c>
      <c r="F84" s="9"/>
      <c r="G84" s="9"/>
      <c r="H84" s="2">
        <f>IF(SUM(F84:G84)&gt;Instructions!$B$5,"Error",SUM(F84:G84))</f>
        <v>0</v>
      </c>
      <c r="I84" s="8"/>
    </row>
    <row r="85" spans="1:9" ht="29.45" customHeight="1">
      <c r="A85" s="8"/>
      <c r="B85" s="8"/>
      <c r="C85" s="2">
        <f>F85/Instructions!$B$5</f>
        <v>0</v>
      </c>
      <c r="D85" s="2">
        <f>G85/Instructions!$B$5</f>
        <v>0</v>
      </c>
      <c r="E85" s="2">
        <f t="shared" si="2"/>
        <v>0</v>
      </c>
      <c r="F85" s="9"/>
      <c r="G85" s="9"/>
      <c r="H85" s="2">
        <f>IF(SUM(F85:G85)&gt;Instructions!$B$5,"Error",SUM(F85:G85))</f>
        <v>0</v>
      </c>
      <c r="I85" s="8"/>
    </row>
    <row r="86" spans="1:9" ht="29.45" customHeight="1">
      <c r="A86" s="8"/>
      <c r="B86" s="8"/>
      <c r="C86" s="2">
        <f>F86/Instructions!$B$5</f>
        <v>0</v>
      </c>
      <c r="D86" s="2">
        <f>G86/Instructions!$B$5</f>
        <v>0</v>
      </c>
      <c r="E86" s="2">
        <f t="shared" si="2"/>
        <v>0</v>
      </c>
      <c r="F86" s="9"/>
      <c r="G86" s="9"/>
      <c r="H86" s="2">
        <f>IF(SUM(F86:G86)&gt;Instructions!$B$5,"Error",SUM(F86:G86))</f>
        <v>0</v>
      </c>
      <c r="I86" s="8"/>
    </row>
    <row r="87" spans="1:9" ht="29.45" customHeight="1">
      <c r="A87" s="8"/>
      <c r="B87" s="8"/>
      <c r="C87" s="2">
        <f>F87/Instructions!$B$5</f>
        <v>0</v>
      </c>
      <c r="D87" s="2">
        <f>G87/Instructions!$B$5</f>
        <v>0</v>
      </c>
      <c r="E87" s="2">
        <f t="shared" si="2"/>
        <v>0</v>
      </c>
      <c r="F87" s="9"/>
      <c r="G87" s="9"/>
      <c r="H87" s="2">
        <f>IF(SUM(F87:G87)&gt;Instructions!$B$5,"Error",SUM(F87:G87))</f>
        <v>0</v>
      </c>
      <c r="I87" s="8"/>
    </row>
    <row r="88" spans="1:9" ht="29.45" customHeight="1">
      <c r="A88" s="8"/>
      <c r="B88" s="8"/>
      <c r="C88" s="2">
        <f>F88/Instructions!$B$5</f>
        <v>0</v>
      </c>
      <c r="D88" s="2">
        <f>G88/Instructions!$B$5</f>
        <v>0</v>
      </c>
      <c r="E88" s="2">
        <f t="shared" si="2"/>
        <v>0</v>
      </c>
      <c r="F88" s="9"/>
      <c r="G88" s="9"/>
      <c r="H88" s="2">
        <f>IF(SUM(F88:G88)&gt;Instructions!$B$5,"Error",SUM(F88:G88))</f>
        <v>0</v>
      </c>
      <c r="I88" s="8"/>
    </row>
    <row r="89" spans="1:9" ht="29.45" customHeight="1">
      <c r="A89" s="8"/>
      <c r="B89" s="8"/>
      <c r="C89" s="2">
        <f>F89/Instructions!$B$5</f>
        <v>0</v>
      </c>
      <c r="D89" s="2">
        <f>G89/Instructions!$B$5</f>
        <v>0</v>
      </c>
      <c r="E89" s="2">
        <f t="shared" si="2"/>
        <v>0</v>
      </c>
      <c r="F89" s="9"/>
      <c r="G89" s="9"/>
      <c r="H89" s="2">
        <f>IF(SUM(F89:G89)&gt;Instructions!$B$5,"Error",SUM(F89:G89))</f>
        <v>0</v>
      </c>
      <c r="I89" s="8"/>
    </row>
    <row r="90" spans="1:9" ht="29.45" customHeight="1">
      <c r="A90" s="8"/>
      <c r="B90" s="8"/>
      <c r="C90" s="2">
        <f>F90/Instructions!$B$5</f>
        <v>0</v>
      </c>
      <c r="D90" s="2">
        <f>G90/Instructions!$B$5</f>
        <v>0</v>
      </c>
      <c r="E90" s="2">
        <f t="shared" si="2"/>
        <v>0</v>
      </c>
      <c r="F90" s="9"/>
      <c r="G90" s="9"/>
      <c r="H90" s="2">
        <f>IF(SUM(F90:G90)&gt;Instructions!$B$5,"Error",SUM(F90:G90))</f>
        <v>0</v>
      </c>
      <c r="I90" s="8"/>
    </row>
    <row r="91" spans="1:9" ht="29.45" customHeight="1">
      <c r="A91" s="8"/>
      <c r="B91" s="8"/>
      <c r="C91" s="2">
        <f>F91/Instructions!$B$5</f>
        <v>0</v>
      </c>
      <c r="D91" s="2">
        <f>G91/Instructions!$B$5</f>
        <v>0</v>
      </c>
      <c r="E91" s="2">
        <f t="shared" si="2"/>
        <v>0</v>
      </c>
      <c r="F91" s="9"/>
      <c r="G91" s="9"/>
      <c r="H91" s="2">
        <f>IF(SUM(F91:G91)&gt;Instructions!$B$5,"Error",SUM(F91:G91))</f>
        <v>0</v>
      </c>
      <c r="I91" s="8"/>
    </row>
    <row r="92" spans="1:9" ht="29.45" customHeight="1">
      <c r="A92" s="8"/>
      <c r="B92" s="8"/>
      <c r="C92" s="2">
        <f>F92/Instructions!$B$5</f>
        <v>0</v>
      </c>
      <c r="D92" s="2">
        <f>G92/Instructions!$B$5</f>
        <v>0</v>
      </c>
      <c r="E92" s="2">
        <f t="shared" si="2"/>
        <v>0</v>
      </c>
      <c r="F92" s="9"/>
      <c r="G92" s="9"/>
      <c r="H92" s="2">
        <f>IF(SUM(F92:G92)&gt;Instructions!$B$5,"Error",SUM(F92:G92))</f>
        <v>0</v>
      </c>
      <c r="I92" s="8"/>
    </row>
    <row r="93" spans="1:9" ht="29.45" customHeight="1">
      <c r="A93" s="8"/>
      <c r="B93" s="8"/>
      <c r="C93" s="2">
        <f>F93/Instructions!$B$5</f>
        <v>0</v>
      </c>
      <c r="D93" s="2">
        <f>G93/Instructions!$B$5</f>
        <v>0</v>
      </c>
      <c r="E93" s="2">
        <f t="shared" si="2"/>
        <v>0</v>
      </c>
      <c r="F93" s="9"/>
      <c r="G93" s="9"/>
      <c r="H93" s="2">
        <f>IF(SUM(F93:G93)&gt;Instructions!$B$5,"Error",SUM(F93:G93))</f>
        <v>0</v>
      </c>
      <c r="I93" s="8"/>
    </row>
    <row r="94" spans="1:9" ht="29.45" customHeight="1">
      <c r="A94" s="8"/>
      <c r="B94" s="8"/>
      <c r="C94" s="2">
        <f>F94/Instructions!$B$5</f>
        <v>0</v>
      </c>
      <c r="D94" s="2">
        <f>G94/Instructions!$B$5</f>
        <v>0</v>
      </c>
      <c r="E94" s="2">
        <f t="shared" si="2"/>
        <v>0</v>
      </c>
      <c r="F94" s="9"/>
      <c r="G94" s="9"/>
      <c r="H94" s="2">
        <f>IF(SUM(F94:G94)&gt;Instructions!$B$5,"Error",SUM(F94:G94))</f>
        <v>0</v>
      </c>
      <c r="I94" s="8"/>
    </row>
    <row r="95" spans="1:9" ht="29.45" customHeight="1">
      <c r="A95" s="8"/>
      <c r="B95" s="8"/>
      <c r="C95" s="2">
        <f>F95/Instructions!$B$5</f>
        <v>0</v>
      </c>
      <c r="D95" s="2">
        <f>G95/Instructions!$B$5</f>
        <v>0</v>
      </c>
      <c r="E95" s="2">
        <f t="shared" si="2"/>
        <v>0</v>
      </c>
      <c r="F95" s="9"/>
      <c r="G95" s="9"/>
      <c r="H95" s="2">
        <f>IF(SUM(F95:G95)&gt;Instructions!$B$5,"Error",SUM(F95:G95))</f>
        <v>0</v>
      </c>
      <c r="I95" s="8"/>
    </row>
    <row r="96" spans="1:9" ht="29.45" customHeight="1">
      <c r="A96" s="8"/>
      <c r="B96" s="8"/>
      <c r="C96" s="2">
        <f>F96/Instructions!$B$5</f>
        <v>0</v>
      </c>
      <c r="D96" s="2">
        <f>G96/Instructions!$B$5</f>
        <v>0</v>
      </c>
      <c r="E96" s="2">
        <f t="shared" si="2"/>
        <v>0</v>
      </c>
      <c r="F96" s="9"/>
      <c r="G96" s="9"/>
      <c r="H96" s="2">
        <f>IF(SUM(F96:G96)&gt;Instructions!$B$5,"Error",SUM(F96:G96))</f>
        <v>0</v>
      </c>
      <c r="I96" s="8"/>
    </row>
    <row r="97" spans="1:9" ht="29.45" customHeight="1">
      <c r="A97" s="8"/>
      <c r="B97" s="8"/>
      <c r="C97" s="2">
        <f>F97/Instructions!$B$5</f>
        <v>0</v>
      </c>
      <c r="D97" s="2">
        <f>G97/Instructions!$B$5</f>
        <v>0</v>
      </c>
      <c r="E97" s="2">
        <f t="shared" si="2"/>
        <v>0</v>
      </c>
      <c r="F97" s="9"/>
      <c r="G97" s="9"/>
      <c r="H97" s="2">
        <f>IF(SUM(F97:G97)&gt;Instructions!$B$5,"Error",SUM(F97:G97))</f>
        <v>0</v>
      </c>
      <c r="I97" s="8"/>
    </row>
    <row r="98" spans="1:9" ht="29.45" customHeight="1">
      <c r="A98" s="8"/>
      <c r="B98" s="8"/>
      <c r="C98" s="2">
        <f>F98/Instructions!$B$5</f>
        <v>0</v>
      </c>
      <c r="D98" s="2">
        <f>G98/Instructions!$B$5</f>
        <v>0</v>
      </c>
      <c r="E98" s="2">
        <f t="shared" si="2"/>
        <v>0</v>
      </c>
      <c r="F98" s="9"/>
      <c r="G98" s="9"/>
      <c r="H98" s="2">
        <f>IF(SUM(F98:G98)&gt;Instructions!$B$5,"Error",SUM(F98:G98))</f>
        <v>0</v>
      </c>
      <c r="I98" s="8"/>
    </row>
    <row r="99" spans="1:9" ht="29.45" customHeight="1">
      <c r="A99" s="8"/>
      <c r="B99" s="8"/>
      <c r="C99" s="2">
        <f>F99/Instructions!$B$5</f>
        <v>0</v>
      </c>
      <c r="D99" s="2">
        <f>G99/Instructions!$B$5</f>
        <v>0</v>
      </c>
      <c r="E99" s="2">
        <f t="shared" si="2"/>
        <v>0</v>
      </c>
      <c r="F99" s="9"/>
      <c r="G99" s="9"/>
      <c r="H99" s="2">
        <f>IF(SUM(F99:G99)&gt;Instructions!$B$5,"Error",SUM(F99:G99))</f>
        <v>0</v>
      </c>
      <c r="I99" s="8"/>
    </row>
    <row r="100" spans="1:9" ht="29.45" customHeight="1">
      <c r="A100" s="8"/>
      <c r="B100" s="8"/>
      <c r="C100" s="2">
        <f>F100/Instructions!$B$5</f>
        <v>0</v>
      </c>
      <c r="D100" s="2">
        <f>G100/Instructions!$B$5</f>
        <v>0</v>
      </c>
      <c r="E100" s="2">
        <f t="shared" si="2"/>
        <v>0</v>
      </c>
      <c r="F100" s="9"/>
      <c r="G100" s="9"/>
      <c r="H100" s="2">
        <f>IF(SUM(F100:G100)&gt;Instructions!$B$5,"Error",SUM(F100:G100))</f>
        <v>0</v>
      </c>
      <c r="I100" s="8"/>
    </row>
    <row r="101" spans="1:9" ht="29.45" customHeight="1">
      <c r="A101" s="8"/>
      <c r="B101" s="8"/>
      <c r="C101" s="2">
        <f>F101/Instructions!$B$5</f>
        <v>0</v>
      </c>
      <c r="D101" s="2">
        <f>G101/Instructions!$B$5</f>
        <v>0</v>
      </c>
      <c r="E101" s="2">
        <f t="shared" si="2"/>
        <v>0</v>
      </c>
      <c r="F101" s="9"/>
      <c r="G101" s="9"/>
      <c r="H101" s="2">
        <f>IF(SUM(F101:G101)&gt;Instructions!$B$5,"Error",SUM(F101:G101))</f>
        <v>0</v>
      </c>
      <c r="I101" s="8"/>
    </row>
    <row r="102" spans="1:9" ht="29.45" customHeight="1">
      <c r="A102" s="8"/>
      <c r="B102" s="8"/>
      <c r="C102" s="2">
        <f>F102/Instructions!$B$5</f>
        <v>0</v>
      </c>
      <c r="D102" s="2">
        <f>G102/Instructions!$B$5</f>
        <v>0</v>
      </c>
      <c r="E102" s="2">
        <f t="shared" si="2"/>
        <v>0</v>
      </c>
      <c r="F102" s="9"/>
      <c r="G102" s="9"/>
      <c r="H102" s="2">
        <f>IF(SUM(F102:G102)&gt;Instructions!$B$5,"Error",SUM(F102:G102))</f>
        <v>0</v>
      </c>
      <c r="I102" s="8"/>
    </row>
    <row r="103" spans="1:9" ht="29.45" customHeight="1">
      <c r="A103" s="8"/>
      <c r="B103" s="8"/>
      <c r="C103" s="2">
        <f>F103/Instructions!$B$5</f>
        <v>0</v>
      </c>
      <c r="D103" s="2">
        <f>G103/Instructions!$B$5</f>
        <v>0</v>
      </c>
      <c r="E103" s="2">
        <f t="shared" si="2"/>
        <v>0</v>
      </c>
      <c r="F103" s="9"/>
      <c r="G103" s="9"/>
      <c r="H103" s="2">
        <f>IF(SUM(F103:G103)&gt;Instructions!$B$5,"Error",SUM(F103:G103))</f>
        <v>0</v>
      </c>
      <c r="I103" s="8"/>
    </row>
    <row r="104" spans="1:9" ht="29.45" customHeight="1">
      <c r="A104" s="8"/>
      <c r="B104" s="8"/>
      <c r="C104" s="2">
        <f>F104/Instructions!$B$5</f>
        <v>0</v>
      </c>
      <c r="D104" s="2">
        <f>G104/Instructions!$B$5</f>
        <v>0</v>
      </c>
      <c r="E104" s="2">
        <f t="shared" si="2"/>
        <v>0</v>
      </c>
      <c r="F104" s="9"/>
      <c r="G104" s="9"/>
      <c r="H104" s="2">
        <f>IF(SUM(F104:G104)&gt;Instructions!$B$5,"Error",SUM(F104:G104))</f>
        <v>0</v>
      </c>
      <c r="I104" s="8"/>
    </row>
    <row r="105" spans="1:9" ht="29.45" customHeight="1">
      <c r="A105" s="8"/>
      <c r="B105" s="8"/>
      <c r="C105" s="2">
        <f>F105/Instructions!$B$5</f>
        <v>0</v>
      </c>
      <c r="D105" s="2">
        <f>G105/Instructions!$B$5</f>
        <v>0</v>
      </c>
      <c r="E105" s="2">
        <f t="shared" si="2"/>
        <v>0</v>
      </c>
      <c r="F105" s="9"/>
      <c r="G105" s="9"/>
      <c r="H105" s="2">
        <f>IF(SUM(F105:G105)&gt;Instructions!$B$5,"Error",SUM(F105:G105))</f>
        <v>0</v>
      </c>
      <c r="I105" s="8"/>
    </row>
    <row r="106" spans="1:9" ht="29.45" customHeight="1">
      <c r="A106" s="8"/>
      <c r="B106" s="8"/>
      <c r="C106" s="2">
        <f>F106/Instructions!$B$5</f>
        <v>0</v>
      </c>
      <c r="D106" s="2">
        <f>G106/Instructions!$B$5</f>
        <v>0</v>
      </c>
      <c r="E106" s="2">
        <f t="shared" si="2"/>
        <v>0</v>
      </c>
      <c r="F106" s="9"/>
      <c r="G106" s="9"/>
      <c r="H106" s="2">
        <f>IF(SUM(F106:G106)&gt;Instructions!$B$5,"Error",SUM(F106:G106))</f>
        <v>0</v>
      </c>
      <c r="I106" s="8"/>
    </row>
    <row r="107" spans="1:9" ht="29.45" customHeight="1">
      <c r="A107" s="8"/>
      <c r="B107" s="8"/>
      <c r="C107" s="2">
        <f>F107/Instructions!$B$5</f>
        <v>0</v>
      </c>
      <c r="D107" s="2">
        <f>G107/Instructions!$B$5</f>
        <v>0</v>
      </c>
      <c r="E107" s="2">
        <f t="shared" si="2"/>
        <v>0</v>
      </c>
      <c r="F107" s="9"/>
      <c r="G107" s="9"/>
      <c r="H107" s="2">
        <f>IF(SUM(F107:G107)&gt;Instructions!$B$5,"Error",SUM(F107:G107))</f>
        <v>0</v>
      </c>
      <c r="I107" s="8"/>
    </row>
    <row r="108" spans="1:9" ht="29.45" customHeight="1">
      <c r="A108" s="8"/>
      <c r="B108" s="8"/>
      <c r="C108" s="2">
        <f>F108/Instructions!$B$5</f>
        <v>0</v>
      </c>
      <c r="D108" s="2">
        <f>G108/Instructions!$B$5</f>
        <v>0</v>
      </c>
      <c r="E108" s="2">
        <f t="shared" si="2"/>
        <v>0</v>
      </c>
      <c r="F108" s="9"/>
      <c r="G108" s="9"/>
      <c r="H108" s="2">
        <f>IF(SUM(F108:G108)&gt;Instructions!$B$5,"Error",SUM(F108:G108))</f>
        <v>0</v>
      </c>
      <c r="I108" s="8"/>
    </row>
    <row r="109" spans="1:9" ht="29.45" customHeight="1">
      <c r="A109" s="8"/>
      <c r="B109" s="8"/>
      <c r="C109" s="2">
        <f>F109/Instructions!$B$5</f>
        <v>0</v>
      </c>
      <c r="D109" s="2">
        <f>G109/Instructions!$B$5</f>
        <v>0</v>
      </c>
      <c r="E109" s="2">
        <f t="shared" si="2"/>
        <v>0</v>
      </c>
      <c r="F109" s="9"/>
      <c r="G109" s="9"/>
      <c r="H109" s="2">
        <f>IF(SUM(F109:G109)&gt;Instructions!$B$5,"Error",SUM(F109:G109))</f>
        <v>0</v>
      </c>
      <c r="I109" s="8"/>
    </row>
    <row r="110" spans="1:9" ht="29.45" customHeight="1">
      <c r="A110" s="8"/>
      <c r="B110" s="8"/>
      <c r="C110" s="2">
        <f>F110/Instructions!$B$5</f>
        <v>0</v>
      </c>
      <c r="D110" s="2">
        <f>G110/Instructions!$B$5</f>
        <v>0</v>
      </c>
      <c r="E110" s="2">
        <f t="shared" si="2"/>
        <v>0</v>
      </c>
      <c r="F110" s="9"/>
      <c r="G110" s="9"/>
      <c r="H110" s="2">
        <f>IF(SUM(F110:G110)&gt;Instructions!$B$5,"Error",SUM(F110:G110))</f>
        <v>0</v>
      </c>
      <c r="I110" s="8"/>
    </row>
    <row r="111" spans="1:9" ht="29.45" customHeight="1">
      <c r="A111" s="8"/>
      <c r="B111" s="8"/>
      <c r="C111" s="2">
        <f>F111/Instructions!$B$5</f>
        <v>0</v>
      </c>
      <c r="D111" s="2">
        <f>G111/Instructions!$B$5</f>
        <v>0</v>
      </c>
      <c r="E111" s="2">
        <f t="shared" si="2"/>
        <v>0</v>
      </c>
      <c r="F111" s="9"/>
      <c r="G111" s="9"/>
      <c r="H111" s="2">
        <f>IF(SUM(F111:G111)&gt;Instructions!$B$5,"Error",SUM(F111:G111))</f>
        <v>0</v>
      </c>
      <c r="I111" s="8"/>
    </row>
    <row r="112" spans="1:9" ht="29.45" customHeight="1">
      <c r="A112" s="8"/>
      <c r="B112" s="8"/>
      <c r="C112" s="2">
        <f>F112/Instructions!$B$5</f>
        <v>0</v>
      </c>
      <c r="D112" s="2">
        <f>G112/Instructions!$B$5</f>
        <v>0</v>
      </c>
      <c r="E112" s="2">
        <f t="shared" si="2"/>
        <v>0</v>
      </c>
      <c r="F112" s="9"/>
      <c r="G112" s="9"/>
      <c r="H112" s="2">
        <f>IF(SUM(F112:G112)&gt;Instructions!$B$5,"Error",SUM(F112:G112))</f>
        <v>0</v>
      </c>
      <c r="I112" s="8"/>
    </row>
    <row r="113" spans="1:9" ht="29.45" customHeight="1">
      <c r="A113" s="8"/>
      <c r="B113" s="8"/>
      <c r="C113" s="2">
        <f>F113/Instructions!$B$5</f>
        <v>0</v>
      </c>
      <c r="D113" s="2">
        <f>G113/Instructions!$B$5</f>
        <v>0</v>
      </c>
      <c r="E113" s="2">
        <f t="shared" si="2"/>
        <v>0</v>
      </c>
      <c r="F113" s="9"/>
      <c r="G113" s="9"/>
      <c r="H113" s="2">
        <f>IF(SUM(F113:G113)&gt;Instructions!$B$5,"Error",SUM(F113:G113))</f>
        <v>0</v>
      </c>
      <c r="I113" s="8"/>
    </row>
    <row r="114" spans="1:9" ht="29.45" customHeight="1">
      <c r="A114" s="8"/>
      <c r="B114" s="8"/>
      <c r="C114" s="2">
        <f>F114/Instructions!$B$5</f>
        <v>0</v>
      </c>
      <c r="D114" s="2">
        <f>G114/Instructions!$B$5</f>
        <v>0</v>
      </c>
      <c r="E114" s="2">
        <f t="shared" si="2"/>
        <v>0</v>
      </c>
      <c r="F114" s="9"/>
      <c r="G114" s="9"/>
      <c r="H114" s="2">
        <f>IF(SUM(F114:G114)&gt;Instructions!$B$5,"Error",SUM(F114:G114))</f>
        <v>0</v>
      </c>
      <c r="I114" s="8"/>
    </row>
    <row r="115" spans="1:9" ht="29.45" customHeight="1">
      <c r="A115" s="8"/>
      <c r="B115" s="8"/>
      <c r="C115" s="2">
        <f>F115/Instructions!$B$5</f>
        <v>0</v>
      </c>
      <c r="D115" s="2">
        <f>G115/Instructions!$B$5</f>
        <v>0</v>
      </c>
      <c r="E115" s="2">
        <f t="shared" si="2"/>
        <v>0</v>
      </c>
      <c r="F115" s="9"/>
      <c r="G115" s="9"/>
      <c r="H115" s="2">
        <f>IF(SUM(F115:G115)&gt;Instructions!$B$5,"Error",SUM(F115:G115))</f>
        <v>0</v>
      </c>
      <c r="I115" s="8"/>
    </row>
    <row r="116" spans="1:9" ht="29.45" customHeight="1">
      <c r="A116" s="8"/>
      <c r="B116" s="8"/>
      <c r="C116" s="2">
        <f>F116/Instructions!$B$5</f>
        <v>0</v>
      </c>
      <c r="D116" s="2">
        <f>G116/Instructions!$B$5</f>
        <v>0</v>
      </c>
      <c r="E116" s="2">
        <f t="shared" si="2"/>
        <v>0</v>
      </c>
      <c r="F116" s="9"/>
      <c r="G116" s="9"/>
      <c r="H116" s="2">
        <f>IF(SUM(F116:G116)&gt;Instructions!$B$5,"Error",SUM(F116:G116))</f>
        <v>0</v>
      </c>
      <c r="I116" s="8"/>
    </row>
    <row r="117" spans="1:9" ht="29.45" customHeight="1">
      <c r="A117" s="8"/>
      <c r="B117" s="8"/>
      <c r="C117" s="2">
        <f>F117/Instructions!$B$5</f>
        <v>0</v>
      </c>
      <c r="D117" s="2">
        <f>G117/Instructions!$B$5</f>
        <v>0</v>
      </c>
      <c r="E117" s="2">
        <f t="shared" si="2"/>
        <v>0</v>
      </c>
      <c r="F117" s="9"/>
      <c r="G117" s="9"/>
      <c r="H117" s="2">
        <f>IF(SUM(F117:G117)&gt;Instructions!$B$5,"Error",SUM(F117:G117))</f>
        <v>0</v>
      </c>
      <c r="I117" s="8"/>
    </row>
    <row r="118" spans="1:9" ht="29.45" customHeight="1">
      <c r="A118" s="8"/>
      <c r="B118" s="8"/>
      <c r="C118" s="2">
        <f>F118/Instructions!$B$5</f>
        <v>0</v>
      </c>
      <c r="D118" s="2">
        <f>G118/Instructions!$B$5</f>
        <v>0</v>
      </c>
      <c r="E118" s="2">
        <f t="shared" si="2"/>
        <v>0</v>
      </c>
      <c r="F118" s="9"/>
      <c r="G118" s="9"/>
      <c r="H118" s="2">
        <f>IF(SUM(F118:G118)&gt;Instructions!$B$5,"Error",SUM(F118:G118))</f>
        <v>0</v>
      </c>
      <c r="I118" s="8"/>
    </row>
    <row r="119" spans="1:9" ht="29.45" customHeight="1">
      <c r="A119" s="8"/>
      <c r="B119" s="8"/>
      <c r="C119" s="2">
        <f>F119/Instructions!$B$5</f>
        <v>0</v>
      </c>
      <c r="D119" s="2">
        <f>G119/Instructions!$B$5</f>
        <v>0</v>
      </c>
      <c r="E119" s="2">
        <f t="shared" si="2"/>
        <v>0</v>
      </c>
      <c r="F119" s="9"/>
      <c r="G119" s="9"/>
      <c r="H119" s="2">
        <f>IF(SUM(F119:G119)&gt;Instructions!$B$5,"Error",SUM(F119:G119))</f>
        <v>0</v>
      </c>
      <c r="I119" s="8"/>
    </row>
    <row r="120" spans="1:9" ht="29.45" customHeight="1">
      <c r="A120" s="8"/>
      <c r="B120" s="8"/>
      <c r="C120" s="2">
        <f>F120/Instructions!$B$5</f>
        <v>0</v>
      </c>
      <c r="D120" s="2">
        <f>G120/Instructions!$B$5</f>
        <v>0</v>
      </c>
      <c r="E120" s="2">
        <f t="shared" si="2"/>
        <v>0</v>
      </c>
      <c r="F120" s="9"/>
      <c r="G120" s="9"/>
      <c r="H120" s="2">
        <f>IF(SUM(F120:G120)&gt;Instructions!$B$5,"Error",SUM(F120:G120))</f>
        <v>0</v>
      </c>
      <c r="I120" s="8"/>
    </row>
    <row r="121" spans="1:9" ht="29.45" customHeight="1">
      <c r="A121" s="8"/>
      <c r="B121" s="8"/>
      <c r="C121" s="2">
        <f>F121/Instructions!$B$5</f>
        <v>0</v>
      </c>
      <c r="D121" s="2">
        <f>G121/Instructions!$B$5</f>
        <v>0</v>
      </c>
      <c r="E121" s="2">
        <f t="shared" si="2"/>
        <v>0</v>
      </c>
      <c r="F121" s="9"/>
      <c r="G121" s="9"/>
      <c r="H121" s="2">
        <f>IF(SUM(F121:G121)&gt;Instructions!$B$5,"Error",SUM(F121:G121))</f>
        <v>0</v>
      </c>
      <c r="I121" s="8"/>
    </row>
    <row r="122" spans="1:9" ht="29.45" customHeight="1">
      <c r="A122" s="8"/>
      <c r="B122" s="8"/>
      <c r="C122" s="2">
        <f>F122/Instructions!$B$5</f>
        <v>0</v>
      </c>
      <c r="D122" s="2">
        <f>G122/Instructions!$B$5</f>
        <v>0</v>
      </c>
      <c r="E122" s="2">
        <f t="shared" si="2"/>
        <v>0</v>
      </c>
      <c r="F122" s="9"/>
      <c r="G122" s="9"/>
      <c r="H122" s="2">
        <f>IF(SUM(F122:G122)&gt;Instructions!$B$5,"Error",SUM(F122:G122))</f>
        <v>0</v>
      </c>
      <c r="I122" s="8"/>
    </row>
    <row r="123" spans="1:9" ht="29.45" customHeight="1">
      <c r="A123" s="8"/>
      <c r="B123" s="8"/>
      <c r="C123" s="2">
        <f>F123/Instructions!$B$5</f>
        <v>0</v>
      </c>
      <c r="D123" s="2">
        <f>G123/Instructions!$B$5</f>
        <v>0</v>
      </c>
      <c r="E123" s="2">
        <f t="shared" si="2"/>
        <v>0</v>
      </c>
      <c r="F123" s="9"/>
      <c r="G123" s="9"/>
      <c r="H123" s="2">
        <f>IF(SUM(F123:G123)&gt;Instructions!$B$5,"Error",SUM(F123:G123))</f>
        <v>0</v>
      </c>
      <c r="I123" s="8"/>
    </row>
    <row r="124" spans="1:9" ht="29.45" customHeight="1">
      <c r="A124" s="8"/>
      <c r="B124" s="8"/>
      <c r="C124" s="2">
        <f>F124/Instructions!$B$5</f>
        <v>0</v>
      </c>
      <c r="D124" s="2">
        <f>G124/Instructions!$B$5</f>
        <v>0</v>
      </c>
      <c r="E124" s="2">
        <f t="shared" si="2"/>
        <v>0</v>
      </c>
      <c r="F124" s="9"/>
      <c r="G124" s="9"/>
      <c r="H124" s="2">
        <f>IF(SUM(F124:G124)&gt;Instructions!$B$5,"Error",SUM(F124:G124))</f>
        <v>0</v>
      </c>
      <c r="I124" s="8"/>
    </row>
    <row r="125" spans="1:9" ht="29.45" customHeight="1">
      <c r="A125" s="8"/>
      <c r="B125" s="8"/>
      <c r="C125" s="2">
        <f>F125/Instructions!$B$5</f>
        <v>0</v>
      </c>
      <c r="D125" s="2">
        <f>G125/Instructions!$B$5</f>
        <v>0</v>
      </c>
      <c r="E125" s="2">
        <f t="shared" si="2"/>
        <v>0</v>
      </c>
      <c r="F125" s="9"/>
      <c r="G125" s="9"/>
      <c r="H125" s="2">
        <f>IF(SUM(F125:G125)&gt;Instructions!$B$5,"Error",SUM(F125:G125))</f>
        <v>0</v>
      </c>
      <c r="I125" s="8"/>
    </row>
    <row r="126" spans="1:9" ht="29.45" customHeight="1">
      <c r="A126" s="8"/>
      <c r="B126" s="8"/>
      <c r="C126" s="2">
        <f>F126/Instructions!$B$5</f>
        <v>0</v>
      </c>
      <c r="D126" s="2">
        <f>G126/Instructions!$B$5</f>
        <v>0</v>
      </c>
      <c r="E126" s="2">
        <f t="shared" si="2"/>
        <v>0</v>
      </c>
      <c r="F126" s="9"/>
      <c r="G126" s="9"/>
      <c r="H126" s="2">
        <f>IF(SUM(F126:G126)&gt;Instructions!$B$5,"Error",SUM(F126:G126))</f>
        <v>0</v>
      </c>
      <c r="I126" s="8"/>
    </row>
    <row r="127" spans="1:9" ht="29.45" customHeight="1">
      <c r="A127" s="8"/>
      <c r="B127" s="8"/>
      <c r="C127" s="2">
        <f>F127/Instructions!$B$5</f>
        <v>0</v>
      </c>
      <c r="D127" s="2">
        <f>G127/Instructions!$B$5</f>
        <v>0</v>
      </c>
      <c r="E127" s="2">
        <f t="shared" si="2"/>
        <v>0</v>
      </c>
      <c r="F127" s="9"/>
      <c r="G127" s="9"/>
      <c r="H127" s="2">
        <f>IF(SUM(F127:G127)&gt;Instructions!$B$5,"Error",SUM(F127:G127))</f>
        <v>0</v>
      </c>
      <c r="I127" s="8"/>
    </row>
    <row r="128" spans="1:9" ht="29.45" customHeight="1">
      <c r="A128" s="8"/>
      <c r="B128" s="8"/>
      <c r="C128" s="2">
        <f>F128/Instructions!$B$5</f>
        <v>0</v>
      </c>
      <c r="D128" s="2">
        <f>G128/Instructions!$B$5</f>
        <v>0</v>
      </c>
      <c r="E128" s="2">
        <f t="shared" si="2"/>
        <v>0</v>
      </c>
      <c r="F128" s="9"/>
      <c r="G128" s="9"/>
      <c r="H128" s="2">
        <f>IF(SUM(F128:G128)&gt;Instructions!$B$5,"Error",SUM(F128:G128))</f>
        <v>0</v>
      </c>
      <c r="I128" s="8"/>
    </row>
    <row r="129" spans="1:9" ht="29.45" customHeight="1">
      <c r="A129" s="8"/>
      <c r="B129" s="8"/>
      <c r="C129" s="2">
        <f>F129/Instructions!$B$5</f>
        <v>0</v>
      </c>
      <c r="D129" s="2">
        <f>G129/Instructions!$B$5</f>
        <v>0</v>
      </c>
      <c r="E129" s="2">
        <f t="shared" si="2"/>
        <v>0</v>
      </c>
      <c r="F129" s="9"/>
      <c r="G129" s="9"/>
      <c r="H129" s="2">
        <f>IF(SUM(F129:G129)&gt;Instructions!$B$5,"Error",SUM(F129:G129))</f>
        <v>0</v>
      </c>
      <c r="I129" s="8"/>
    </row>
    <row r="130" spans="1:9" ht="29.45" customHeight="1">
      <c r="A130" s="8"/>
      <c r="B130" s="8"/>
      <c r="C130" s="2">
        <f>F130/Instructions!$B$5</f>
        <v>0</v>
      </c>
      <c r="D130" s="2">
        <f>G130/Instructions!$B$5</f>
        <v>0</v>
      </c>
      <c r="E130" s="2">
        <f t="shared" si="2"/>
        <v>0</v>
      </c>
      <c r="F130" s="9"/>
      <c r="G130" s="9"/>
      <c r="H130" s="2">
        <f>IF(SUM(F130:G130)&gt;Instructions!$B$5,"Error",SUM(F130:G130))</f>
        <v>0</v>
      </c>
      <c r="I130" s="8"/>
    </row>
    <row r="131" spans="1:9" ht="29.45" customHeight="1">
      <c r="A131" s="8"/>
      <c r="B131" s="8"/>
      <c r="C131" s="2">
        <f>F131/Instructions!$B$5</f>
        <v>0</v>
      </c>
      <c r="D131" s="2">
        <f>G131/Instructions!$B$5</f>
        <v>0</v>
      </c>
      <c r="E131" s="2">
        <f t="shared" si="2"/>
        <v>0</v>
      </c>
      <c r="F131" s="9"/>
      <c r="G131" s="9"/>
      <c r="H131" s="2">
        <f>IF(SUM(F131:G131)&gt;Instructions!$B$5,"Error",SUM(F131:G131))</f>
        <v>0</v>
      </c>
      <c r="I131" s="8"/>
    </row>
    <row r="132" spans="1:9" ht="29.45" customHeight="1">
      <c r="A132" s="8"/>
      <c r="B132" s="8"/>
      <c r="C132" s="2">
        <f>F132/Instructions!$B$5</f>
        <v>0</v>
      </c>
      <c r="D132" s="2">
        <f>G132/Instructions!$B$5</f>
        <v>0</v>
      </c>
      <c r="E132" s="2">
        <f t="shared" si="2"/>
        <v>0</v>
      </c>
      <c r="F132" s="9"/>
      <c r="G132" s="9"/>
      <c r="H132" s="2">
        <f>IF(SUM(F132:G132)&gt;Instructions!$B$5,"Error",SUM(F132:G132))</f>
        <v>0</v>
      </c>
      <c r="I132" s="8"/>
    </row>
    <row r="133" spans="1:9" ht="29.45" customHeight="1">
      <c r="A133" s="8"/>
      <c r="B133" s="8"/>
      <c r="C133" s="2">
        <f>F133/Instructions!$B$5</f>
        <v>0</v>
      </c>
      <c r="D133" s="2">
        <f>G133/Instructions!$B$5</f>
        <v>0</v>
      </c>
      <c r="E133" s="2">
        <f t="shared" si="2"/>
        <v>0</v>
      </c>
      <c r="F133" s="9"/>
      <c r="G133" s="9"/>
      <c r="H133" s="2">
        <f>IF(SUM(F133:G133)&gt;Instructions!$B$5,"Error",SUM(F133:G133))</f>
        <v>0</v>
      </c>
      <c r="I133" s="8"/>
    </row>
    <row r="134" spans="1:9" ht="29.45" customHeight="1">
      <c r="A134" s="8"/>
      <c r="B134" s="8"/>
      <c r="C134" s="2">
        <f>F134/Instructions!$B$5</f>
        <v>0</v>
      </c>
      <c r="D134" s="2">
        <f>G134/Instructions!$B$5</f>
        <v>0</v>
      </c>
      <c r="E134" s="2">
        <f t="shared" si="2"/>
        <v>0</v>
      </c>
      <c r="F134" s="9"/>
      <c r="G134" s="9"/>
      <c r="H134" s="2">
        <f>IF(SUM(F134:G134)&gt;Instructions!$B$5,"Error",SUM(F134:G134))</f>
        <v>0</v>
      </c>
      <c r="I134" s="8"/>
    </row>
    <row r="135" spans="1:9" ht="29.45" customHeight="1">
      <c r="A135" s="8"/>
      <c r="B135" s="8"/>
      <c r="C135" s="2">
        <f>F135/Instructions!$B$5</f>
        <v>0</v>
      </c>
      <c r="D135" s="2">
        <f>G135/Instructions!$B$5</f>
        <v>0</v>
      </c>
      <c r="E135" s="2">
        <f t="shared" si="2"/>
        <v>0</v>
      </c>
      <c r="F135" s="9"/>
      <c r="G135" s="9"/>
      <c r="H135" s="2">
        <f>IF(SUM(F135:G135)&gt;Instructions!$B$5,"Error",SUM(F135:G135))</f>
        <v>0</v>
      </c>
      <c r="I135" s="8"/>
    </row>
    <row r="136" spans="1:9" ht="29.45" customHeight="1">
      <c r="A136" s="8"/>
      <c r="B136" s="8"/>
      <c r="C136" s="2">
        <f>F136/Instructions!$B$5</f>
        <v>0</v>
      </c>
      <c r="D136" s="2">
        <f>G136/Instructions!$B$5</f>
        <v>0</v>
      </c>
      <c r="E136" s="2">
        <f t="shared" ref="E136:E199" si="3">IF(SUM(C136:D136)&gt;1,"Error",SUM(C136:D136))</f>
        <v>0</v>
      </c>
      <c r="F136" s="9"/>
      <c r="G136" s="9"/>
      <c r="H136" s="2">
        <f>IF(SUM(F136:G136)&gt;Instructions!$B$5,"Error",SUM(F136:G136))</f>
        <v>0</v>
      </c>
      <c r="I136" s="8"/>
    </row>
    <row r="137" spans="1:9" ht="29.45" customHeight="1">
      <c r="A137" s="8"/>
      <c r="B137" s="8"/>
      <c r="C137" s="2">
        <f>F137/Instructions!$B$5</f>
        <v>0</v>
      </c>
      <c r="D137" s="2">
        <f>G137/Instructions!$B$5</f>
        <v>0</v>
      </c>
      <c r="E137" s="2">
        <f t="shared" si="3"/>
        <v>0</v>
      </c>
      <c r="F137" s="9"/>
      <c r="G137" s="9"/>
      <c r="H137" s="2">
        <f>IF(SUM(F137:G137)&gt;Instructions!$B$5,"Error",SUM(F137:G137))</f>
        <v>0</v>
      </c>
      <c r="I137" s="8"/>
    </row>
    <row r="138" spans="1:9" ht="29.45" customHeight="1">
      <c r="A138" s="8"/>
      <c r="B138" s="8"/>
      <c r="C138" s="2">
        <f>F138/Instructions!$B$5</f>
        <v>0</v>
      </c>
      <c r="D138" s="2">
        <f>G138/Instructions!$B$5</f>
        <v>0</v>
      </c>
      <c r="E138" s="2">
        <f t="shared" si="3"/>
        <v>0</v>
      </c>
      <c r="F138" s="9"/>
      <c r="G138" s="9"/>
      <c r="H138" s="2">
        <f>IF(SUM(F138:G138)&gt;Instructions!$B$5,"Error",SUM(F138:G138))</f>
        <v>0</v>
      </c>
      <c r="I138" s="8"/>
    </row>
    <row r="139" spans="1:9" ht="29.45" customHeight="1">
      <c r="A139" s="8"/>
      <c r="B139" s="8"/>
      <c r="C139" s="2">
        <f>F139/Instructions!$B$5</f>
        <v>0</v>
      </c>
      <c r="D139" s="2">
        <f>G139/Instructions!$B$5</f>
        <v>0</v>
      </c>
      <c r="E139" s="2">
        <f t="shared" si="3"/>
        <v>0</v>
      </c>
      <c r="F139" s="9"/>
      <c r="G139" s="9"/>
      <c r="H139" s="2">
        <f>IF(SUM(F139:G139)&gt;Instructions!$B$5,"Error",SUM(F139:G139))</f>
        <v>0</v>
      </c>
      <c r="I139" s="8"/>
    </row>
    <row r="140" spans="1:9" ht="29.45" customHeight="1">
      <c r="A140" s="8"/>
      <c r="B140" s="8"/>
      <c r="C140" s="2">
        <f>F140/Instructions!$B$5</f>
        <v>0</v>
      </c>
      <c r="D140" s="2">
        <f>G140/Instructions!$B$5</f>
        <v>0</v>
      </c>
      <c r="E140" s="2">
        <f t="shared" si="3"/>
        <v>0</v>
      </c>
      <c r="F140" s="9"/>
      <c r="G140" s="9"/>
      <c r="H140" s="2">
        <f>IF(SUM(F140:G140)&gt;Instructions!$B$5,"Error",SUM(F140:G140))</f>
        <v>0</v>
      </c>
      <c r="I140" s="8"/>
    </row>
    <row r="141" spans="1:9" ht="29.45" customHeight="1">
      <c r="A141" s="8"/>
      <c r="B141" s="8"/>
      <c r="C141" s="2">
        <f>F141/Instructions!$B$5</f>
        <v>0</v>
      </c>
      <c r="D141" s="2">
        <f>G141/Instructions!$B$5</f>
        <v>0</v>
      </c>
      <c r="E141" s="2">
        <f t="shared" si="3"/>
        <v>0</v>
      </c>
      <c r="F141" s="9"/>
      <c r="G141" s="9"/>
      <c r="H141" s="2">
        <f>IF(SUM(F141:G141)&gt;Instructions!$B$5,"Error",SUM(F141:G141))</f>
        <v>0</v>
      </c>
      <c r="I141" s="8"/>
    </row>
    <row r="142" spans="1:9" ht="29.45" customHeight="1">
      <c r="A142" s="8"/>
      <c r="B142" s="8"/>
      <c r="C142" s="2">
        <f>F142/Instructions!$B$5</f>
        <v>0</v>
      </c>
      <c r="D142" s="2">
        <f>G142/Instructions!$B$5</f>
        <v>0</v>
      </c>
      <c r="E142" s="2">
        <f t="shared" si="3"/>
        <v>0</v>
      </c>
      <c r="F142" s="9"/>
      <c r="G142" s="9"/>
      <c r="H142" s="2">
        <f>IF(SUM(F142:G142)&gt;Instructions!$B$5,"Error",SUM(F142:G142))</f>
        <v>0</v>
      </c>
      <c r="I142" s="8"/>
    </row>
    <row r="143" spans="1:9" ht="29.45" customHeight="1">
      <c r="A143" s="8"/>
      <c r="B143" s="8"/>
      <c r="C143" s="2">
        <f>F143/Instructions!$B$5</f>
        <v>0</v>
      </c>
      <c r="D143" s="2">
        <f>G143/Instructions!$B$5</f>
        <v>0</v>
      </c>
      <c r="E143" s="2">
        <f t="shared" si="3"/>
        <v>0</v>
      </c>
      <c r="F143" s="9"/>
      <c r="G143" s="9"/>
      <c r="H143" s="2">
        <f>IF(SUM(F143:G143)&gt;Instructions!$B$5,"Error",SUM(F143:G143))</f>
        <v>0</v>
      </c>
      <c r="I143" s="8"/>
    </row>
    <row r="144" spans="1:9" ht="29.45" customHeight="1">
      <c r="A144" s="8"/>
      <c r="B144" s="8"/>
      <c r="C144" s="2">
        <f>F144/Instructions!$B$5</f>
        <v>0</v>
      </c>
      <c r="D144" s="2">
        <f>G144/Instructions!$B$5</f>
        <v>0</v>
      </c>
      <c r="E144" s="2">
        <f t="shared" si="3"/>
        <v>0</v>
      </c>
      <c r="F144" s="9"/>
      <c r="G144" s="9"/>
      <c r="H144" s="2">
        <f>IF(SUM(F144:G144)&gt;Instructions!$B$5,"Error",SUM(F144:G144))</f>
        <v>0</v>
      </c>
      <c r="I144" s="8"/>
    </row>
    <row r="145" spans="1:9" ht="29.45" customHeight="1">
      <c r="A145" s="8"/>
      <c r="B145" s="8"/>
      <c r="C145" s="2">
        <f>F145/Instructions!$B$5</f>
        <v>0</v>
      </c>
      <c r="D145" s="2">
        <f>G145/Instructions!$B$5</f>
        <v>0</v>
      </c>
      <c r="E145" s="2">
        <f t="shared" si="3"/>
        <v>0</v>
      </c>
      <c r="F145" s="9"/>
      <c r="G145" s="9"/>
      <c r="H145" s="2">
        <f>IF(SUM(F145:G145)&gt;Instructions!$B$5,"Error",SUM(F145:G145))</f>
        <v>0</v>
      </c>
      <c r="I145" s="8"/>
    </row>
    <row r="146" spans="1:9" ht="29.45" customHeight="1">
      <c r="A146" s="8"/>
      <c r="B146" s="8"/>
      <c r="C146" s="2">
        <f>F146/Instructions!$B$5</f>
        <v>0</v>
      </c>
      <c r="D146" s="2">
        <f>G146/Instructions!$B$5</f>
        <v>0</v>
      </c>
      <c r="E146" s="2">
        <f t="shared" si="3"/>
        <v>0</v>
      </c>
      <c r="F146" s="9"/>
      <c r="G146" s="9"/>
      <c r="H146" s="2">
        <f>IF(SUM(F146:G146)&gt;Instructions!$B$5,"Error",SUM(F146:G146))</f>
        <v>0</v>
      </c>
      <c r="I146" s="8"/>
    </row>
    <row r="147" spans="1:9" ht="29.45" customHeight="1">
      <c r="A147" s="8"/>
      <c r="B147" s="8"/>
      <c r="C147" s="2">
        <f>F147/Instructions!$B$5</f>
        <v>0</v>
      </c>
      <c r="D147" s="2">
        <f>G147/Instructions!$B$5</f>
        <v>0</v>
      </c>
      <c r="E147" s="2">
        <f t="shared" si="3"/>
        <v>0</v>
      </c>
      <c r="F147" s="9"/>
      <c r="G147" s="9"/>
      <c r="H147" s="2">
        <f>IF(SUM(F147:G147)&gt;Instructions!$B$5,"Error",SUM(F147:G147))</f>
        <v>0</v>
      </c>
      <c r="I147" s="8"/>
    </row>
    <row r="148" spans="1:9" ht="29.45" customHeight="1">
      <c r="A148" s="8"/>
      <c r="B148" s="8"/>
      <c r="C148" s="2">
        <f>F148/Instructions!$B$5</f>
        <v>0</v>
      </c>
      <c r="D148" s="2">
        <f>G148/Instructions!$B$5</f>
        <v>0</v>
      </c>
      <c r="E148" s="2">
        <f t="shared" si="3"/>
        <v>0</v>
      </c>
      <c r="F148" s="9"/>
      <c r="G148" s="9"/>
      <c r="H148" s="2">
        <f>IF(SUM(F148:G148)&gt;Instructions!$B$5,"Error",SUM(F148:G148))</f>
        <v>0</v>
      </c>
      <c r="I148" s="8"/>
    </row>
    <row r="149" spans="1:9" ht="29.45" customHeight="1">
      <c r="A149" s="8"/>
      <c r="B149" s="8"/>
      <c r="C149" s="2">
        <f>F149/Instructions!$B$5</f>
        <v>0</v>
      </c>
      <c r="D149" s="2">
        <f>G149/Instructions!$B$5</f>
        <v>0</v>
      </c>
      <c r="E149" s="2">
        <f t="shared" si="3"/>
        <v>0</v>
      </c>
      <c r="F149" s="9"/>
      <c r="G149" s="9"/>
      <c r="H149" s="2">
        <f>IF(SUM(F149:G149)&gt;Instructions!$B$5,"Error",SUM(F149:G149))</f>
        <v>0</v>
      </c>
      <c r="I149" s="8"/>
    </row>
    <row r="150" spans="1:9" ht="29.45" customHeight="1">
      <c r="A150" s="8"/>
      <c r="B150" s="8"/>
      <c r="C150" s="2">
        <f>F150/Instructions!$B$5</f>
        <v>0</v>
      </c>
      <c r="D150" s="2">
        <f>G150/Instructions!$B$5</f>
        <v>0</v>
      </c>
      <c r="E150" s="2">
        <f t="shared" si="3"/>
        <v>0</v>
      </c>
      <c r="F150" s="9"/>
      <c r="G150" s="9"/>
      <c r="H150" s="2">
        <f>IF(SUM(F150:G150)&gt;Instructions!$B$5,"Error",SUM(F150:G150))</f>
        <v>0</v>
      </c>
      <c r="I150" s="8"/>
    </row>
    <row r="151" spans="1:9" ht="29.45" customHeight="1">
      <c r="A151" s="8"/>
      <c r="B151" s="8"/>
      <c r="C151" s="2">
        <f>F151/Instructions!$B$5</f>
        <v>0</v>
      </c>
      <c r="D151" s="2">
        <f>G151/Instructions!$B$5</f>
        <v>0</v>
      </c>
      <c r="E151" s="2">
        <f t="shared" si="3"/>
        <v>0</v>
      </c>
      <c r="F151" s="9"/>
      <c r="G151" s="9"/>
      <c r="H151" s="2">
        <f>IF(SUM(F151:G151)&gt;Instructions!$B$5,"Error",SUM(F151:G151))</f>
        <v>0</v>
      </c>
      <c r="I151" s="8"/>
    </row>
    <row r="152" spans="1:9" ht="29.45" customHeight="1">
      <c r="A152" s="8"/>
      <c r="B152" s="8"/>
      <c r="C152" s="2">
        <f>F152/Instructions!$B$5</f>
        <v>0</v>
      </c>
      <c r="D152" s="2">
        <f>G152/Instructions!$B$5</f>
        <v>0</v>
      </c>
      <c r="E152" s="2">
        <f t="shared" si="3"/>
        <v>0</v>
      </c>
      <c r="F152" s="9"/>
      <c r="G152" s="9"/>
      <c r="H152" s="2">
        <f>IF(SUM(F152:G152)&gt;Instructions!$B$5,"Error",SUM(F152:G152))</f>
        <v>0</v>
      </c>
      <c r="I152" s="8"/>
    </row>
    <row r="153" spans="1:9" ht="29.45" customHeight="1">
      <c r="A153" s="8"/>
      <c r="B153" s="8"/>
      <c r="C153" s="2">
        <f>F153/Instructions!$B$5</f>
        <v>0</v>
      </c>
      <c r="D153" s="2">
        <f>G153/Instructions!$B$5</f>
        <v>0</v>
      </c>
      <c r="E153" s="2">
        <f t="shared" si="3"/>
        <v>0</v>
      </c>
      <c r="F153" s="9"/>
      <c r="G153" s="9"/>
      <c r="H153" s="2">
        <f>IF(SUM(F153:G153)&gt;Instructions!$B$5,"Error",SUM(F153:G153))</f>
        <v>0</v>
      </c>
      <c r="I153" s="8"/>
    </row>
    <row r="154" spans="1:9" ht="29.45" customHeight="1">
      <c r="A154" s="8"/>
      <c r="B154" s="8"/>
      <c r="C154" s="2">
        <f>F154/Instructions!$B$5</f>
        <v>0</v>
      </c>
      <c r="D154" s="2">
        <f>G154/Instructions!$B$5</f>
        <v>0</v>
      </c>
      <c r="E154" s="2">
        <f t="shared" si="3"/>
        <v>0</v>
      </c>
      <c r="F154" s="9"/>
      <c r="G154" s="9"/>
      <c r="H154" s="2">
        <f>IF(SUM(F154:G154)&gt;Instructions!$B$5,"Error",SUM(F154:G154))</f>
        <v>0</v>
      </c>
      <c r="I154" s="8"/>
    </row>
    <row r="155" spans="1:9" ht="29.45" customHeight="1">
      <c r="A155" s="8"/>
      <c r="B155" s="8"/>
      <c r="C155" s="2">
        <f>F155/Instructions!$B$5</f>
        <v>0</v>
      </c>
      <c r="D155" s="2">
        <f>G155/Instructions!$B$5</f>
        <v>0</v>
      </c>
      <c r="E155" s="2">
        <f t="shared" si="3"/>
        <v>0</v>
      </c>
      <c r="F155" s="9"/>
      <c r="G155" s="9"/>
      <c r="H155" s="2">
        <f>IF(SUM(F155:G155)&gt;Instructions!$B$5,"Error",SUM(F155:G155))</f>
        <v>0</v>
      </c>
      <c r="I155" s="8"/>
    </row>
    <row r="156" spans="1:9" ht="29.45" customHeight="1">
      <c r="A156" s="8"/>
      <c r="B156" s="8"/>
      <c r="C156" s="2">
        <f>F156/Instructions!$B$5</f>
        <v>0</v>
      </c>
      <c r="D156" s="2">
        <f>G156/Instructions!$B$5</f>
        <v>0</v>
      </c>
      <c r="E156" s="2">
        <f t="shared" si="3"/>
        <v>0</v>
      </c>
      <c r="F156" s="9"/>
      <c r="G156" s="9"/>
      <c r="H156" s="2">
        <f>IF(SUM(F156:G156)&gt;Instructions!$B$5,"Error",SUM(F156:G156))</f>
        <v>0</v>
      </c>
      <c r="I156" s="8"/>
    </row>
    <row r="157" spans="1:9" ht="29.45" customHeight="1">
      <c r="A157" s="8"/>
      <c r="B157" s="8"/>
      <c r="C157" s="2">
        <f>F157/Instructions!$B$5</f>
        <v>0</v>
      </c>
      <c r="D157" s="2">
        <f>G157/Instructions!$B$5</f>
        <v>0</v>
      </c>
      <c r="E157" s="2">
        <f t="shared" si="3"/>
        <v>0</v>
      </c>
      <c r="F157" s="9"/>
      <c r="G157" s="9"/>
      <c r="H157" s="2">
        <f>IF(SUM(F157:G157)&gt;Instructions!$B$5,"Error",SUM(F157:G157))</f>
        <v>0</v>
      </c>
      <c r="I157" s="8"/>
    </row>
    <row r="158" spans="1:9" ht="29.45" customHeight="1">
      <c r="A158" s="8"/>
      <c r="B158" s="8"/>
      <c r="C158" s="2">
        <f>F158/Instructions!$B$5</f>
        <v>0</v>
      </c>
      <c r="D158" s="2">
        <f>G158/Instructions!$B$5</f>
        <v>0</v>
      </c>
      <c r="E158" s="2">
        <f t="shared" si="3"/>
        <v>0</v>
      </c>
      <c r="F158" s="9"/>
      <c r="G158" s="9"/>
      <c r="H158" s="2">
        <f>IF(SUM(F158:G158)&gt;Instructions!$B$5,"Error",SUM(F158:G158))</f>
        <v>0</v>
      </c>
      <c r="I158" s="8"/>
    </row>
    <row r="159" spans="1:9" ht="29.45" customHeight="1">
      <c r="A159" s="8"/>
      <c r="B159" s="8"/>
      <c r="C159" s="2">
        <f>F159/Instructions!$B$5</f>
        <v>0</v>
      </c>
      <c r="D159" s="2">
        <f>G159/Instructions!$B$5</f>
        <v>0</v>
      </c>
      <c r="E159" s="2">
        <f t="shared" si="3"/>
        <v>0</v>
      </c>
      <c r="F159" s="9"/>
      <c r="G159" s="9"/>
      <c r="H159" s="2">
        <f>IF(SUM(F159:G159)&gt;Instructions!$B$5,"Error",SUM(F159:G159))</f>
        <v>0</v>
      </c>
      <c r="I159" s="8"/>
    </row>
    <row r="160" spans="1:9" ht="29.45" customHeight="1">
      <c r="A160" s="8"/>
      <c r="B160" s="8"/>
      <c r="C160" s="2">
        <f>F160/Instructions!$B$5</f>
        <v>0</v>
      </c>
      <c r="D160" s="2">
        <f>G160/Instructions!$B$5</f>
        <v>0</v>
      </c>
      <c r="E160" s="2">
        <f t="shared" si="3"/>
        <v>0</v>
      </c>
      <c r="F160" s="9"/>
      <c r="G160" s="9"/>
      <c r="H160" s="2">
        <f>IF(SUM(F160:G160)&gt;Instructions!$B$5,"Error",SUM(F160:G160))</f>
        <v>0</v>
      </c>
      <c r="I160" s="8"/>
    </row>
    <row r="161" spans="1:9" ht="29.45" customHeight="1">
      <c r="A161" s="8"/>
      <c r="B161" s="8"/>
      <c r="C161" s="2">
        <f>F161/Instructions!$B$5</f>
        <v>0</v>
      </c>
      <c r="D161" s="2">
        <f>G161/Instructions!$B$5</f>
        <v>0</v>
      </c>
      <c r="E161" s="2">
        <f t="shared" si="3"/>
        <v>0</v>
      </c>
      <c r="F161" s="9"/>
      <c r="G161" s="9"/>
      <c r="H161" s="2">
        <f>IF(SUM(F161:G161)&gt;Instructions!$B$5,"Error",SUM(F161:G161))</f>
        <v>0</v>
      </c>
      <c r="I161" s="8"/>
    </row>
    <row r="162" spans="1:9" ht="29.45" customHeight="1">
      <c r="A162" s="8"/>
      <c r="B162" s="8"/>
      <c r="C162" s="2">
        <f>F162/Instructions!$B$5</f>
        <v>0</v>
      </c>
      <c r="D162" s="2">
        <f>G162/Instructions!$B$5</f>
        <v>0</v>
      </c>
      <c r="E162" s="2">
        <f t="shared" si="3"/>
        <v>0</v>
      </c>
      <c r="F162" s="9"/>
      <c r="G162" s="9"/>
      <c r="H162" s="2">
        <f>IF(SUM(F162:G162)&gt;Instructions!$B$5,"Error",SUM(F162:G162))</f>
        <v>0</v>
      </c>
      <c r="I162" s="8"/>
    </row>
    <row r="163" spans="1:9" ht="29.45" customHeight="1">
      <c r="A163" s="8"/>
      <c r="B163" s="8"/>
      <c r="C163" s="2">
        <f>F163/Instructions!$B$5</f>
        <v>0</v>
      </c>
      <c r="D163" s="2">
        <f>G163/Instructions!$B$5</f>
        <v>0</v>
      </c>
      <c r="E163" s="2">
        <f t="shared" si="3"/>
        <v>0</v>
      </c>
      <c r="F163" s="9"/>
      <c r="G163" s="9"/>
      <c r="H163" s="2">
        <f>IF(SUM(F163:G163)&gt;Instructions!$B$5,"Error",SUM(F163:G163))</f>
        <v>0</v>
      </c>
      <c r="I163" s="8"/>
    </row>
    <row r="164" spans="1:9" ht="29.45" customHeight="1">
      <c r="A164" s="8"/>
      <c r="B164" s="8"/>
      <c r="C164" s="2">
        <f>F164/Instructions!$B$5</f>
        <v>0</v>
      </c>
      <c r="D164" s="2">
        <f>G164/Instructions!$B$5</f>
        <v>0</v>
      </c>
      <c r="E164" s="2">
        <f t="shared" si="3"/>
        <v>0</v>
      </c>
      <c r="F164" s="9"/>
      <c r="G164" s="9"/>
      <c r="H164" s="2">
        <f>IF(SUM(F164:G164)&gt;Instructions!$B$5,"Error",SUM(F164:G164))</f>
        <v>0</v>
      </c>
      <c r="I164" s="8"/>
    </row>
    <row r="165" spans="1:9" ht="29.45" customHeight="1">
      <c r="A165" s="8"/>
      <c r="B165" s="8"/>
      <c r="C165" s="2">
        <f>F165/Instructions!$B$5</f>
        <v>0</v>
      </c>
      <c r="D165" s="2">
        <f>G165/Instructions!$B$5</f>
        <v>0</v>
      </c>
      <c r="E165" s="2">
        <f t="shared" si="3"/>
        <v>0</v>
      </c>
      <c r="F165" s="9"/>
      <c r="G165" s="9"/>
      <c r="H165" s="2">
        <f>IF(SUM(F165:G165)&gt;Instructions!$B$5,"Error",SUM(F165:G165))</f>
        <v>0</v>
      </c>
      <c r="I165" s="8"/>
    </row>
    <row r="166" spans="1:9" ht="29.45" customHeight="1">
      <c r="A166" s="8"/>
      <c r="B166" s="8"/>
      <c r="C166" s="2">
        <f>F166/Instructions!$B$5</f>
        <v>0</v>
      </c>
      <c r="D166" s="2">
        <f>G166/Instructions!$B$5</f>
        <v>0</v>
      </c>
      <c r="E166" s="2">
        <f t="shared" si="3"/>
        <v>0</v>
      </c>
      <c r="F166" s="9"/>
      <c r="G166" s="9"/>
      <c r="H166" s="2">
        <f>IF(SUM(F166:G166)&gt;Instructions!$B$5,"Error",SUM(F166:G166))</f>
        <v>0</v>
      </c>
      <c r="I166" s="8"/>
    </row>
    <row r="167" spans="1:9" ht="29.45" customHeight="1">
      <c r="A167" s="8"/>
      <c r="B167" s="8"/>
      <c r="C167" s="2">
        <f>F167/Instructions!$B$5</f>
        <v>0</v>
      </c>
      <c r="D167" s="2">
        <f>G167/Instructions!$B$5</f>
        <v>0</v>
      </c>
      <c r="E167" s="2">
        <f t="shared" si="3"/>
        <v>0</v>
      </c>
      <c r="F167" s="9"/>
      <c r="G167" s="9"/>
      <c r="H167" s="2">
        <f>IF(SUM(F167:G167)&gt;Instructions!$B$5,"Error",SUM(F167:G167))</f>
        <v>0</v>
      </c>
      <c r="I167" s="8"/>
    </row>
    <row r="168" spans="1:9" ht="29.45" customHeight="1">
      <c r="A168" s="8"/>
      <c r="B168" s="8"/>
      <c r="C168" s="2">
        <f>F168/Instructions!$B$5</f>
        <v>0</v>
      </c>
      <c r="D168" s="2">
        <f>G168/Instructions!$B$5</f>
        <v>0</v>
      </c>
      <c r="E168" s="2">
        <f t="shared" si="3"/>
        <v>0</v>
      </c>
      <c r="F168" s="9"/>
      <c r="G168" s="9"/>
      <c r="H168" s="2">
        <f>IF(SUM(F168:G168)&gt;Instructions!$B$5,"Error",SUM(F168:G168))</f>
        <v>0</v>
      </c>
      <c r="I168" s="8"/>
    </row>
    <row r="169" spans="1:9" ht="29.45" customHeight="1">
      <c r="A169" s="8"/>
      <c r="B169" s="8"/>
      <c r="C169" s="2">
        <f>F169/Instructions!$B$5</f>
        <v>0</v>
      </c>
      <c r="D169" s="2">
        <f>G169/Instructions!$B$5</f>
        <v>0</v>
      </c>
      <c r="E169" s="2">
        <f t="shared" si="3"/>
        <v>0</v>
      </c>
      <c r="F169" s="9"/>
      <c r="G169" s="9"/>
      <c r="H169" s="2">
        <f>IF(SUM(F169:G169)&gt;Instructions!$B$5,"Error",SUM(F169:G169))</f>
        <v>0</v>
      </c>
      <c r="I169" s="8"/>
    </row>
    <row r="170" spans="1:9" ht="29.45" customHeight="1">
      <c r="A170" s="8"/>
      <c r="B170" s="8"/>
      <c r="C170" s="2">
        <f>F170/Instructions!$B$5</f>
        <v>0</v>
      </c>
      <c r="D170" s="2">
        <f>G170/Instructions!$B$5</f>
        <v>0</v>
      </c>
      <c r="E170" s="2">
        <f t="shared" si="3"/>
        <v>0</v>
      </c>
      <c r="F170" s="9"/>
      <c r="G170" s="9"/>
      <c r="H170" s="2">
        <f>IF(SUM(F170:G170)&gt;Instructions!$B$5,"Error",SUM(F170:G170))</f>
        <v>0</v>
      </c>
      <c r="I170" s="8"/>
    </row>
    <row r="171" spans="1:9" ht="29.45" customHeight="1">
      <c r="A171" s="8"/>
      <c r="B171" s="8"/>
      <c r="C171" s="2">
        <f>F171/Instructions!$B$5</f>
        <v>0</v>
      </c>
      <c r="D171" s="2">
        <f>G171/Instructions!$B$5</f>
        <v>0</v>
      </c>
      <c r="E171" s="2">
        <f t="shared" si="3"/>
        <v>0</v>
      </c>
      <c r="F171" s="9"/>
      <c r="G171" s="9"/>
      <c r="H171" s="2">
        <f>IF(SUM(F171:G171)&gt;Instructions!$B$5,"Error",SUM(F171:G171))</f>
        <v>0</v>
      </c>
      <c r="I171" s="8"/>
    </row>
    <row r="172" spans="1:9" ht="29.45" customHeight="1">
      <c r="A172" s="8"/>
      <c r="B172" s="8"/>
      <c r="C172" s="2">
        <f>F172/Instructions!$B$5</f>
        <v>0</v>
      </c>
      <c r="D172" s="2">
        <f>G172/Instructions!$B$5</f>
        <v>0</v>
      </c>
      <c r="E172" s="2">
        <f t="shared" si="3"/>
        <v>0</v>
      </c>
      <c r="F172" s="9"/>
      <c r="G172" s="9"/>
      <c r="H172" s="2">
        <f>IF(SUM(F172:G172)&gt;Instructions!$B$5,"Error",SUM(F172:G172))</f>
        <v>0</v>
      </c>
      <c r="I172" s="8"/>
    </row>
    <row r="173" spans="1:9" ht="29.45" customHeight="1">
      <c r="A173" s="8"/>
      <c r="B173" s="8"/>
      <c r="C173" s="2">
        <f>F173/Instructions!$B$5</f>
        <v>0</v>
      </c>
      <c r="D173" s="2">
        <f>G173/Instructions!$B$5</f>
        <v>0</v>
      </c>
      <c r="E173" s="2">
        <f t="shared" si="3"/>
        <v>0</v>
      </c>
      <c r="F173" s="9"/>
      <c r="G173" s="9"/>
      <c r="H173" s="2">
        <f>IF(SUM(F173:G173)&gt;Instructions!$B$5,"Error",SUM(F173:G173))</f>
        <v>0</v>
      </c>
      <c r="I173" s="8"/>
    </row>
    <row r="174" spans="1:9" ht="29.45" customHeight="1">
      <c r="A174" s="8"/>
      <c r="B174" s="8"/>
      <c r="C174" s="2">
        <f>F174/Instructions!$B$5</f>
        <v>0</v>
      </c>
      <c r="D174" s="2">
        <f>G174/Instructions!$B$5</f>
        <v>0</v>
      </c>
      <c r="E174" s="2">
        <f t="shared" si="3"/>
        <v>0</v>
      </c>
      <c r="F174" s="9"/>
      <c r="G174" s="9"/>
      <c r="H174" s="2">
        <f>IF(SUM(F174:G174)&gt;Instructions!$B$5,"Error",SUM(F174:G174))</f>
        <v>0</v>
      </c>
      <c r="I174" s="8"/>
    </row>
    <row r="175" spans="1:9" ht="29.45" customHeight="1">
      <c r="A175" s="8"/>
      <c r="B175" s="8"/>
      <c r="C175" s="2">
        <f>F175/Instructions!$B$5</f>
        <v>0</v>
      </c>
      <c r="D175" s="2">
        <f>G175/Instructions!$B$5</f>
        <v>0</v>
      </c>
      <c r="E175" s="2">
        <f t="shared" si="3"/>
        <v>0</v>
      </c>
      <c r="F175" s="9"/>
      <c r="G175" s="9"/>
      <c r="H175" s="2">
        <f>IF(SUM(F175:G175)&gt;Instructions!$B$5,"Error",SUM(F175:G175))</f>
        <v>0</v>
      </c>
      <c r="I175" s="8"/>
    </row>
    <row r="176" spans="1:9" ht="29.45" customHeight="1">
      <c r="A176" s="8"/>
      <c r="B176" s="8"/>
      <c r="C176" s="2">
        <f>F176/Instructions!$B$5</f>
        <v>0</v>
      </c>
      <c r="D176" s="2">
        <f>G176/Instructions!$B$5</f>
        <v>0</v>
      </c>
      <c r="E176" s="2">
        <f t="shared" si="3"/>
        <v>0</v>
      </c>
      <c r="F176" s="9"/>
      <c r="G176" s="9"/>
      <c r="H176" s="2">
        <f>IF(SUM(F176:G176)&gt;Instructions!$B$5,"Error",SUM(F176:G176))</f>
        <v>0</v>
      </c>
      <c r="I176" s="8"/>
    </row>
    <row r="177" spans="1:9" ht="29.45" customHeight="1">
      <c r="A177" s="8"/>
      <c r="B177" s="8"/>
      <c r="C177" s="2">
        <f>F177/Instructions!$B$5</f>
        <v>0</v>
      </c>
      <c r="D177" s="2">
        <f>G177/Instructions!$B$5</f>
        <v>0</v>
      </c>
      <c r="E177" s="2">
        <f t="shared" si="3"/>
        <v>0</v>
      </c>
      <c r="F177" s="9"/>
      <c r="G177" s="9"/>
      <c r="H177" s="2">
        <f>IF(SUM(F177:G177)&gt;Instructions!$B$5,"Error",SUM(F177:G177))</f>
        <v>0</v>
      </c>
      <c r="I177" s="8"/>
    </row>
    <row r="178" spans="1:9" ht="29.45" customHeight="1">
      <c r="A178" s="8"/>
      <c r="B178" s="8"/>
      <c r="C178" s="2">
        <f>F178/Instructions!$B$5</f>
        <v>0</v>
      </c>
      <c r="D178" s="2">
        <f>G178/Instructions!$B$5</f>
        <v>0</v>
      </c>
      <c r="E178" s="2">
        <f t="shared" si="3"/>
        <v>0</v>
      </c>
      <c r="F178" s="9"/>
      <c r="G178" s="9"/>
      <c r="H178" s="2">
        <f>IF(SUM(F178:G178)&gt;Instructions!$B$5,"Error",SUM(F178:G178))</f>
        <v>0</v>
      </c>
      <c r="I178" s="8"/>
    </row>
    <row r="179" spans="1:9" ht="29.45" customHeight="1">
      <c r="A179" s="8"/>
      <c r="B179" s="8"/>
      <c r="C179" s="2">
        <f>F179/Instructions!$B$5</f>
        <v>0</v>
      </c>
      <c r="D179" s="2">
        <f>G179/Instructions!$B$5</f>
        <v>0</v>
      </c>
      <c r="E179" s="2">
        <f t="shared" si="3"/>
        <v>0</v>
      </c>
      <c r="F179" s="9"/>
      <c r="G179" s="9"/>
      <c r="H179" s="2">
        <f>IF(SUM(F179:G179)&gt;Instructions!$B$5,"Error",SUM(F179:G179))</f>
        <v>0</v>
      </c>
      <c r="I179" s="8"/>
    </row>
    <row r="180" spans="1:9" ht="29.45" customHeight="1">
      <c r="A180" s="8"/>
      <c r="B180" s="8"/>
      <c r="C180" s="2">
        <f>F180/Instructions!$B$5</f>
        <v>0</v>
      </c>
      <c r="D180" s="2">
        <f>G180/Instructions!$B$5</f>
        <v>0</v>
      </c>
      <c r="E180" s="2">
        <f t="shared" si="3"/>
        <v>0</v>
      </c>
      <c r="F180" s="9"/>
      <c r="G180" s="9"/>
      <c r="H180" s="2">
        <f>IF(SUM(F180:G180)&gt;Instructions!$B$5,"Error",SUM(F180:G180))</f>
        <v>0</v>
      </c>
      <c r="I180" s="8"/>
    </row>
    <row r="181" spans="1:9" ht="29.45" customHeight="1">
      <c r="A181" s="8"/>
      <c r="B181" s="8"/>
      <c r="C181" s="2">
        <f>F181/Instructions!$B$5</f>
        <v>0</v>
      </c>
      <c r="D181" s="2">
        <f>G181/Instructions!$B$5</f>
        <v>0</v>
      </c>
      <c r="E181" s="2">
        <f t="shared" si="3"/>
        <v>0</v>
      </c>
      <c r="F181" s="9"/>
      <c r="G181" s="9"/>
      <c r="H181" s="2">
        <f>IF(SUM(F181:G181)&gt;Instructions!$B$5,"Error",SUM(F181:G181))</f>
        <v>0</v>
      </c>
      <c r="I181" s="8"/>
    </row>
    <row r="182" spans="1:9" ht="29.45" customHeight="1">
      <c r="A182" s="8"/>
      <c r="B182" s="8"/>
      <c r="C182" s="2">
        <f>F182/Instructions!$B$5</f>
        <v>0</v>
      </c>
      <c r="D182" s="2">
        <f>G182/Instructions!$B$5</f>
        <v>0</v>
      </c>
      <c r="E182" s="2">
        <f t="shared" si="3"/>
        <v>0</v>
      </c>
      <c r="F182" s="9"/>
      <c r="G182" s="9"/>
      <c r="H182" s="2">
        <f>IF(SUM(F182:G182)&gt;Instructions!$B$5,"Error",SUM(F182:G182))</f>
        <v>0</v>
      </c>
      <c r="I182" s="8"/>
    </row>
    <row r="183" spans="1:9" ht="29.45" customHeight="1">
      <c r="A183" s="8"/>
      <c r="B183" s="8"/>
      <c r="C183" s="2">
        <f>F183/Instructions!$B$5</f>
        <v>0</v>
      </c>
      <c r="D183" s="2">
        <f>G183/Instructions!$B$5</f>
        <v>0</v>
      </c>
      <c r="E183" s="2">
        <f t="shared" si="3"/>
        <v>0</v>
      </c>
      <c r="F183" s="9"/>
      <c r="G183" s="9"/>
      <c r="H183" s="2">
        <f>IF(SUM(F183:G183)&gt;Instructions!$B$5,"Error",SUM(F183:G183))</f>
        <v>0</v>
      </c>
      <c r="I183" s="8"/>
    </row>
    <row r="184" spans="1:9" ht="29.45" customHeight="1">
      <c r="A184" s="8"/>
      <c r="B184" s="8"/>
      <c r="C184" s="2">
        <f>F184/Instructions!$B$5</f>
        <v>0</v>
      </c>
      <c r="D184" s="2">
        <f>G184/Instructions!$B$5</f>
        <v>0</v>
      </c>
      <c r="E184" s="2">
        <f t="shared" si="3"/>
        <v>0</v>
      </c>
      <c r="F184" s="9"/>
      <c r="G184" s="9"/>
      <c r="H184" s="2">
        <f>IF(SUM(F184:G184)&gt;Instructions!$B$5,"Error",SUM(F184:G184))</f>
        <v>0</v>
      </c>
      <c r="I184" s="8"/>
    </row>
    <row r="185" spans="1:9" ht="29.45" customHeight="1">
      <c r="A185" s="8"/>
      <c r="B185" s="8"/>
      <c r="C185" s="2">
        <f>F185/Instructions!$B$5</f>
        <v>0</v>
      </c>
      <c r="D185" s="2">
        <f>G185/Instructions!$B$5</f>
        <v>0</v>
      </c>
      <c r="E185" s="2">
        <f t="shared" si="3"/>
        <v>0</v>
      </c>
      <c r="F185" s="9"/>
      <c r="G185" s="9"/>
      <c r="H185" s="2">
        <f>IF(SUM(F185:G185)&gt;Instructions!$B$5,"Error",SUM(F185:G185))</f>
        <v>0</v>
      </c>
      <c r="I185" s="8"/>
    </row>
    <row r="186" spans="1:9" ht="29.45" customHeight="1">
      <c r="A186" s="8"/>
      <c r="B186" s="8"/>
      <c r="C186" s="2">
        <f>F186/Instructions!$B$5</f>
        <v>0</v>
      </c>
      <c r="D186" s="2">
        <f>G186/Instructions!$B$5</f>
        <v>0</v>
      </c>
      <c r="E186" s="2">
        <f t="shared" si="3"/>
        <v>0</v>
      </c>
      <c r="F186" s="9"/>
      <c r="G186" s="9"/>
      <c r="H186" s="2">
        <f>IF(SUM(F186:G186)&gt;Instructions!$B$5,"Error",SUM(F186:G186))</f>
        <v>0</v>
      </c>
      <c r="I186" s="8"/>
    </row>
    <row r="187" spans="1:9" ht="29.45" customHeight="1">
      <c r="A187" s="8"/>
      <c r="B187" s="8"/>
      <c r="C187" s="2">
        <f>F187/Instructions!$B$5</f>
        <v>0</v>
      </c>
      <c r="D187" s="2">
        <f>G187/Instructions!$B$5</f>
        <v>0</v>
      </c>
      <c r="E187" s="2">
        <f t="shared" si="3"/>
        <v>0</v>
      </c>
      <c r="F187" s="9"/>
      <c r="G187" s="9"/>
      <c r="H187" s="2">
        <f>IF(SUM(F187:G187)&gt;Instructions!$B$5,"Error",SUM(F187:G187))</f>
        <v>0</v>
      </c>
      <c r="I187" s="8"/>
    </row>
    <row r="188" spans="1:9" ht="29.45" customHeight="1">
      <c r="A188" s="8"/>
      <c r="B188" s="8"/>
      <c r="C188" s="2">
        <f>F188/Instructions!$B$5</f>
        <v>0</v>
      </c>
      <c r="D188" s="2">
        <f>G188/Instructions!$B$5</f>
        <v>0</v>
      </c>
      <c r="E188" s="2">
        <f t="shared" si="3"/>
        <v>0</v>
      </c>
      <c r="F188" s="9"/>
      <c r="G188" s="9"/>
      <c r="H188" s="2">
        <f>IF(SUM(F188:G188)&gt;Instructions!$B$5,"Error",SUM(F188:G188))</f>
        <v>0</v>
      </c>
      <c r="I188" s="8"/>
    </row>
    <row r="189" spans="1:9" ht="29.45" customHeight="1">
      <c r="A189" s="8"/>
      <c r="B189" s="8"/>
      <c r="C189" s="2">
        <f>F189/Instructions!$B$5</f>
        <v>0</v>
      </c>
      <c r="D189" s="2">
        <f>G189/Instructions!$B$5</f>
        <v>0</v>
      </c>
      <c r="E189" s="2">
        <f t="shared" si="3"/>
        <v>0</v>
      </c>
      <c r="F189" s="9"/>
      <c r="G189" s="9"/>
      <c r="H189" s="2">
        <f>IF(SUM(F189:G189)&gt;Instructions!$B$5,"Error",SUM(F189:G189))</f>
        <v>0</v>
      </c>
      <c r="I189" s="8"/>
    </row>
    <row r="190" spans="1:9" ht="29.45" customHeight="1">
      <c r="A190" s="8"/>
      <c r="B190" s="8"/>
      <c r="C190" s="2">
        <f>F190/Instructions!$B$5</f>
        <v>0</v>
      </c>
      <c r="D190" s="2">
        <f>G190/Instructions!$B$5</f>
        <v>0</v>
      </c>
      <c r="E190" s="2">
        <f t="shared" si="3"/>
        <v>0</v>
      </c>
      <c r="F190" s="9"/>
      <c r="G190" s="9"/>
      <c r="H190" s="2">
        <f>IF(SUM(F190:G190)&gt;Instructions!$B$5,"Error",SUM(F190:G190))</f>
        <v>0</v>
      </c>
      <c r="I190" s="8"/>
    </row>
    <row r="191" spans="1:9" ht="29.45" customHeight="1">
      <c r="A191" s="8"/>
      <c r="B191" s="8"/>
      <c r="C191" s="2">
        <f>F191/Instructions!$B$5</f>
        <v>0</v>
      </c>
      <c r="D191" s="2">
        <f>G191/Instructions!$B$5</f>
        <v>0</v>
      </c>
      <c r="E191" s="2">
        <f t="shared" si="3"/>
        <v>0</v>
      </c>
      <c r="F191" s="9"/>
      <c r="G191" s="9"/>
      <c r="H191" s="2">
        <f>IF(SUM(F191:G191)&gt;Instructions!$B$5,"Error",SUM(F191:G191))</f>
        <v>0</v>
      </c>
      <c r="I191" s="8"/>
    </row>
    <row r="192" spans="1:9" ht="29.45" customHeight="1">
      <c r="A192" s="8"/>
      <c r="B192" s="8"/>
      <c r="C192" s="2">
        <f>F192/Instructions!$B$5</f>
        <v>0</v>
      </c>
      <c r="D192" s="2">
        <f>G192/Instructions!$B$5</f>
        <v>0</v>
      </c>
      <c r="E192" s="2">
        <f t="shared" si="3"/>
        <v>0</v>
      </c>
      <c r="F192" s="9"/>
      <c r="G192" s="9"/>
      <c r="H192" s="2">
        <f>IF(SUM(F192:G192)&gt;Instructions!$B$5,"Error",SUM(F192:G192))</f>
        <v>0</v>
      </c>
      <c r="I192" s="8"/>
    </row>
    <row r="193" spans="1:9" ht="29.45" customHeight="1">
      <c r="A193" s="8"/>
      <c r="B193" s="8"/>
      <c r="C193" s="2">
        <f>F193/Instructions!$B$5</f>
        <v>0</v>
      </c>
      <c r="D193" s="2">
        <f>G193/Instructions!$B$5</f>
        <v>0</v>
      </c>
      <c r="E193" s="2">
        <f t="shared" si="3"/>
        <v>0</v>
      </c>
      <c r="F193" s="9"/>
      <c r="G193" s="9"/>
      <c r="H193" s="2">
        <f>IF(SUM(F193:G193)&gt;Instructions!$B$5,"Error",SUM(F193:G193))</f>
        <v>0</v>
      </c>
      <c r="I193" s="8"/>
    </row>
    <row r="194" spans="1:9" ht="29.45" customHeight="1">
      <c r="A194" s="8"/>
      <c r="B194" s="8"/>
      <c r="C194" s="2">
        <f>F194/Instructions!$B$5</f>
        <v>0</v>
      </c>
      <c r="D194" s="2">
        <f>G194/Instructions!$B$5</f>
        <v>0</v>
      </c>
      <c r="E194" s="2">
        <f t="shared" si="3"/>
        <v>0</v>
      </c>
      <c r="F194" s="9"/>
      <c r="G194" s="9"/>
      <c r="H194" s="2">
        <f>IF(SUM(F194:G194)&gt;Instructions!$B$5,"Error",SUM(F194:G194))</f>
        <v>0</v>
      </c>
      <c r="I194" s="8"/>
    </row>
    <row r="195" spans="1:9" ht="29.45" customHeight="1">
      <c r="A195" s="8"/>
      <c r="B195" s="8"/>
      <c r="C195" s="2">
        <f>F195/Instructions!$B$5</f>
        <v>0</v>
      </c>
      <c r="D195" s="2">
        <f>G195/Instructions!$B$5</f>
        <v>0</v>
      </c>
      <c r="E195" s="2">
        <f t="shared" si="3"/>
        <v>0</v>
      </c>
      <c r="F195" s="9"/>
      <c r="G195" s="9"/>
      <c r="H195" s="2">
        <f>IF(SUM(F195:G195)&gt;Instructions!$B$5,"Error",SUM(F195:G195))</f>
        <v>0</v>
      </c>
      <c r="I195" s="8"/>
    </row>
    <row r="196" spans="1:9" ht="29.45" customHeight="1">
      <c r="A196" s="8"/>
      <c r="B196" s="8"/>
      <c r="C196" s="2">
        <f>F196/Instructions!$B$5</f>
        <v>0</v>
      </c>
      <c r="D196" s="2">
        <f>G196/Instructions!$B$5</f>
        <v>0</v>
      </c>
      <c r="E196" s="2">
        <f t="shared" si="3"/>
        <v>0</v>
      </c>
      <c r="F196" s="9"/>
      <c r="G196" s="9"/>
      <c r="H196" s="2">
        <f>IF(SUM(F196:G196)&gt;Instructions!$B$5,"Error",SUM(F196:G196))</f>
        <v>0</v>
      </c>
      <c r="I196" s="8"/>
    </row>
    <row r="197" spans="1:9" ht="29.45" customHeight="1">
      <c r="A197" s="8"/>
      <c r="B197" s="8"/>
      <c r="C197" s="2">
        <f>F197/Instructions!$B$5</f>
        <v>0</v>
      </c>
      <c r="D197" s="2">
        <f>G197/Instructions!$B$5</f>
        <v>0</v>
      </c>
      <c r="E197" s="2">
        <f t="shared" si="3"/>
        <v>0</v>
      </c>
      <c r="F197" s="9"/>
      <c r="G197" s="9"/>
      <c r="H197" s="2">
        <f>IF(SUM(F197:G197)&gt;Instructions!$B$5,"Error",SUM(F197:G197))</f>
        <v>0</v>
      </c>
      <c r="I197" s="8"/>
    </row>
    <row r="198" spans="1:9" ht="29.45" customHeight="1">
      <c r="A198" s="8"/>
      <c r="B198" s="8"/>
      <c r="C198" s="2">
        <f>F198/Instructions!$B$5</f>
        <v>0</v>
      </c>
      <c r="D198" s="2">
        <f>G198/Instructions!$B$5</f>
        <v>0</v>
      </c>
      <c r="E198" s="2">
        <f t="shared" si="3"/>
        <v>0</v>
      </c>
      <c r="F198" s="9"/>
      <c r="G198" s="9"/>
      <c r="H198" s="2">
        <f>IF(SUM(F198:G198)&gt;Instructions!$B$5,"Error",SUM(F198:G198))</f>
        <v>0</v>
      </c>
      <c r="I198" s="8"/>
    </row>
    <row r="199" spans="1:9" ht="29.45" customHeight="1">
      <c r="A199" s="8"/>
      <c r="B199" s="8"/>
      <c r="C199" s="2">
        <f>F199/Instructions!$B$5</f>
        <v>0</v>
      </c>
      <c r="D199" s="2">
        <f>G199/Instructions!$B$5</f>
        <v>0</v>
      </c>
      <c r="E199" s="2">
        <f t="shared" si="3"/>
        <v>0</v>
      </c>
      <c r="F199" s="9"/>
      <c r="G199" s="9"/>
      <c r="H199" s="2">
        <f>IF(SUM(F199:G199)&gt;Instructions!$B$5,"Error",SUM(F199:G199))</f>
        <v>0</v>
      </c>
      <c r="I199" s="8"/>
    </row>
    <row r="200" spans="1:9" ht="29.45" customHeight="1">
      <c r="A200" s="8"/>
      <c r="B200" s="8"/>
      <c r="C200" s="2">
        <f>F200/Instructions!$B$5</f>
        <v>0</v>
      </c>
      <c r="D200" s="2">
        <f>G200/Instructions!$B$5</f>
        <v>0</v>
      </c>
      <c r="E200" s="2">
        <f t="shared" ref="E200:E263" si="4">IF(SUM(C200:D200)&gt;1,"Error",SUM(C200:D200))</f>
        <v>0</v>
      </c>
      <c r="F200" s="9"/>
      <c r="G200" s="9"/>
      <c r="H200" s="2">
        <f>IF(SUM(F200:G200)&gt;Instructions!$B$5,"Error",SUM(F200:G200))</f>
        <v>0</v>
      </c>
      <c r="I200" s="8"/>
    </row>
    <row r="201" spans="1:9" ht="29.45" customHeight="1">
      <c r="A201" s="8"/>
      <c r="B201" s="8"/>
      <c r="C201" s="2">
        <f>F201/Instructions!$B$5</f>
        <v>0</v>
      </c>
      <c r="D201" s="2">
        <f>G201/Instructions!$B$5</f>
        <v>0</v>
      </c>
      <c r="E201" s="2">
        <f t="shared" si="4"/>
        <v>0</v>
      </c>
      <c r="F201" s="9"/>
      <c r="G201" s="9"/>
      <c r="H201" s="2">
        <f>IF(SUM(F201:G201)&gt;Instructions!$B$5,"Error",SUM(F201:G201))</f>
        <v>0</v>
      </c>
      <c r="I201" s="8"/>
    </row>
    <row r="202" spans="1:9" ht="29.45" customHeight="1">
      <c r="A202" s="8"/>
      <c r="B202" s="8"/>
      <c r="C202" s="2">
        <f>F202/Instructions!$B$5</f>
        <v>0</v>
      </c>
      <c r="D202" s="2">
        <f>G202/Instructions!$B$5</f>
        <v>0</v>
      </c>
      <c r="E202" s="2">
        <f t="shared" si="4"/>
        <v>0</v>
      </c>
      <c r="F202" s="9"/>
      <c r="G202" s="9"/>
      <c r="H202" s="2">
        <f>IF(SUM(F202:G202)&gt;Instructions!$B$5,"Error",SUM(F202:G202))</f>
        <v>0</v>
      </c>
      <c r="I202" s="8"/>
    </row>
    <row r="203" spans="1:9" ht="29.45" customHeight="1">
      <c r="A203" s="8"/>
      <c r="B203" s="8"/>
      <c r="C203" s="2">
        <f>F203/Instructions!$B$5</f>
        <v>0</v>
      </c>
      <c r="D203" s="2">
        <f>G203/Instructions!$B$5</f>
        <v>0</v>
      </c>
      <c r="E203" s="2">
        <f t="shared" si="4"/>
        <v>0</v>
      </c>
      <c r="F203" s="9"/>
      <c r="G203" s="9"/>
      <c r="H203" s="2">
        <f>IF(SUM(F203:G203)&gt;Instructions!$B$5,"Error",SUM(F203:G203))</f>
        <v>0</v>
      </c>
      <c r="I203" s="8"/>
    </row>
    <row r="204" spans="1:9" ht="29.45" customHeight="1">
      <c r="A204" s="8"/>
      <c r="B204" s="8"/>
      <c r="C204" s="2">
        <f>F204/Instructions!$B$5</f>
        <v>0</v>
      </c>
      <c r="D204" s="2">
        <f>G204/Instructions!$B$5</f>
        <v>0</v>
      </c>
      <c r="E204" s="2">
        <f t="shared" si="4"/>
        <v>0</v>
      </c>
      <c r="F204" s="9"/>
      <c r="G204" s="9"/>
      <c r="H204" s="2">
        <f>IF(SUM(F204:G204)&gt;Instructions!$B$5,"Error",SUM(F204:G204))</f>
        <v>0</v>
      </c>
      <c r="I204" s="8"/>
    </row>
    <row r="205" spans="1:9" ht="29.45" customHeight="1">
      <c r="A205" s="8"/>
      <c r="B205" s="8"/>
      <c r="C205" s="2">
        <f>F205/Instructions!$B$5</f>
        <v>0</v>
      </c>
      <c r="D205" s="2">
        <f>G205/Instructions!$B$5</f>
        <v>0</v>
      </c>
      <c r="E205" s="2">
        <f t="shared" si="4"/>
        <v>0</v>
      </c>
      <c r="F205" s="9"/>
      <c r="G205" s="9"/>
      <c r="H205" s="2">
        <f>IF(SUM(F205:G205)&gt;Instructions!$B$5,"Error",SUM(F205:G205))</f>
        <v>0</v>
      </c>
      <c r="I205" s="8"/>
    </row>
    <row r="206" spans="1:9" ht="29.45" customHeight="1">
      <c r="A206" s="8"/>
      <c r="B206" s="8"/>
      <c r="C206" s="2">
        <f>F206/Instructions!$B$5</f>
        <v>0</v>
      </c>
      <c r="D206" s="2">
        <f>G206/Instructions!$B$5</f>
        <v>0</v>
      </c>
      <c r="E206" s="2">
        <f t="shared" si="4"/>
        <v>0</v>
      </c>
      <c r="F206" s="9"/>
      <c r="G206" s="9"/>
      <c r="H206" s="2">
        <f>IF(SUM(F206:G206)&gt;Instructions!$B$5,"Error",SUM(F206:G206))</f>
        <v>0</v>
      </c>
      <c r="I206" s="8"/>
    </row>
    <row r="207" spans="1:9" ht="29.45" customHeight="1">
      <c r="A207" s="8"/>
      <c r="B207" s="8"/>
      <c r="C207" s="2">
        <f>F207/Instructions!$B$5</f>
        <v>0</v>
      </c>
      <c r="D207" s="2">
        <f>G207/Instructions!$B$5</f>
        <v>0</v>
      </c>
      <c r="E207" s="2">
        <f t="shared" si="4"/>
        <v>0</v>
      </c>
      <c r="F207" s="9"/>
      <c r="G207" s="9"/>
      <c r="H207" s="2">
        <f>IF(SUM(F207:G207)&gt;Instructions!$B$5,"Error",SUM(F207:G207))</f>
        <v>0</v>
      </c>
      <c r="I207" s="8"/>
    </row>
    <row r="208" spans="1:9" ht="29.45" customHeight="1">
      <c r="A208" s="8"/>
      <c r="B208" s="8"/>
      <c r="C208" s="2">
        <f>F208/Instructions!$B$5</f>
        <v>0</v>
      </c>
      <c r="D208" s="2">
        <f>G208/Instructions!$B$5</f>
        <v>0</v>
      </c>
      <c r="E208" s="2">
        <f t="shared" si="4"/>
        <v>0</v>
      </c>
      <c r="F208" s="9"/>
      <c r="G208" s="9"/>
      <c r="H208" s="2">
        <f>IF(SUM(F208:G208)&gt;Instructions!$B$5,"Error",SUM(F208:G208))</f>
        <v>0</v>
      </c>
      <c r="I208" s="8"/>
    </row>
    <row r="209" spans="1:9" ht="29.45" customHeight="1">
      <c r="A209" s="8"/>
      <c r="B209" s="8"/>
      <c r="C209" s="2">
        <f>F209/Instructions!$B$5</f>
        <v>0</v>
      </c>
      <c r="D209" s="2">
        <f>G209/Instructions!$B$5</f>
        <v>0</v>
      </c>
      <c r="E209" s="2">
        <f t="shared" si="4"/>
        <v>0</v>
      </c>
      <c r="F209" s="9"/>
      <c r="G209" s="9"/>
      <c r="H209" s="2">
        <f>IF(SUM(F209:G209)&gt;Instructions!$B$5,"Error",SUM(F209:G209))</f>
        <v>0</v>
      </c>
      <c r="I209" s="8"/>
    </row>
    <row r="210" spans="1:9" ht="29.45" customHeight="1">
      <c r="A210" s="8"/>
      <c r="B210" s="8"/>
      <c r="C210" s="2">
        <f>F210/Instructions!$B$5</f>
        <v>0</v>
      </c>
      <c r="D210" s="2">
        <f>G210/Instructions!$B$5</f>
        <v>0</v>
      </c>
      <c r="E210" s="2">
        <f t="shared" si="4"/>
        <v>0</v>
      </c>
      <c r="F210" s="9"/>
      <c r="G210" s="9"/>
      <c r="H210" s="2">
        <f>IF(SUM(F210:G210)&gt;Instructions!$B$5,"Error",SUM(F210:G210))</f>
        <v>0</v>
      </c>
      <c r="I210" s="8"/>
    </row>
    <row r="211" spans="1:9" ht="29.45" customHeight="1">
      <c r="A211" s="8"/>
      <c r="B211" s="8"/>
      <c r="C211" s="2">
        <f>F211/Instructions!$B$5</f>
        <v>0</v>
      </c>
      <c r="D211" s="2">
        <f>G211/Instructions!$B$5</f>
        <v>0</v>
      </c>
      <c r="E211" s="2">
        <f t="shared" si="4"/>
        <v>0</v>
      </c>
      <c r="F211" s="9"/>
      <c r="G211" s="9"/>
      <c r="H211" s="2">
        <f>IF(SUM(F211:G211)&gt;Instructions!$B$5,"Error",SUM(F211:G211))</f>
        <v>0</v>
      </c>
      <c r="I211" s="8"/>
    </row>
    <row r="212" spans="1:9" ht="29.45" customHeight="1">
      <c r="A212" s="8"/>
      <c r="B212" s="8"/>
      <c r="C212" s="2">
        <f>F212/Instructions!$B$5</f>
        <v>0</v>
      </c>
      <c r="D212" s="2">
        <f>G212/Instructions!$B$5</f>
        <v>0</v>
      </c>
      <c r="E212" s="2">
        <f t="shared" si="4"/>
        <v>0</v>
      </c>
      <c r="F212" s="9"/>
      <c r="G212" s="9"/>
      <c r="H212" s="2">
        <f>IF(SUM(F212:G212)&gt;Instructions!$B$5,"Error",SUM(F212:G212))</f>
        <v>0</v>
      </c>
      <c r="I212" s="8"/>
    </row>
    <row r="213" spans="1:9" ht="29.45" customHeight="1">
      <c r="A213" s="8"/>
      <c r="B213" s="8"/>
      <c r="C213" s="2">
        <f>F213/Instructions!$B$5</f>
        <v>0</v>
      </c>
      <c r="D213" s="2">
        <f>G213/Instructions!$B$5</f>
        <v>0</v>
      </c>
      <c r="E213" s="2">
        <f t="shared" si="4"/>
        <v>0</v>
      </c>
      <c r="F213" s="9"/>
      <c r="G213" s="9"/>
      <c r="H213" s="2">
        <f>IF(SUM(F213:G213)&gt;Instructions!$B$5,"Error",SUM(F213:G213))</f>
        <v>0</v>
      </c>
      <c r="I213" s="8"/>
    </row>
    <row r="214" spans="1:9" ht="29.45" customHeight="1">
      <c r="A214" s="8"/>
      <c r="B214" s="8"/>
      <c r="C214" s="2">
        <f>F214/Instructions!$B$5</f>
        <v>0</v>
      </c>
      <c r="D214" s="2">
        <f>G214/Instructions!$B$5</f>
        <v>0</v>
      </c>
      <c r="E214" s="2">
        <f t="shared" si="4"/>
        <v>0</v>
      </c>
      <c r="F214" s="9"/>
      <c r="G214" s="9"/>
      <c r="H214" s="2">
        <f>IF(SUM(F214:G214)&gt;Instructions!$B$5,"Error",SUM(F214:G214))</f>
        <v>0</v>
      </c>
      <c r="I214" s="8"/>
    </row>
    <row r="215" spans="1:9" ht="29.45" customHeight="1">
      <c r="A215" s="8"/>
      <c r="B215" s="8"/>
      <c r="C215" s="2">
        <f>F215/Instructions!$B$5</f>
        <v>0</v>
      </c>
      <c r="D215" s="2">
        <f>G215/Instructions!$B$5</f>
        <v>0</v>
      </c>
      <c r="E215" s="2">
        <f t="shared" si="4"/>
        <v>0</v>
      </c>
      <c r="F215" s="9"/>
      <c r="G215" s="9"/>
      <c r="H215" s="2">
        <f>IF(SUM(F215:G215)&gt;Instructions!$B$5,"Error",SUM(F215:G215))</f>
        <v>0</v>
      </c>
      <c r="I215" s="8"/>
    </row>
    <row r="216" spans="1:9" ht="29.45" customHeight="1">
      <c r="A216" s="8"/>
      <c r="B216" s="8"/>
      <c r="C216" s="2">
        <f>F216/Instructions!$B$5</f>
        <v>0</v>
      </c>
      <c r="D216" s="2">
        <f>G216/Instructions!$B$5</f>
        <v>0</v>
      </c>
      <c r="E216" s="2">
        <f t="shared" si="4"/>
        <v>0</v>
      </c>
      <c r="F216" s="9"/>
      <c r="G216" s="9"/>
      <c r="H216" s="2">
        <f>IF(SUM(F216:G216)&gt;Instructions!$B$5,"Error",SUM(F216:G216))</f>
        <v>0</v>
      </c>
      <c r="I216" s="8"/>
    </row>
    <row r="217" spans="1:9" ht="29.45" customHeight="1">
      <c r="A217" s="8"/>
      <c r="B217" s="8"/>
      <c r="C217" s="2">
        <f>F217/Instructions!$B$5</f>
        <v>0</v>
      </c>
      <c r="D217" s="2">
        <f>G217/Instructions!$B$5</f>
        <v>0</v>
      </c>
      <c r="E217" s="2">
        <f t="shared" si="4"/>
        <v>0</v>
      </c>
      <c r="F217" s="9"/>
      <c r="G217" s="9"/>
      <c r="H217" s="2">
        <f>IF(SUM(F217:G217)&gt;Instructions!$B$5,"Error",SUM(F217:G217))</f>
        <v>0</v>
      </c>
      <c r="I217" s="8"/>
    </row>
    <row r="218" spans="1:9" ht="29.45" customHeight="1">
      <c r="A218" s="8"/>
      <c r="B218" s="8"/>
      <c r="C218" s="2">
        <f>F218/Instructions!$B$5</f>
        <v>0</v>
      </c>
      <c r="D218" s="2">
        <f>G218/Instructions!$B$5</f>
        <v>0</v>
      </c>
      <c r="E218" s="2">
        <f t="shared" si="4"/>
        <v>0</v>
      </c>
      <c r="F218" s="9"/>
      <c r="G218" s="9"/>
      <c r="H218" s="2">
        <f>IF(SUM(F218:G218)&gt;Instructions!$B$5,"Error",SUM(F218:G218))</f>
        <v>0</v>
      </c>
      <c r="I218" s="8"/>
    </row>
    <row r="219" spans="1:9" ht="29.45" customHeight="1">
      <c r="A219" s="8"/>
      <c r="B219" s="8"/>
      <c r="C219" s="2">
        <f>F219/Instructions!$B$5</f>
        <v>0</v>
      </c>
      <c r="D219" s="2">
        <f>G219/Instructions!$B$5</f>
        <v>0</v>
      </c>
      <c r="E219" s="2">
        <f t="shared" si="4"/>
        <v>0</v>
      </c>
      <c r="F219" s="9"/>
      <c r="G219" s="9"/>
      <c r="H219" s="2">
        <f>IF(SUM(F219:G219)&gt;Instructions!$B$5,"Error",SUM(F219:G219))</f>
        <v>0</v>
      </c>
      <c r="I219" s="8"/>
    </row>
    <row r="220" spans="1:9" ht="29.45" customHeight="1">
      <c r="A220" s="8"/>
      <c r="B220" s="8"/>
      <c r="C220" s="2">
        <f>F220/Instructions!$B$5</f>
        <v>0</v>
      </c>
      <c r="D220" s="2">
        <f>G220/Instructions!$B$5</f>
        <v>0</v>
      </c>
      <c r="E220" s="2">
        <f t="shared" si="4"/>
        <v>0</v>
      </c>
      <c r="F220" s="9"/>
      <c r="G220" s="9"/>
      <c r="H220" s="2">
        <f>IF(SUM(F220:G220)&gt;Instructions!$B$5,"Error",SUM(F220:G220))</f>
        <v>0</v>
      </c>
      <c r="I220" s="8"/>
    </row>
    <row r="221" spans="1:9" ht="29.45" customHeight="1">
      <c r="A221" s="8"/>
      <c r="B221" s="8"/>
      <c r="C221" s="2">
        <f>F221/Instructions!$B$5</f>
        <v>0</v>
      </c>
      <c r="D221" s="2">
        <f>G221/Instructions!$B$5</f>
        <v>0</v>
      </c>
      <c r="E221" s="2">
        <f t="shared" si="4"/>
        <v>0</v>
      </c>
      <c r="F221" s="9"/>
      <c r="G221" s="9"/>
      <c r="H221" s="2">
        <f>IF(SUM(F221:G221)&gt;Instructions!$B$5,"Error",SUM(F221:G221))</f>
        <v>0</v>
      </c>
      <c r="I221" s="8"/>
    </row>
    <row r="222" spans="1:9" ht="29.45" customHeight="1">
      <c r="A222" s="8"/>
      <c r="B222" s="8"/>
      <c r="C222" s="2">
        <f>F222/Instructions!$B$5</f>
        <v>0</v>
      </c>
      <c r="D222" s="2">
        <f>G222/Instructions!$B$5</f>
        <v>0</v>
      </c>
      <c r="E222" s="2">
        <f t="shared" si="4"/>
        <v>0</v>
      </c>
      <c r="F222" s="9"/>
      <c r="G222" s="9"/>
      <c r="H222" s="2">
        <f>IF(SUM(F222:G222)&gt;Instructions!$B$5,"Error",SUM(F222:G222))</f>
        <v>0</v>
      </c>
      <c r="I222" s="8"/>
    </row>
    <row r="223" spans="1:9" ht="29.45" customHeight="1">
      <c r="A223" s="8"/>
      <c r="B223" s="8"/>
      <c r="C223" s="2">
        <f>F223/Instructions!$B$5</f>
        <v>0</v>
      </c>
      <c r="D223" s="2">
        <f>G223/Instructions!$B$5</f>
        <v>0</v>
      </c>
      <c r="E223" s="2">
        <f t="shared" si="4"/>
        <v>0</v>
      </c>
      <c r="F223" s="9"/>
      <c r="G223" s="9"/>
      <c r="H223" s="2">
        <f>IF(SUM(F223:G223)&gt;Instructions!$B$5,"Error",SUM(F223:G223))</f>
        <v>0</v>
      </c>
      <c r="I223" s="8"/>
    </row>
    <row r="224" spans="1:9" ht="29.45" customHeight="1">
      <c r="A224" s="8"/>
      <c r="B224" s="8"/>
      <c r="C224" s="2">
        <f>F224/Instructions!$B$5</f>
        <v>0</v>
      </c>
      <c r="D224" s="2">
        <f>G224/Instructions!$B$5</f>
        <v>0</v>
      </c>
      <c r="E224" s="2">
        <f t="shared" si="4"/>
        <v>0</v>
      </c>
      <c r="F224" s="9"/>
      <c r="G224" s="9"/>
      <c r="H224" s="2">
        <f>IF(SUM(F224:G224)&gt;Instructions!$B$5,"Error",SUM(F224:G224))</f>
        <v>0</v>
      </c>
      <c r="I224" s="8"/>
    </row>
    <row r="225" spans="1:9" ht="29.45" customHeight="1">
      <c r="A225" s="8"/>
      <c r="B225" s="8"/>
      <c r="C225" s="2">
        <f>F225/Instructions!$B$5</f>
        <v>0</v>
      </c>
      <c r="D225" s="2">
        <f>G225/Instructions!$B$5</f>
        <v>0</v>
      </c>
      <c r="E225" s="2">
        <f t="shared" si="4"/>
        <v>0</v>
      </c>
      <c r="F225" s="9"/>
      <c r="G225" s="9"/>
      <c r="H225" s="2">
        <f>IF(SUM(F225:G225)&gt;Instructions!$B$5,"Error",SUM(F225:G225))</f>
        <v>0</v>
      </c>
      <c r="I225" s="8"/>
    </row>
    <row r="226" spans="1:9" ht="29.45" customHeight="1">
      <c r="A226" s="8"/>
      <c r="B226" s="8"/>
      <c r="C226" s="2">
        <f>F226/Instructions!$B$5</f>
        <v>0</v>
      </c>
      <c r="D226" s="2">
        <f>G226/Instructions!$B$5</f>
        <v>0</v>
      </c>
      <c r="E226" s="2">
        <f t="shared" si="4"/>
        <v>0</v>
      </c>
      <c r="F226" s="9"/>
      <c r="G226" s="9"/>
      <c r="H226" s="2">
        <f>IF(SUM(F226:G226)&gt;Instructions!$B$5,"Error",SUM(F226:G226))</f>
        <v>0</v>
      </c>
      <c r="I226" s="8"/>
    </row>
    <row r="227" spans="1:9" ht="29.45" customHeight="1">
      <c r="A227" s="8"/>
      <c r="B227" s="8"/>
      <c r="C227" s="2">
        <f>F227/Instructions!$B$5</f>
        <v>0</v>
      </c>
      <c r="D227" s="2">
        <f>G227/Instructions!$B$5</f>
        <v>0</v>
      </c>
      <c r="E227" s="2">
        <f t="shared" si="4"/>
        <v>0</v>
      </c>
      <c r="F227" s="9"/>
      <c r="G227" s="9"/>
      <c r="H227" s="2">
        <f>IF(SUM(F227:G227)&gt;Instructions!$B$5,"Error",SUM(F227:G227))</f>
        <v>0</v>
      </c>
      <c r="I227" s="8"/>
    </row>
    <row r="228" spans="1:9" ht="29.45" customHeight="1">
      <c r="A228" s="8"/>
      <c r="B228" s="8"/>
      <c r="C228" s="2">
        <f>F228/Instructions!$B$5</f>
        <v>0</v>
      </c>
      <c r="D228" s="2">
        <f>G228/Instructions!$B$5</f>
        <v>0</v>
      </c>
      <c r="E228" s="2">
        <f t="shared" si="4"/>
        <v>0</v>
      </c>
      <c r="F228" s="9"/>
      <c r="G228" s="9"/>
      <c r="H228" s="2">
        <f>IF(SUM(F228:G228)&gt;Instructions!$B$5,"Error",SUM(F228:G228))</f>
        <v>0</v>
      </c>
      <c r="I228" s="8"/>
    </row>
    <row r="229" spans="1:9" ht="29.45" customHeight="1">
      <c r="A229" s="8"/>
      <c r="B229" s="8"/>
      <c r="C229" s="2">
        <f>F229/Instructions!$B$5</f>
        <v>0</v>
      </c>
      <c r="D229" s="2">
        <f>G229/Instructions!$B$5</f>
        <v>0</v>
      </c>
      <c r="E229" s="2">
        <f t="shared" si="4"/>
        <v>0</v>
      </c>
      <c r="F229" s="9"/>
      <c r="G229" s="9"/>
      <c r="H229" s="2">
        <f>IF(SUM(F229:G229)&gt;Instructions!$B$5,"Error",SUM(F229:G229))</f>
        <v>0</v>
      </c>
      <c r="I229" s="8"/>
    </row>
    <row r="230" spans="1:9" ht="29.45" customHeight="1">
      <c r="A230" s="8"/>
      <c r="B230" s="8"/>
      <c r="C230" s="2">
        <f>F230/Instructions!$B$5</f>
        <v>0</v>
      </c>
      <c r="D230" s="2">
        <f>G230/Instructions!$B$5</f>
        <v>0</v>
      </c>
      <c r="E230" s="2">
        <f t="shared" si="4"/>
        <v>0</v>
      </c>
      <c r="F230" s="9"/>
      <c r="G230" s="9"/>
      <c r="H230" s="2">
        <f>IF(SUM(F230:G230)&gt;Instructions!$B$5,"Error",SUM(F230:G230))</f>
        <v>0</v>
      </c>
      <c r="I230" s="8"/>
    </row>
    <row r="231" spans="1:9" ht="29.45" customHeight="1">
      <c r="A231" s="8"/>
      <c r="B231" s="8"/>
      <c r="C231" s="2">
        <f>F231/Instructions!$B$5</f>
        <v>0</v>
      </c>
      <c r="D231" s="2">
        <f>G231/Instructions!$B$5</f>
        <v>0</v>
      </c>
      <c r="E231" s="2">
        <f t="shared" si="4"/>
        <v>0</v>
      </c>
      <c r="F231" s="9"/>
      <c r="G231" s="9"/>
      <c r="H231" s="2">
        <f>IF(SUM(F231:G231)&gt;Instructions!$B$5,"Error",SUM(F231:G231))</f>
        <v>0</v>
      </c>
      <c r="I231" s="8"/>
    </row>
    <row r="232" spans="1:9" ht="29.45" customHeight="1">
      <c r="A232" s="8"/>
      <c r="B232" s="8"/>
      <c r="C232" s="2">
        <f>F232/Instructions!$B$5</f>
        <v>0</v>
      </c>
      <c r="D232" s="2">
        <f>G232/Instructions!$B$5</f>
        <v>0</v>
      </c>
      <c r="E232" s="2">
        <f t="shared" si="4"/>
        <v>0</v>
      </c>
      <c r="F232" s="9"/>
      <c r="G232" s="9"/>
      <c r="H232" s="2">
        <f>IF(SUM(F232:G232)&gt;Instructions!$B$5,"Error",SUM(F232:G232))</f>
        <v>0</v>
      </c>
      <c r="I232" s="8"/>
    </row>
    <row r="233" spans="1:9" ht="29.45" customHeight="1">
      <c r="A233" s="8"/>
      <c r="B233" s="8"/>
      <c r="C233" s="2">
        <f>F233/Instructions!$B$5</f>
        <v>0</v>
      </c>
      <c r="D233" s="2">
        <f>G233/Instructions!$B$5</f>
        <v>0</v>
      </c>
      <c r="E233" s="2">
        <f t="shared" si="4"/>
        <v>0</v>
      </c>
      <c r="F233" s="9"/>
      <c r="G233" s="9"/>
      <c r="H233" s="2">
        <f>IF(SUM(F233:G233)&gt;Instructions!$B$5,"Error",SUM(F233:G233))</f>
        <v>0</v>
      </c>
      <c r="I233" s="8"/>
    </row>
    <row r="234" spans="1:9" ht="29.45" customHeight="1">
      <c r="A234" s="8"/>
      <c r="B234" s="8"/>
      <c r="C234" s="2">
        <f>F234/Instructions!$B$5</f>
        <v>0</v>
      </c>
      <c r="D234" s="2">
        <f>G234/Instructions!$B$5</f>
        <v>0</v>
      </c>
      <c r="E234" s="2">
        <f t="shared" si="4"/>
        <v>0</v>
      </c>
      <c r="F234" s="9"/>
      <c r="G234" s="9"/>
      <c r="H234" s="2">
        <f>IF(SUM(F234:G234)&gt;Instructions!$B$5,"Error",SUM(F234:G234))</f>
        <v>0</v>
      </c>
      <c r="I234" s="8"/>
    </row>
    <row r="235" spans="1:9" ht="29.45" customHeight="1">
      <c r="A235" s="8"/>
      <c r="B235" s="8"/>
      <c r="C235" s="2">
        <f>F235/Instructions!$B$5</f>
        <v>0</v>
      </c>
      <c r="D235" s="2">
        <f>G235/Instructions!$B$5</f>
        <v>0</v>
      </c>
      <c r="E235" s="2">
        <f t="shared" si="4"/>
        <v>0</v>
      </c>
      <c r="F235" s="9"/>
      <c r="G235" s="9"/>
      <c r="H235" s="2">
        <f>IF(SUM(F235:G235)&gt;Instructions!$B$5,"Error",SUM(F235:G235))</f>
        <v>0</v>
      </c>
      <c r="I235" s="8"/>
    </row>
    <row r="236" spans="1:9" ht="29.45" customHeight="1">
      <c r="A236" s="8"/>
      <c r="B236" s="8"/>
      <c r="C236" s="2">
        <f>F236/Instructions!$B$5</f>
        <v>0</v>
      </c>
      <c r="D236" s="2">
        <f>G236/Instructions!$B$5</f>
        <v>0</v>
      </c>
      <c r="E236" s="2">
        <f t="shared" si="4"/>
        <v>0</v>
      </c>
      <c r="F236" s="9"/>
      <c r="G236" s="9"/>
      <c r="H236" s="2">
        <f>IF(SUM(F236:G236)&gt;Instructions!$B$5,"Error",SUM(F236:G236))</f>
        <v>0</v>
      </c>
      <c r="I236" s="8"/>
    </row>
    <row r="237" spans="1:9" ht="29.45" customHeight="1">
      <c r="A237" s="8"/>
      <c r="B237" s="8"/>
      <c r="C237" s="2">
        <f>F237/Instructions!$B$5</f>
        <v>0</v>
      </c>
      <c r="D237" s="2">
        <f>G237/Instructions!$B$5</f>
        <v>0</v>
      </c>
      <c r="E237" s="2">
        <f t="shared" si="4"/>
        <v>0</v>
      </c>
      <c r="F237" s="9"/>
      <c r="G237" s="9"/>
      <c r="H237" s="2">
        <f>IF(SUM(F237:G237)&gt;Instructions!$B$5,"Error",SUM(F237:G237))</f>
        <v>0</v>
      </c>
      <c r="I237" s="8"/>
    </row>
    <row r="238" spans="1:9" ht="29.45" customHeight="1">
      <c r="A238" s="8"/>
      <c r="B238" s="8"/>
      <c r="C238" s="2">
        <f>F238/Instructions!$B$5</f>
        <v>0</v>
      </c>
      <c r="D238" s="2">
        <f>G238/Instructions!$B$5</f>
        <v>0</v>
      </c>
      <c r="E238" s="2">
        <f t="shared" si="4"/>
        <v>0</v>
      </c>
      <c r="F238" s="9"/>
      <c r="G238" s="9"/>
      <c r="H238" s="2">
        <f>IF(SUM(F238:G238)&gt;Instructions!$B$5,"Error",SUM(F238:G238))</f>
        <v>0</v>
      </c>
      <c r="I238" s="8"/>
    </row>
    <row r="239" spans="1:9" ht="29.45" customHeight="1">
      <c r="A239" s="8"/>
      <c r="B239" s="8"/>
      <c r="C239" s="2">
        <f>F239/Instructions!$B$5</f>
        <v>0</v>
      </c>
      <c r="D239" s="2">
        <f>G239/Instructions!$B$5</f>
        <v>0</v>
      </c>
      <c r="E239" s="2">
        <f t="shared" si="4"/>
        <v>0</v>
      </c>
      <c r="F239" s="9"/>
      <c r="G239" s="9"/>
      <c r="H239" s="2">
        <f>IF(SUM(F239:G239)&gt;Instructions!$B$5,"Error",SUM(F239:G239))</f>
        <v>0</v>
      </c>
      <c r="I239" s="8"/>
    </row>
    <row r="240" spans="1:9" ht="29.45" customHeight="1">
      <c r="A240" s="8"/>
      <c r="B240" s="8"/>
      <c r="C240" s="2">
        <f>F240/Instructions!$B$5</f>
        <v>0</v>
      </c>
      <c r="D240" s="2">
        <f>G240/Instructions!$B$5</f>
        <v>0</v>
      </c>
      <c r="E240" s="2">
        <f t="shared" si="4"/>
        <v>0</v>
      </c>
      <c r="F240" s="9"/>
      <c r="G240" s="9"/>
      <c r="H240" s="2">
        <f>IF(SUM(F240:G240)&gt;Instructions!$B$5,"Error",SUM(F240:G240))</f>
        <v>0</v>
      </c>
      <c r="I240" s="8"/>
    </row>
    <row r="241" spans="1:9" ht="29.45" customHeight="1">
      <c r="A241" s="8"/>
      <c r="B241" s="8"/>
      <c r="C241" s="2">
        <f>F241/Instructions!$B$5</f>
        <v>0</v>
      </c>
      <c r="D241" s="2">
        <f>G241/Instructions!$B$5</f>
        <v>0</v>
      </c>
      <c r="E241" s="2">
        <f t="shared" si="4"/>
        <v>0</v>
      </c>
      <c r="F241" s="9"/>
      <c r="G241" s="9"/>
      <c r="H241" s="2">
        <f>IF(SUM(F241:G241)&gt;Instructions!$B$5,"Error",SUM(F241:G241))</f>
        <v>0</v>
      </c>
      <c r="I241" s="8"/>
    </row>
    <row r="242" spans="1:9" ht="29.45" customHeight="1">
      <c r="A242" s="8"/>
      <c r="B242" s="8"/>
      <c r="C242" s="2">
        <f>F242/Instructions!$B$5</f>
        <v>0</v>
      </c>
      <c r="D242" s="2">
        <f>G242/Instructions!$B$5</f>
        <v>0</v>
      </c>
      <c r="E242" s="2">
        <f t="shared" si="4"/>
        <v>0</v>
      </c>
      <c r="F242" s="9"/>
      <c r="G242" s="9"/>
      <c r="H242" s="2">
        <f>IF(SUM(F242:G242)&gt;Instructions!$B$5,"Error",SUM(F242:G242))</f>
        <v>0</v>
      </c>
      <c r="I242" s="8"/>
    </row>
    <row r="243" spans="1:9" ht="29.45" customHeight="1">
      <c r="A243" s="8"/>
      <c r="B243" s="8"/>
      <c r="C243" s="2">
        <f>F243/Instructions!$B$5</f>
        <v>0</v>
      </c>
      <c r="D243" s="2">
        <f>G243/Instructions!$B$5</f>
        <v>0</v>
      </c>
      <c r="E243" s="2">
        <f t="shared" si="4"/>
        <v>0</v>
      </c>
      <c r="F243" s="9"/>
      <c r="G243" s="9"/>
      <c r="H243" s="2">
        <f>IF(SUM(F243:G243)&gt;Instructions!$B$5,"Error",SUM(F243:G243))</f>
        <v>0</v>
      </c>
      <c r="I243" s="8"/>
    </row>
    <row r="244" spans="1:9" ht="29.45" customHeight="1">
      <c r="A244" s="8"/>
      <c r="B244" s="8"/>
      <c r="C244" s="2">
        <f>F244/Instructions!$B$5</f>
        <v>0</v>
      </c>
      <c r="D244" s="2">
        <f>G244/Instructions!$B$5</f>
        <v>0</v>
      </c>
      <c r="E244" s="2">
        <f t="shared" si="4"/>
        <v>0</v>
      </c>
      <c r="F244" s="9"/>
      <c r="G244" s="9"/>
      <c r="H244" s="2">
        <f>IF(SUM(F244:G244)&gt;Instructions!$B$5,"Error",SUM(F244:G244))</f>
        <v>0</v>
      </c>
      <c r="I244" s="8"/>
    </row>
    <row r="245" spans="1:9" ht="29.45" customHeight="1">
      <c r="A245" s="8"/>
      <c r="B245" s="8"/>
      <c r="C245" s="2">
        <f>F245/Instructions!$B$5</f>
        <v>0</v>
      </c>
      <c r="D245" s="2">
        <f>G245/Instructions!$B$5</f>
        <v>0</v>
      </c>
      <c r="E245" s="2">
        <f t="shared" si="4"/>
        <v>0</v>
      </c>
      <c r="F245" s="9"/>
      <c r="G245" s="9"/>
      <c r="H245" s="2">
        <f>IF(SUM(F245:G245)&gt;Instructions!$B$5,"Error",SUM(F245:G245))</f>
        <v>0</v>
      </c>
      <c r="I245" s="8"/>
    </row>
    <row r="246" spans="1:9" ht="29.45" customHeight="1">
      <c r="A246" s="8"/>
      <c r="B246" s="8"/>
      <c r="C246" s="2">
        <f>F246/Instructions!$B$5</f>
        <v>0</v>
      </c>
      <c r="D246" s="2">
        <f>G246/Instructions!$B$5</f>
        <v>0</v>
      </c>
      <c r="E246" s="2">
        <f t="shared" si="4"/>
        <v>0</v>
      </c>
      <c r="F246" s="9"/>
      <c r="G246" s="9"/>
      <c r="H246" s="2">
        <f>IF(SUM(F246:G246)&gt;Instructions!$B$5,"Error",SUM(F246:G246))</f>
        <v>0</v>
      </c>
      <c r="I246" s="8"/>
    </row>
    <row r="247" spans="1:9" ht="29.45" customHeight="1">
      <c r="A247" s="8"/>
      <c r="B247" s="8"/>
      <c r="C247" s="2">
        <f>F247/Instructions!$B$5</f>
        <v>0</v>
      </c>
      <c r="D247" s="2">
        <f>G247/Instructions!$B$5</f>
        <v>0</v>
      </c>
      <c r="E247" s="2">
        <f t="shared" si="4"/>
        <v>0</v>
      </c>
      <c r="F247" s="9"/>
      <c r="G247" s="9"/>
      <c r="H247" s="2">
        <f>IF(SUM(F247:G247)&gt;Instructions!$B$5,"Error",SUM(F247:G247))</f>
        <v>0</v>
      </c>
      <c r="I247" s="8"/>
    </row>
    <row r="248" spans="1:9" ht="29.45" customHeight="1">
      <c r="A248" s="8"/>
      <c r="B248" s="8"/>
      <c r="C248" s="2">
        <f>F248/Instructions!$B$5</f>
        <v>0</v>
      </c>
      <c r="D248" s="2">
        <f>G248/Instructions!$B$5</f>
        <v>0</v>
      </c>
      <c r="E248" s="2">
        <f t="shared" si="4"/>
        <v>0</v>
      </c>
      <c r="F248" s="9"/>
      <c r="G248" s="9"/>
      <c r="H248" s="2">
        <f>IF(SUM(F248:G248)&gt;Instructions!$B$5,"Error",SUM(F248:G248))</f>
        <v>0</v>
      </c>
      <c r="I248" s="8"/>
    </row>
    <row r="249" spans="1:9" ht="29.45" customHeight="1">
      <c r="A249" s="8"/>
      <c r="B249" s="8"/>
      <c r="C249" s="2">
        <f>F249/Instructions!$B$5</f>
        <v>0</v>
      </c>
      <c r="D249" s="2">
        <f>G249/Instructions!$B$5</f>
        <v>0</v>
      </c>
      <c r="E249" s="2">
        <f t="shared" si="4"/>
        <v>0</v>
      </c>
      <c r="F249" s="9"/>
      <c r="G249" s="9"/>
      <c r="H249" s="2">
        <f>IF(SUM(F249:G249)&gt;Instructions!$B$5,"Error",SUM(F249:G249))</f>
        <v>0</v>
      </c>
      <c r="I249" s="8"/>
    </row>
    <row r="250" spans="1:9" ht="29.45" customHeight="1">
      <c r="A250" s="8"/>
      <c r="B250" s="8"/>
      <c r="C250" s="2">
        <f>F250/Instructions!$B$5</f>
        <v>0</v>
      </c>
      <c r="D250" s="2">
        <f>G250/Instructions!$B$5</f>
        <v>0</v>
      </c>
      <c r="E250" s="2">
        <f t="shared" si="4"/>
        <v>0</v>
      </c>
      <c r="F250" s="9"/>
      <c r="G250" s="9"/>
      <c r="H250" s="2">
        <f>IF(SUM(F250:G250)&gt;Instructions!$B$5,"Error",SUM(F250:G250))</f>
        <v>0</v>
      </c>
      <c r="I250" s="8"/>
    </row>
    <row r="251" spans="1:9" ht="29.45" customHeight="1">
      <c r="A251" s="8"/>
      <c r="B251" s="8"/>
      <c r="C251" s="2">
        <f>F251/Instructions!$B$5</f>
        <v>0</v>
      </c>
      <c r="D251" s="2">
        <f>G251/Instructions!$B$5</f>
        <v>0</v>
      </c>
      <c r="E251" s="2">
        <f t="shared" si="4"/>
        <v>0</v>
      </c>
      <c r="F251" s="9"/>
      <c r="G251" s="9"/>
      <c r="H251" s="2">
        <f>IF(SUM(F251:G251)&gt;Instructions!$B$5,"Error",SUM(F251:G251))</f>
        <v>0</v>
      </c>
      <c r="I251" s="8"/>
    </row>
    <row r="252" spans="1:9" ht="29.45" customHeight="1">
      <c r="A252" s="8"/>
      <c r="B252" s="8"/>
      <c r="C252" s="2">
        <f>F252/Instructions!$B$5</f>
        <v>0</v>
      </c>
      <c r="D252" s="2">
        <f>G252/Instructions!$B$5</f>
        <v>0</v>
      </c>
      <c r="E252" s="2">
        <f t="shared" si="4"/>
        <v>0</v>
      </c>
      <c r="F252" s="9"/>
      <c r="G252" s="9"/>
      <c r="H252" s="2">
        <f>IF(SUM(F252:G252)&gt;Instructions!$B$5,"Error",SUM(F252:G252))</f>
        <v>0</v>
      </c>
      <c r="I252" s="8"/>
    </row>
    <row r="253" spans="1:9" ht="29.45" customHeight="1">
      <c r="A253" s="8"/>
      <c r="B253" s="8"/>
      <c r="C253" s="2">
        <f>F253/Instructions!$B$5</f>
        <v>0</v>
      </c>
      <c r="D253" s="2">
        <f>G253/Instructions!$B$5</f>
        <v>0</v>
      </c>
      <c r="E253" s="2">
        <f t="shared" si="4"/>
        <v>0</v>
      </c>
      <c r="F253" s="9"/>
      <c r="G253" s="9"/>
      <c r="H253" s="2">
        <f>IF(SUM(F253:G253)&gt;Instructions!$B$5,"Error",SUM(F253:G253))</f>
        <v>0</v>
      </c>
      <c r="I253" s="8"/>
    </row>
    <row r="254" spans="1:9" ht="29.45" customHeight="1">
      <c r="A254" s="8"/>
      <c r="B254" s="8"/>
      <c r="C254" s="2">
        <f>F254/Instructions!$B$5</f>
        <v>0</v>
      </c>
      <c r="D254" s="2">
        <f>G254/Instructions!$B$5</f>
        <v>0</v>
      </c>
      <c r="E254" s="2">
        <f t="shared" si="4"/>
        <v>0</v>
      </c>
      <c r="F254" s="9"/>
      <c r="G254" s="9"/>
      <c r="H254" s="2">
        <f>IF(SUM(F254:G254)&gt;Instructions!$B$5,"Error",SUM(F254:G254))</f>
        <v>0</v>
      </c>
      <c r="I254" s="8"/>
    </row>
    <row r="255" spans="1:9" ht="29.45" customHeight="1">
      <c r="A255" s="8"/>
      <c r="B255" s="8"/>
      <c r="C255" s="2">
        <f>F255/Instructions!$B$5</f>
        <v>0</v>
      </c>
      <c r="D255" s="2">
        <f>G255/Instructions!$B$5</f>
        <v>0</v>
      </c>
      <c r="E255" s="2">
        <f t="shared" si="4"/>
        <v>0</v>
      </c>
      <c r="F255" s="9"/>
      <c r="G255" s="9"/>
      <c r="H255" s="2">
        <f>IF(SUM(F255:G255)&gt;Instructions!$B$5,"Error",SUM(F255:G255))</f>
        <v>0</v>
      </c>
      <c r="I255" s="8"/>
    </row>
    <row r="256" spans="1:9" ht="29.45" customHeight="1">
      <c r="A256" s="8"/>
      <c r="B256" s="8"/>
      <c r="C256" s="2">
        <f>F256/Instructions!$B$5</f>
        <v>0</v>
      </c>
      <c r="D256" s="2">
        <f>G256/Instructions!$B$5</f>
        <v>0</v>
      </c>
      <c r="E256" s="2">
        <f t="shared" si="4"/>
        <v>0</v>
      </c>
      <c r="F256" s="9"/>
      <c r="G256" s="9"/>
      <c r="H256" s="2">
        <f>IF(SUM(F256:G256)&gt;Instructions!$B$5,"Error",SUM(F256:G256))</f>
        <v>0</v>
      </c>
      <c r="I256" s="8"/>
    </row>
    <row r="257" spans="1:9" ht="29.45" customHeight="1">
      <c r="A257" s="8"/>
      <c r="B257" s="8"/>
      <c r="C257" s="2">
        <f>F257/Instructions!$B$5</f>
        <v>0</v>
      </c>
      <c r="D257" s="2">
        <f>G257/Instructions!$B$5</f>
        <v>0</v>
      </c>
      <c r="E257" s="2">
        <f t="shared" si="4"/>
        <v>0</v>
      </c>
      <c r="F257" s="9"/>
      <c r="G257" s="9"/>
      <c r="H257" s="2">
        <f>IF(SUM(F257:G257)&gt;Instructions!$B$5,"Error",SUM(F257:G257))</f>
        <v>0</v>
      </c>
      <c r="I257" s="8"/>
    </row>
    <row r="258" spans="1:9" ht="29.45" customHeight="1">
      <c r="A258" s="8"/>
      <c r="B258" s="8"/>
      <c r="C258" s="2">
        <f>F258/Instructions!$B$5</f>
        <v>0</v>
      </c>
      <c r="D258" s="2">
        <f>G258/Instructions!$B$5</f>
        <v>0</v>
      </c>
      <c r="E258" s="2">
        <f t="shared" si="4"/>
        <v>0</v>
      </c>
      <c r="F258" s="9"/>
      <c r="G258" s="9"/>
      <c r="H258" s="2">
        <f>IF(SUM(F258:G258)&gt;Instructions!$B$5,"Error",SUM(F258:G258))</f>
        <v>0</v>
      </c>
      <c r="I258" s="8"/>
    </row>
    <row r="259" spans="1:9" ht="29.45" customHeight="1">
      <c r="A259" s="8"/>
      <c r="B259" s="8"/>
      <c r="C259" s="2">
        <f>F259/Instructions!$B$5</f>
        <v>0</v>
      </c>
      <c r="D259" s="2">
        <f>G259/Instructions!$B$5</f>
        <v>0</v>
      </c>
      <c r="E259" s="2">
        <f t="shared" si="4"/>
        <v>0</v>
      </c>
      <c r="F259" s="9"/>
      <c r="G259" s="9"/>
      <c r="H259" s="2">
        <f>IF(SUM(F259:G259)&gt;Instructions!$B$5,"Error",SUM(F259:G259))</f>
        <v>0</v>
      </c>
      <c r="I259" s="8"/>
    </row>
    <row r="260" spans="1:9" ht="29.45" customHeight="1">
      <c r="A260" s="8"/>
      <c r="B260" s="8"/>
      <c r="C260" s="2">
        <f>F260/Instructions!$B$5</f>
        <v>0</v>
      </c>
      <c r="D260" s="2">
        <f>G260/Instructions!$B$5</f>
        <v>0</v>
      </c>
      <c r="E260" s="2">
        <f t="shared" si="4"/>
        <v>0</v>
      </c>
      <c r="F260" s="9"/>
      <c r="G260" s="9"/>
      <c r="H260" s="2">
        <f>IF(SUM(F260:G260)&gt;Instructions!$B$5,"Error",SUM(F260:G260))</f>
        <v>0</v>
      </c>
      <c r="I260" s="8"/>
    </row>
    <row r="261" spans="1:9" ht="29.45" customHeight="1">
      <c r="A261" s="8"/>
      <c r="B261" s="8"/>
      <c r="C261" s="2">
        <f>F261/Instructions!$B$5</f>
        <v>0</v>
      </c>
      <c r="D261" s="2">
        <f>G261/Instructions!$B$5</f>
        <v>0</v>
      </c>
      <c r="E261" s="2">
        <f t="shared" si="4"/>
        <v>0</v>
      </c>
      <c r="F261" s="9"/>
      <c r="G261" s="9"/>
      <c r="H261" s="2">
        <f>IF(SUM(F261:G261)&gt;Instructions!$B$5,"Error",SUM(F261:G261))</f>
        <v>0</v>
      </c>
      <c r="I261" s="8"/>
    </row>
    <row r="262" spans="1:9" ht="29.45" customHeight="1">
      <c r="A262" s="8"/>
      <c r="C262" s="2">
        <f>F262/Instructions!$B$5</f>
        <v>0</v>
      </c>
      <c r="D262" s="2">
        <f>G262/Instructions!$B$5</f>
        <v>0</v>
      </c>
      <c r="E262" s="2">
        <f t="shared" si="4"/>
        <v>0</v>
      </c>
      <c r="F262" s="9"/>
      <c r="G262" s="9"/>
      <c r="H262" s="2">
        <f>IF(SUM(F262:G262)&gt;Instructions!$B$5,"Error",SUM(F262:G262))</f>
        <v>0</v>
      </c>
      <c r="I262" s="8"/>
    </row>
    <row r="263" spans="1:9" ht="29.45" customHeight="1">
      <c r="A263" s="8"/>
      <c r="C263" s="2">
        <f>F263/Instructions!$B$5</f>
        <v>0</v>
      </c>
      <c r="D263" s="2">
        <f>G263/Instructions!$B$5</f>
        <v>0</v>
      </c>
      <c r="E263" s="2">
        <f t="shared" si="4"/>
        <v>0</v>
      </c>
      <c r="F263" s="9"/>
      <c r="G263" s="9"/>
      <c r="H263" s="2">
        <f>IF(SUM(F263:G263)&gt;Instructions!$B$5,"Error",SUM(F263:G263))</f>
        <v>0</v>
      </c>
      <c r="I263" s="8"/>
    </row>
    <row r="264" spans="1:9" ht="29.45" customHeight="1">
      <c r="A264" s="8"/>
      <c r="C264" s="2">
        <f>F264/Instructions!$B$5</f>
        <v>0</v>
      </c>
      <c r="D264" s="2">
        <f>G264/Instructions!$B$5</f>
        <v>0</v>
      </c>
      <c r="E264" s="2">
        <f t="shared" ref="E264:E327" si="5">IF(SUM(C264:D264)&gt;1,"Error",SUM(C264:D264))</f>
        <v>0</v>
      </c>
      <c r="F264" s="9"/>
      <c r="G264" s="9"/>
      <c r="H264" s="2">
        <f>IF(SUM(F264:G264)&gt;Instructions!$B$5,"Error",SUM(F264:G264))</f>
        <v>0</v>
      </c>
      <c r="I264" s="8"/>
    </row>
    <row r="265" spans="1:9" ht="29.45" customHeight="1">
      <c r="A265" s="8"/>
      <c r="C265" s="2">
        <f>F265/Instructions!$B$5</f>
        <v>0</v>
      </c>
      <c r="D265" s="2">
        <f>G265/Instructions!$B$5</f>
        <v>0</v>
      </c>
      <c r="E265" s="2">
        <f t="shared" si="5"/>
        <v>0</v>
      </c>
      <c r="F265" s="9"/>
      <c r="G265" s="9"/>
      <c r="H265" s="2">
        <f>IF(SUM(F265:G265)&gt;Instructions!$B$5,"Error",SUM(F265:G265))</f>
        <v>0</v>
      </c>
      <c r="I265" s="8"/>
    </row>
    <row r="266" spans="1:9" ht="29.45" customHeight="1">
      <c r="A266" s="8"/>
      <c r="C266" s="2">
        <f>F266/Instructions!$B$5</f>
        <v>0</v>
      </c>
      <c r="D266" s="2">
        <f>G266/Instructions!$B$5</f>
        <v>0</v>
      </c>
      <c r="E266" s="2">
        <f t="shared" si="5"/>
        <v>0</v>
      </c>
      <c r="F266" s="9"/>
      <c r="G266" s="9"/>
      <c r="H266" s="2">
        <f>IF(SUM(F266:G266)&gt;Instructions!$B$5,"Error",SUM(F266:G266))</f>
        <v>0</v>
      </c>
      <c r="I266" s="8"/>
    </row>
    <row r="267" spans="1:9" ht="29.45" customHeight="1">
      <c r="A267" s="8"/>
      <c r="C267" s="2">
        <f>F267/Instructions!$B$5</f>
        <v>0</v>
      </c>
      <c r="D267" s="2">
        <f>G267/Instructions!$B$5</f>
        <v>0</v>
      </c>
      <c r="E267" s="2">
        <f t="shared" si="5"/>
        <v>0</v>
      </c>
      <c r="F267" s="9"/>
      <c r="G267" s="9"/>
      <c r="H267" s="2">
        <f>IF(SUM(F267:G267)&gt;Instructions!$B$5,"Error",SUM(F267:G267))</f>
        <v>0</v>
      </c>
      <c r="I267" s="8"/>
    </row>
    <row r="268" spans="1:9" ht="29.45" customHeight="1">
      <c r="A268" s="8"/>
      <c r="C268" s="2">
        <f>F268/Instructions!$B$5</f>
        <v>0</v>
      </c>
      <c r="D268" s="2">
        <f>G268/Instructions!$B$5</f>
        <v>0</v>
      </c>
      <c r="E268" s="2">
        <f t="shared" si="5"/>
        <v>0</v>
      </c>
      <c r="F268" s="9"/>
      <c r="G268" s="9"/>
      <c r="H268" s="2">
        <f>IF(SUM(F268:G268)&gt;Instructions!$B$5,"Error",SUM(F268:G268))</f>
        <v>0</v>
      </c>
      <c r="I268" s="8"/>
    </row>
    <row r="269" spans="1:9" ht="29.45" customHeight="1">
      <c r="A269" s="8"/>
      <c r="C269" s="2">
        <f>F269/Instructions!$B$5</f>
        <v>0</v>
      </c>
      <c r="D269" s="2">
        <f>G269/Instructions!$B$5</f>
        <v>0</v>
      </c>
      <c r="E269" s="2">
        <f t="shared" si="5"/>
        <v>0</v>
      </c>
      <c r="F269" s="9"/>
      <c r="G269" s="9"/>
      <c r="H269" s="2">
        <f>IF(SUM(F269:G269)&gt;Instructions!$B$5,"Error",SUM(F269:G269))</f>
        <v>0</v>
      </c>
      <c r="I269" s="8"/>
    </row>
    <row r="270" spans="1:9" ht="29.45" customHeight="1">
      <c r="A270" s="8"/>
      <c r="C270" s="2">
        <f>F270/Instructions!$B$5</f>
        <v>0</v>
      </c>
      <c r="D270" s="2">
        <f>G270/Instructions!$B$5</f>
        <v>0</v>
      </c>
      <c r="E270" s="2">
        <f t="shared" si="5"/>
        <v>0</v>
      </c>
      <c r="F270" s="9"/>
      <c r="G270" s="9"/>
      <c r="H270" s="2">
        <f>IF(SUM(F270:G270)&gt;Instructions!$B$5,"Error",SUM(F270:G270))</f>
        <v>0</v>
      </c>
      <c r="I270" s="8"/>
    </row>
    <row r="271" spans="1:9" ht="29.45" customHeight="1">
      <c r="A271" s="8"/>
      <c r="C271" s="2">
        <f>F271/Instructions!$B$5</f>
        <v>0</v>
      </c>
      <c r="D271" s="2">
        <f>G271/Instructions!$B$5</f>
        <v>0</v>
      </c>
      <c r="E271" s="2">
        <f t="shared" si="5"/>
        <v>0</v>
      </c>
      <c r="F271" s="9"/>
      <c r="G271" s="9"/>
      <c r="H271" s="2">
        <f>IF(SUM(F271:G271)&gt;Instructions!$B$5,"Error",SUM(F271:G271))</f>
        <v>0</v>
      </c>
      <c r="I271" s="8"/>
    </row>
    <row r="272" spans="1:9" ht="29.45" customHeight="1">
      <c r="A272" s="8"/>
      <c r="C272" s="2">
        <f>F272/Instructions!$B$5</f>
        <v>0</v>
      </c>
      <c r="D272" s="2">
        <f>G272/Instructions!$B$5</f>
        <v>0</v>
      </c>
      <c r="E272" s="2">
        <f t="shared" si="5"/>
        <v>0</v>
      </c>
      <c r="F272" s="9"/>
      <c r="G272" s="9"/>
      <c r="H272" s="2">
        <f>IF(SUM(F272:G272)&gt;Instructions!$B$5,"Error",SUM(F272:G272))</f>
        <v>0</v>
      </c>
      <c r="I272" s="8"/>
    </row>
    <row r="273" spans="1:9" ht="29.45" customHeight="1">
      <c r="A273" s="8"/>
      <c r="C273" s="2">
        <f>F273/Instructions!$B$5</f>
        <v>0</v>
      </c>
      <c r="D273" s="2">
        <f>G273/Instructions!$B$5</f>
        <v>0</v>
      </c>
      <c r="E273" s="2">
        <f t="shared" si="5"/>
        <v>0</v>
      </c>
      <c r="F273" s="9"/>
      <c r="G273" s="9"/>
      <c r="H273" s="2">
        <f>IF(SUM(F273:G273)&gt;Instructions!$B$5,"Error",SUM(F273:G273))</f>
        <v>0</v>
      </c>
      <c r="I273" s="8"/>
    </row>
    <row r="274" spans="1:9" ht="29.45" customHeight="1">
      <c r="A274" s="8"/>
      <c r="C274" s="2">
        <f>F274/Instructions!$B$5</f>
        <v>0</v>
      </c>
      <c r="D274" s="2">
        <f>G274/Instructions!$B$5</f>
        <v>0</v>
      </c>
      <c r="E274" s="2">
        <f t="shared" si="5"/>
        <v>0</v>
      </c>
      <c r="F274" s="9"/>
      <c r="G274" s="9"/>
      <c r="H274" s="2">
        <f>IF(SUM(F274:G274)&gt;Instructions!$B$5,"Error",SUM(F274:G274))</f>
        <v>0</v>
      </c>
      <c r="I274" s="8"/>
    </row>
    <row r="275" spans="1:9" ht="29.45" customHeight="1">
      <c r="A275" s="8"/>
      <c r="C275" s="2">
        <f>F275/Instructions!$B$5</f>
        <v>0</v>
      </c>
      <c r="D275" s="2">
        <f>G275/Instructions!$B$5</f>
        <v>0</v>
      </c>
      <c r="E275" s="2">
        <f t="shared" si="5"/>
        <v>0</v>
      </c>
      <c r="F275" s="9"/>
      <c r="G275" s="9"/>
      <c r="H275" s="2">
        <f>IF(SUM(F275:G275)&gt;Instructions!$B$5,"Error",SUM(F275:G275))</f>
        <v>0</v>
      </c>
      <c r="I275" s="8"/>
    </row>
    <row r="276" spans="1:9" ht="29.45" customHeight="1">
      <c r="A276" s="8"/>
      <c r="C276" s="2">
        <f>F276/Instructions!$B$5</f>
        <v>0</v>
      </c>
      <c r="D276" s="2">
        <f>G276/Instructions!$B$5</f>
        <v>0</v>
      </c>
      <c r="E276" s="2">
        <f t="shared" si="5"/>
        <v>0</v>
      </c>
      <c r="F276" s="9"/>
      <c r="G276" s="9"/>
      <c r="H276" s="2">
        <f>IF(SUM(F276:G276)&gt;Instructions!$B$5,"Error",SUM(F276:G276))</f>
        <v>0</v>
      </c>
      <c r="I276" s="8"/>
    </row>
    <row r="277" spans="1:9" ht="29.45" customHeight="1">
      <c r="A277" s="8"/>
      <c r="C277" s="2">
        <f>F277/Instructions!$B$5</f>
        <v>0</v>
      </c>
      <c r="D277" s="2">
        <f>G277/Instructions!$B$5</f>
        <v>0</v>
      </c>
      <c r="E277" s="2">
        <f t="shared" si="5"/>
        <v>0</v>
      </c>
      <c r="F277" s="9"/>
      <c r="G277" s="9"/>
      <c r="H277" s="2">
        <f>IF(SUM(F277:G277)&gt;Instructions!$B$5,"Error",SUM(F277:G277))</f>
        <v>0</v>
      </c>
      <c r="I277" s="8"/>
    </row>
    <row r="278" spans="1:9" ht="29.45" customHeight="1">
      <c r="A278" s="8"/>
      <c r="C278" s="2">
        <f>F278/Instructions!$B$5</f>
        <v>0</v>
      </c>
      <c r="D278" s="2">
        <f>G278/Instructions!$B$5</f>
        <v>0</v>
      </c>
      <c r="E278" s="2">
        <f t="shared" si="5"/>
        <v>0</v>
      </c>
      <c r="F278" s="9"/>
      <c r="G278" s="9"/>
      <c r="H278" s="2">
        <f>IF(SUM(F278:G278)&gt;Instructions!$B$5,"Error",SUM(F278:G278))</f>
        <v>0</v>
      </c>
      <c r="I278" s="8"/>
    </row>
    <row r="279" spans="1:9" ht="29.45" customHeight="1">
      <c r="A279" s="8"/>
      <c r="C279" s="2">
        <f>F279/Instructions!$B$5</f>
        <v>0</v>
      </c>
      <c r="D279" s="2">
        <f>G279/Instructions!$B$5</f>
        <v>0</v>
      </c>
      <c r="E279" s="2">
        <f t="shared" si="5"/>
        <v>0</v>
      </c>
      <c r="F279" s="9"/>
      <c r="G279" s="9"/>
      <c r="H279" s="2">
        <f>IF(SUM(F279:G279)&gt;Instructions!$B$5,"Error",SUM(F279:G279))</f>
        <v>0</v>
      </c>
      <c r="I279" s="8"/>
    </row>
    <row r="280" spans="1:9" ht="29.45" customHeight="1">
      <c r="A280" s="8"/>
      <c r="C280" s="2">
        <f>F280/Instructions!$B$5</f>
        <v>0</v>
      </c>
      <c r="D280" s="2">
        <f>G280/Instructions!$B$5</f>
        <v>0</v>
      </c>
      <c r="E280" s="2">
        <f t="shared" si="5"/>
        <v>0</v>
      </c>
      <c r="F280" s="9"/>
      <c r="G280" s="9"/>
      <c r="H280" s="2">
        <f>IF(SUM(F280:G280)&gt;Instructions!$B$5,"Error",SUM(F280:G280))</f>
        <v>0</v>
      </c>
      <c r="I280" s="8"/>
    </row>
    <row r="281" spans="1:9" ht="29.45" customHeight="1">
      <c r="A281" s="8"/>
      <c r="C281" s="2">
        <f>F281/Instructions!$B$5</f>
        <v>0</v>
      </c>
      <c r="D281" s="2">
        <f>G281/Instructions!$B$5</f>
        <v>0</v>
      </c>
      <c r="E281" s="2">
        <f t="shared" si="5"/>
        <v>0</v>
      </c>
      <c r="F281" s="9"/>
      <c r="G281" s="9"/>
      <c r="H281" s="2">
        <f>IF(SUM(F281:G281)&gt;Instructions!$B$5,"Error",SUM(F281:G281))</f>
        <v>0</v>
      </c>
      <c r="I281" s="8"/>
    </row>
    <row r="282" spans="1:9" ht="29.45" customHeight="1">
      <c r="A282" s="8"/>
      <c r="C282" s="2">
        <f>F282/Instructions!$B$5</f>
        <v>0</v>
      </c>
      <c r="D282" s="2">
        <f>G282/Instructions!$B$5</f>
        <v>0</v>
      </c>
      <c r="E282" s="2">
        <f t="shared" si="5"/>
        <v>0</v>
      </c>
      <c r="F282" s="9"/>
      <c r="G282" s="9"/>
      <c r="H282" s="2">
        <f>IF(SUM(F282:G282)&gt;Instructions!$B$5,"Error",SUM(F282:G282))</f>
        <v>0</v>
      </c>
      <c r="I282" s="8"/>
    </row>
    <row r="283" spans="1:9" ht="29.45" customHeight="1">
      <c r="A283" s="8"/>
      <c r="C283" s="2">
        <f>F283/Instructions!$B$5</f>
        <v>0</v>
      </c>
      <c r="D283" s="2">
        <f>G283/Instructions!$B$5</f>
        <v>0</v>
      </c>
      <c r="E283" s="2">
        <f t="shared" si="5"/>
        <v>0</v>
      </c>
      <c r="F283" s="9"/>
      <c r="G283" s="9"/>
      <c r="H283" s="2">
        <f>IF(SUM(F283:G283)&gt;Instructions!$B$5,"Error",SUM(F283:G283))</f>
        <v>0</v>
      </c>
      <c r="I283" s="8"/>
    </row>
    <row r="284" spans="1:9" ht="29.45" customHeight="1">
      <c r="A284" s="8"/>
      <c r="C284" s="2">
        <f>F284/Instructions!$B$5</f>
        <v>0</v>
      </c>
      <c r="D284" s="2">
        <f>G284/Instructions!$B$5</f>
        <v>0</v>
      </c>
      <c r="E284" s="2">
        <f t="shared" si="5"/>
        <v>0</v>
      </c>
      <c r="F284" s="9"/>
      <c r="G284" s="9"/>
      <c r="H284" s="2">
        <f>IF(SUM(F284:G284)&gt;Instructions!$B$5,"Error",SUM(F284:G284))</f>
        <v>0</v>
      </c>
      <c r="I284" s="8"/>
    </row>
    <row r="285" spans="1:9" ht="29.45" customHeight="1">
      <c r="A285" s="8"/>
      <c r="C285" s="2">
        <f>F285/Instructions!$B$5</f>
        <v>0</v>
      </c>
      <c r="D285" s="2">
        <f>G285/Instructions!$B$5</f>
        <v>0</v>
      </c>
      <c r="E285" s="2">
        <f t="shared" si="5"/>
        <v>0</v>
      </c>
      <c r="F285" s="9"/>
      <c r="G285" s="9"/>
      <c r="H285" s="2">
        <f>IF(SUM(F285:G285)&gt;Instructions!$B$5,"Error",SUM(F285:G285))</f>
        <v>0</v>
      </c>
      <c r="I285" s="8"/>
    </row>
    <row r="286" spans="1:9" ht="29.45" customHeight="1">
      <c r="A286" s="8"/>
      <c r="C286" s="2">
        <f>F286/Instructions!$B$5</f>
        <v>0</v>
      </c>
      <c r="D286" s="2">
        <f>G286/Instructions!$B$5</f>
        <v>0</v>
      </c>
      <c r="E286" s="2">
        <f t="shared" si="5"/>
        <v>0</v>
      </c>
      <c r="F286" s="9"/>
      <c r="G286" s="9"/>
      <c r="H286" s="2">
        <f>IF(SUM(F286:G286)&gt;Instructions!$B$5,"Error",SUM(F286:G286))</f>
        <v>0</v>
      </c>
      <c r="I286" s="8"/>
    </row>
    <row r="287" spans="1:9" ht="29.45" customHeight="1">
      <c r="A287" s="8"/>
      <c r="C287" s="2">
        <f>F287/Instructions!$B$5</f>
        <v>0</v>
      </c>
      <c r="D287" s="2">
        <f>G287/Instructions!$B$5</f>
        <v>0</v>
      </c>
      <c r="E287" s="2">
        <f t="shared" si="5"/>
        <v>0</v>
      </c>
      <c r="F287" s="9"/>
      <c r="G287" s="9"/>
      <c r="H287" s="2">
        <f>IF(SUM(F287:G287)&gt;Instructions!$B$5,"Error",SUM(F287:G287))</f>
        <v>0</v>
      </c>
      <c r="I287" s="8"/>
    </row>
    <row r="288" spans="1:9" ht="29.45" customHeight="1">
      <c r="A288" s="8"/>
      <c r="C288" s="2">
        <f>F288/Instructions!$B$5</f>
        <v>0</v>
      </c>
      <c r="D288" s="2">
        <f>G288/Instructions!$B$5</f>
        <v>0</v>
      </c>
      <c r="E288" s="2">
        <f t="shared" si="5"/>
        <v>0</v>
      </c>
      <c r="F288" s="9"/>
      <c r="G288" s="9"/>
      <c r="H288" s="2">
        <f>IF(SUM(F288:G288)&gt;Instructions!$B$5,"Error",SUM(F288:G288))</f>
        <v>0</v>
      </c>
      <c r="I288" s="8"/>
    </row>
    <row r="289" spans="1:9" ht="29.45" customHeight="1">
      <c r="A289" s="8"/>
      <c r="C289" s="2">
        <f>F289/Instructions!$B$5</f>
        <v>0</v>
      </c>
      <c r="D289" s="2">
        <f>G289/Instructions!$B$5</f>
        <v>0</v>
      </c>
      <c r="E289" s="2">
        <f t="shared" si="5"/>
        <v>0</v>
      </c>
      <c r="F289" s="9"/>
      <c r="G289" s="9"/>
      <c r="H289" s="2">
        <f>IF(SUM(F289:G289)&gt;Instructions!$B$5,"Error",SUM(F289:G289))</f>
        <v>0</v>
      </c>
      <c r="I289" s="8"/>
    </row>
    <row r="290" spans="1:9" ht="29.45" customHeight="1">
      <c r="A290" s="8"/>
      <c r="C290" s="2">
        <f>F290/Instructions!$B$5</f>
        <v>0</v>
      </c>
      <c r="D290" s="2">
        <f>G290/Instructions!$B$5</f>
        <v>0</v>
      </c>
      <c r="E290" s="2">
        <f t="shared" si="5"/>
        <v>0</v>
      </c>
      <c r="F290" s="9"/>
      <c r="G290" s="9"/>
      <c r="H290" s="2">
        <f>IF(SUM(F290:G290)&gt;Instructions!$B$5,"Error",SUM(F290:G290))</f>
        <v>0</v>
      </c>
      <c r="I290" s="8"/>
    </row>
    <row r="291" spans="1:9" ht="29.45" customHeight="1">
      <c r="A291" s="8"/>
      <c r="C291" s="2">
        <f>F291/Instructions!$B$5</f>
        <v>0</v>
      </c>
      <c r="D291" s="2">
        <f>G291/Instructions!$B$5</f>
        <v>0</v>
      </c>
      <c r="E291" s="2">
        <f t="shared" si="5"/>
        <v>0</v>
      </c>
      <c r="F291" s="9"/>
      <c r="G291" s="9"/>
      <c r="H291" s="2">
        <f>IF(SUM(F291:G291)&gt;Instructions!$B$5,"Error",SUM(F291:G291))</f>
        <v>0</v>
      </c>
      <c r="I291" s="8"/>
    </row>
    <row r="292" spans="1:9" ht="29.45" customHeight="1">
      <c r="A292" s="8"/>
      <c r="C292" s="2">
        <f>F292/Instructions!$B$5</f>
        <v>0</v>
      </c>
      <c r="D292" s="2">
        <f>G292/Instructions!$B$5</f>
        <v>0</v>
      </c>
      <c r="E292" s="2">
        <f t="shared" si="5"/>
        <v>0</v>
      </c>
      <c r="F292" s="9"/>
      <c r="G292" s="9"/>
      <c r="H292" s="2">
        <f>IF(SUM(F292:G292)&gt;Instructions!$B$5,"Error",SUM(F292:G292))</f>
        <v>0</v>
      </c>
      <c r="I292" s="8"/>
    </row>
    <row r="293" spans="1:9" ht="29.45" customHeight="1">
      <c r="A293" s="8"/>
      <c r="C293" s="2">
        <f>F293/Instructions!$B$5</f>
        <v>0</v>
      </c>
      <c r="D293" s="2">
        <f>G293/Instructions!$B$5</f>
        <v>0</v>
      </c>
      <c r="E293" s="2">
        <f t="shared" si="5"/>
        <v>0</v>
      </c>
      <c r="F293" s="9"/>
      <c r="G293" s="9"/>
      <c r="H293" s="2">
        <f>IF(SUM(F293:G293)&gt;Instructions!$B$5,"Error",SUM(F293:G293))</f>
        <v>0</v>
      </c>
      <c r="I293" s="8"/>
    </row>
    <row r="294" spans="1:9" ht="29.45" customHeight="1">
      <c r="A294" s="8"/>
      <c r="C294" s="2">
        <f>F294/Instructions!$B$5</f>
        <v>0</v>
      </c>
      <c r="D294" s="2">
        <f>G294/Instructions!$B$5</f>
        <v>0</v>
      </c>
      <c r="E294" s="2">
        <f t="shared" si="5"/>
        <v>0</v>
      </c>
      <c r="F294" s="9"/>
      <c r="G294" s="9"/>
      <c r="H294" s="2">
        <f>IF(SUM(F294:G294)&gt;Instructions!$B$5,"Error",SUM(F294:G294))</f>
        <v>0</v>
      </c>
      <c r="I294" s="8"/>
    </row>
    <row r="295" spans="1:9" ht="29.45" customHeight="1">
      <c r="A295" s="8"/>
      <c r="C295" s="2">
        <f>F295/Instructions!$B$5</f>
        <v>0</v>
      </c>
      <c r="D295" s="2">
        <f>G295/Instructions!$B$5</f>
        <v>0</v>
      </c>
      <c r="E295" s="2">
        <f t="shared" si="5"/>
        <v>0</v>
      </c>
      <c r="F295" s="9"/>
      <c r="G295" s="9"/>
      <c r="H295" s="2">
        <f>IF(SUM(F295:G295)&gt;Instructions!$B$5,"Error",SUM(F295:G295))</f>
        <v>0</v>
      </c>
      <c r="I295" s="8"/>
    </row>
    <row r="296" spans="1:9" ht="29.45" customHeight="1">
      <c r="A296" s="8"/>
      <c r="C296" s="2">
        <f>F296/Instructions!$B$5</f>
        <v>0</v>
      </c>
      <c r="D296" s="2">
        <f>G296/Instructions!$B$5</f>
        <v>0</v>
      </c>
      <c r="E296" s="2">
        <f t="shared" si="5"/>
        <v>0</v>
      </c>
      <c r="F296" s="9"/>
      <c r="G296" s="9"/>
      <c r="H296" s="2">
        <f>IF(SUM(F296:G296)&gt;Instructions!$B$5,"Error",SUM(F296:G296))</f>
        <v>0</v>
      </c>
      <c r="I296" s="8"/>
    </row>
    <row r="297" spans="1:9" ht="29.45" customHeight="1">
      <c r="A297" s="8"/>
      <c r="C297" s="2">
        <f>F297/Instructions!$B$5</f>
        <v>0</v>
      </c>
      <c r="D297" s="2">
        <f>G297/Instructions!$B$5</f>
        <v>0</v>
      </c>
      <c r="E297" s="2">
        <f t="shared" si="5"/>
        <v>0</v>
      </c>
      <c r="F297" s="9"/>
      <c r="G297" s="9"/>
      <c r="H297" s="2">
        <f>IF(SUM(F297:G297)&gt;Instructions!$B$5,"Error",SUM(F297:G297))</f>
        <v>0</v>
      </c>
      <c r="I297" s="8"/>
    </row>
    <row r="298" spans="1:9" ht="29.45" customHeight="1">
      <c r="A298" s="8"/>
      <c r="C298" s="2">
        <f>F298/Instructions!$B$5</f>
        <v>0</v>
      </c>
      <c r="D298" s="2">
        <f>G298/Instructions!$B$5</f>
        <v>0</v>
      </c>
      <c r="E298" s="2">
        <f t="shared" si="5"/>
        <v>0</v>
      </c>
      <c r="F298" s="9"/>
      <c r="G298" s="9"/>
      <c r="H298" s="2">
        <f>IF(SUM(F298:G298)&gt;Instructions!$B$5,"Error",SUM(F298:G298))</f>
        <v>0</v>
      </c>
      <c r="I298" s="8"/>
    </row>
    <row r="299" spans="1:9" ht="29.45" customHeight="1">
      <c r="A299" s="8"/>
      <c r="C299" s="2">
        <f>F299/Instructions!$B$5</f>
        <v>0</v>
      </c>
      <c r="D299" s="2">
        <f>G299/Instructions!$B$5</f>
        <v>0</v>
      </c>
      <c r="E299" s="2">
        <f t="shared" si="5"/>
        <v>0</v>
      </c>
      <c r="F299" s="9"/>
      <c r="G299" s="9"/>
      <c r="H299" s="2">
        <f>IF(SUM(F299:G299)&gt;Instructions!$B$5,"Error",SUM(F299:G299))</f>
        <v>0</v>
      </c>
      <c r="I299" s="8"/>
    </row>
    <row r="300" spans="1:9" ht="29.45" customHeight="1">
      <c r="A300" s="8"/>
      <c r="C300" s="2">
        <f>F300/Instructions!$B$5</f>
        <v>0</v>
      </c>
      <c r="D300" s="2">
        <f>G300/Instructions!$B$5</f>
        <v>0</v>
      </c>
      <c r="E300" s="2">
        <f t="shared" si="5"/>
        <v>0</v>
      </c>
      <c r="F300" s="9"/>
      <c r="G300" s="9"/>
      <c r="H300" s="2">
        <f>IF(SUM(F300:G300)&gt;Instructions!$B$5,"Error",SUM(F300:G300))</f>
        <v>0</v>
      </c>
      <c r="I300" s="8"/>
    </row>
    <row r="301" spans="1:9" ht="29.45" customHeight="1">
      <c r="A301" s="8"/>
      <c r="C301" s="2">
        <f>F301/Instructions!$B$5</f>
        <v>0</v>
      </c>
      <c r="D301" s="2">
        <f>G301/Instructions!$B$5</f>
        <v>0</v>
      </c>
      <c r="E301" s="2">
        <f t="shared" si="5"/>
        <v>0</v>
      </c>
      <c r="F301" s="9"/>
      <c r="G301" s="9"/>
      <c r="H301" s="2">
        <f>IF(SUM(F301:G301)&gt;Instructions!$B$5,"Error",SUM(F301:G301))</f>
        <v>0</v>
      </c>
      <c r="I301" s="8"/>
    </row>
    <row r="302" spans="1:9" ht="29.45" customHeight="1">
      <c r="A302" s="8"/>
      <c r="C302" s="2">
        <f>F302/Instructions!$B$5</f>
        <v>0</v>
      </c>
      <c r="D302" s="2">
        <f>G302/Instructions!$B$5</f>
        <v>0</v>
      </c>
      <c r="E302" s="2">
        <f t="shared" si="5"/>
        <v>0</v>
      </c>
      <c r="F302" s="9"/>
      <c r="G302" s="9"/>
      <c r="H302" s="2">
        <f>IF(SUM(F302:G302)&gt;Instructions!$B$5,"Error",SUM(F302:G302))</f>
        <v>0</v>
      </c>
      <c r="I302" s="8"/>
    </row>
    <row r="303" spans="1:9" ht="29.45" customHeight="1">
      <c r="A303" s="8"/>
      <c r="C303" s="2">
        <f>F303/Instructions!$B$5</f>
        <v>0</v>
      </c>
      <c r="D303" s="2">
        <f>G303/Instructions!$B$5</f>
        <v>0</v>
      </c>
      <c r="E303" s="2">
        <f t="shared" si="5"/>
        <v>0</v>
      </c>
      <c r="F303" s="9"/>
      <c r="G303" s="9"/>
      <c r="H303" s="2">
        <f>IF(SUM(F303:G303)&gt;Instructions!$B$5,"Error",SUM(F303:G303))</f>
        <v>0</v>
      </c>
      <c r="I303" s="8"/>
    </row>
    <row r="304" spans="1:9" ht="29.45" customHeight="1">
      <c r="A304" s="8"/>
      <c r="C304" s="2">
        <f>F304/Instructions!$B$5</f>
        <v>0</v>
      </c>
      <c r="D304" s="2">
        <f>G304/Instructions!$B$5</f>
        <v>0</v>
      </c>
      <c r="E304" s="2">
        <f t="shared" si="5"/>
        <v>0</v>
      </c>
      <c r="F304" s="9"/>
      <c r="G304" s="9"/>
      <c r="H304" s="2">
        <f>IF(SUM(F304:G304)&gt;Instructions!$B$5,"Error",SUM(F304:G304))</f>
        <v>0</v>
      </c>
      <c r="I304" s="8"/>
    </row>
    <row r="305" spans="1:9" ht="29.45" customHeight="1">
      <c r="A305" s="8"/>
      <c r="C305" s="2">
        <f>F305/Instructions!$B$5</f>
        <v>0</v>
      </c>
      <c r="D305" s="2">
        <f>G305/Instructions!$B$5</f>
        <v>0</v>
      </c>
      <c r="E305" s="2">
        <f t="shared" si="5"/>
        <v>0</v>
      </c>
      <c r="F305" s="9"/>
      <c r="G305" s="9"/>
      <c r="H305" s="2">
        <f>IF(SUM(F305:G305)&gt;Instructions!$B$5,"Error",SUM(F305:G305))</f>
        <v>0</v>
      </c>
      <c r="I305" s="8"/>
    </row>
    <row r="306" spans="1:9" ht="29.45" customHeight="1">
      <c r="A306" s="8"/>
      <c r="C306" s="2">
        <f>F306/Instructions!$B$5</f>
        <v>0</v>
      </c>
      <c r="D306" s="2">
        <f>G306/Instructions!$B$5</f>
        <v>0</v>
      </c>
      <c r="E306" s="2">
        <f t="shared" si="5"/>
        <v>0</v>
      </c>
      <c r="F306" s="9"/>
      <c r="G306" s="9"/>
      <c r="H306" s="2">
        <f>IF(SUM(F306:G306)&gt;Instructions!$B$5,"Error",SUM(F306:G306))</f>
        <v>0</v>
      </c>
      <c r="I306" s="8"/>
    </row>
    <row r="307" spans="1:9" ht="29.45" customHeight="1">
      <c r="A307" s="8"/>
      <c r="C307" s="2">
        <f>F307/Instructions!$B$5</f>
        <v>0</v>
      </c>
      <c r="D307" s="2">
        <f>G307/Instructions!$B$5</f>
        <v>0</v>
      </c>
      <c r="E307" s="2">
        <f t="shared" si="5"/>
        <v>0</v>
      </c>
      <c r="F307" s="9"/>
      <c r="G307" s="9"/>
      <c r="H307" s="2">
        <f>IF(SUM(F307:G307)&gt;Instructions!$B$5,"Error",SUM(F307:G307))</f>
        <v>0</v>
      </c>
      <c r="I307" s="8"/>
    </row>
    <row r="308" spans="1:9" ht="29.45" customHeight="1">
      <c r="A308" s="8"/>
      <c r="C308" s="2">
        <f>F308/Instructions!$B$5</f>
        <v>0</v>
      </c>
      <c r="D308" s="2">
        <f>G308/Instructions!$B$5</f>
        <v>0</v>
      </c>
      <c r="E308" s="2">
        <f t="shared" si="5"/>
        <v>0</v>
      </c>
      <c r="F308" s="9"/>
      <c r="G308" s="9"/>
      <c r="H308" s="2">
        <f>IF(SUM(F308:G308)&gt;Instructions!$B$5,"Error",SUM(F308:G308))</f>
        <v>0</v>
      </c>
      <c r="I308" s="8"/>
    </row>
    <row r="309" spans="1:9" ht="29.45" customHeight="1">
      <c r="A309" s="8"/>
      <c r="C309" s="2">
        <f>F309/Instructions!$B$5</f>
        <v>0</v>
      </c>
      <c r="D309" s="2">
        <f>G309/Instructions!$B$5</f>
        <v>0</v>
      </c>
      <c r="E309" s="2">
        <f t="shared" si="5"/>
        <v>0</v>
      </c>
      <c r="F309" s="9"/>
      <c r="G309" s="9"/>
      <c r="H309" s="2">
        <f>IF(SUM(F309:G309)&gt;Instructions!$B$5,"Error",SUM(F309:G309))</f>
        <v>0</v>
      </c>
      <c r="I309" s="8"/>
    </row>
    <row r="310" spans="1:9" ht="29.45" customHeight="1">
      <c r="A310" s="8"/>
      <c r="C310" s="2">
        <f>F310/Instructions!$B$5</f>
        <v>0</v>
      </c>
      <c r="D310" s="2">
        <f>G310/Instructions!$B$5</f>
        <v>0</v>
      </c>
      <c r="E310" s="2">
        <f t="shared" si="5"/>
        <v>0</v>
      </c>
      <c r="F310" s="9"/>
      <c r="G310" s="9"/>
      <c r="H310" s="2">
        <f>IF(SUM(F310:G310)&gt;Instructions!$B$5,"Error",SUM(F310:G310))</f>
        <v>0</v>
      </c>
      <c r="I310" s="8"/>
    </row>
    <row r="311" spans="1:9" ht="29.45" customHeight="1">
      <c r="A311" s="8"/>
      <c r="C311" s="2">
        <f>F311/Instructions!$B$5</f>
        <v>0</v>
      </c>
      <c r="D311" s="2">
        <f>G311/Instructions!$B$5</f>
        <v>0</v>
      </c>
      <c r="E311" s="2">
        <f t="shared" si="5"/>
        <v>0</v>
      </c>
      <c r="F311" s="9"/>
      <c r="G311" s="9"/>
      <c r="H311" s="2">
        <f>IF(SUM(F311:G311)&gt;Instructions!$B$5,"Error",SUM(F311:G311))</f>
        <v>0</v>
      </c>
      <c r="I311" s="8"/>
    </row>
    <row r="312" spans="1:9" ht="29.45" customHeight="1">
      <c r="A312" s="8"/>
      <c r="C312" s="2">
        <f>F312/Instructions!$B$5</f>
        <v>0</v>
      </c>
      <c r="D312" s="2">
        <f>G312/Instructions!$B$5</f>
        <v>0</v>
      </c>
      <c r="E312" s="2">
        <f t="shared" si="5"/>
        <v>0</v>
      </c>
      <c r="F312" s="9"/>
      <c r="G312" s="9"/>
      <c r="H312" s="2">
        <f>IF(SUM(F312:G312)&gt;Instructions!$B$5,"Error",SUM(F312:G312))</f>
        <v>0</v>
      </c>
      <c r="I312" s="8"/>
    </row>
    <row r="313" spans="1:9" ht="29.45" customHeight="1">
      <c r="A313" s="8"/>
      <c r="C313" s="2">
        <f>F313/Instructions!$B$5</f>
        <v>0</v>
      </c>
      <c r="D313" s="2">
        <f>G313/Instructions!$B$5</f>
        <v>0</v>
      </c>
      <c r="E313" s="2">
        <f t="shared" si="5"/>
        <v>0</v>
      </c>
      <c r="F313" s="9"/>
      <c r="G313" s="9"/>
      <c r="H313" s="2">
        <f>IF(SUM(F313:G313)&gt;Instructions!$B$5,"Error",SUM(F313:G313))</f>
        <v>0</v>
      </c>
      <c r="I313" s="8"/>
    </row>
    <row r="314" spans="1:9" ht="29.45" customHeight="1">
      <c r="A314" s="8"/>
      <c r="C314" s="2">
        <f>F314/Instructions!$B$5</f>
        <v>0</v>
      </c>
      <c r="D314" s="2">
        <f>G314/Instructions!$B$5</f>
        <v>0</v>
      </c>
      <c r="E314" s="2">
        <f t="shared" si="5"/>
        <v>0</v>
      </c>
      <c r="F314" s="9"/>
      <c r="G314" s="9"/>
      <c r="H314" s="2">
        <f>IF(SUM(F314:G314)&gt;Instructions!$B$5,"Error",SUM(F314:G314))</f>
        <v>0</v>
      </c>
      <c r="I314" s="8"/>
    </row>
    <row r="315" spans="1:9" ht="29.45" customHeight="1">
      <c r="A315" s="8"/>
      <c r="C315" s="2">
        <f>F315/Instructions!$B$5</f>
        <v>0</v>
      </c>
      <c r="D315" s="2">
        <f>G315/Instructions!$B$5</f>
        <v>0</v>
      </c>
      <c r="E315" s="2">
        <f t="shared" si="5"/>
        <v>0</v>
      </c>
      <c r="F315" s="9"/>
      <c r="G315" s="9"/>
      <c r="H315" s="2">
        <f>IF(SUM(F315:G315)&gt;Instructions!$B$5,"Error",SUM(F315:G315))</f>
        <v>0</v>
      </c>
      <c r="I315" s="8"/>
    </row>
    <row r="316" spans="1:9" ht="29.45" customHeight="1">
      <c r="A316" s="8"/>
      <c r="C316" s="2">
        <f>F316/Instructions!$B$5</f>
        <v>0</v>
      </c>
      <c r="D316" s="2">
        <f>G316/Instructions!$B$5</f>
        <v>0</v>
      </c>
      <c r="E316" s="2">
        <f t="shared" si="5"/>
        <v>0</v>
      </c>
      <c r="F316" s="9"/>
      <c r="G316" s="9"/>
      <c r="H316" s="2">
        <f>IF(SUM(F316:G316)&gt;Instructions!$B$5,"Error",SUM(F316:G316))</f>
        <v>0</v>
      </c>
      <c r="I316" s="8"/>
    </row>
    <row r="317" spans="1:9" ht="29.45" customHeight="1">
      <c r="A317" s="8"/>
      <c r="C317" s="2">
        <f>F317/Instructions!$B$5</f>
        <v>0</v>
      </c>
      <c r="D317" s="2">
        <f>G317/Instructions!$B$5</f>
        <v>0</v>
      </c>
      <c r="E317" s="2">
        <f t="shared" si="5"/>
        <v>0</v>
      </c>
      <c r="F317" s="9"/>
      <c r="G317" s="9"/>
      <c r="H317" s="2">
        <f>IF(SUM(F317:G317)&gt;Instructions!$B$5,"Error",SUM(F317:G317))</f>
        <v>0</v>
      </c>
      <c r="I317" s="8"/>
    </row>
    <row r="318" spans="1:9" ht="29.45" customHeight="1">
      <c r="A318" s="8"/>
      <c r="C318" s="2">
        <f>F318/Instructions!$B$5</f>
        <v>0</v>
      </c>
      <c r="D318" s="2">
        <f>G318/Instructions!$B$5</f>
        <v>0</v>
      </c>
      <c r="E318" s="2">
        <f t="shared" si="5"/>
        <v>0</v>
      </c>
      <c r="F318" s="9"/>
      <c r="G318" s="9"/>
      <c r="H318" s="2">
        <f>IF(SUM(F318:G318)&gt;Instructions!$B$5,"Error",SUM(F318:G318))</f>
        <v>0</v>
      </c>
      <c r="I318" s="8"/>
    </row>
    <row r="319" spans="1:9" ht="29.45" customHeight="1">
      <c r="A319" s="8"/>
      <c r="C319" s="2">
        <f>F319/Instructions!$B$5</f>
        <v>0</v>
      </c>
      <c r="D319" s="2">
        <f>G319/Instructions!$B$5</f>
        <v>0</v>
      </c>
      <c r="E319" s="2">
        <f t="shared" si="5"/>
        <v>0</v>
      </c>
      <c r="F319" s="9"/>
      <c r="G319" s="9"/>
      <c r="H319" s="2">
        <f>IF(SUM(F319:G319)&gt;Instructions!$B$5,"Error",SUM(F319:G319))</f>
        <v>0</v>
      </c>
      <c r="I319" s="8"/>
    </row>
    <row r="320" spans="1:9" ht="29.45" customHeight="1">
      <c r="A320" s="8"/>
      <c r="C320" s="2">
        <f>F320/Instructions!$B$5</f>
        <v>0</v>
      </c>
      <c r="D320" s="2">
        <f>G320/Instructions!$B$5</f>
        <v>0</v>
      </c>
      <c r="E320" s="2">
        <f t="shared" si="5"/>
        <v>0</v>
      </c>
      <c r="F320" s="9"/>
      <c r="G320" s="9"/>
      <c r="H320" s="2">
        <f>IF(SUM(F320:G320)&gt;Instructions!$B$5,"Error",SUM(F320:G320))</f>
        <v>0</v>
      </c>
      <c r="I320" s="8"/>
    </row>
    <row r="321" spans="1:9" ht="29.45" customHeight="1">
      <c r="A321" s="8"/>
      <c r="C321" s="2">
        <f>F321/Instructions!$B$5</f>
        <v>0</v>
      </c>
      <c r="D321" s="2">
        <f>G321/Instructions!$B$5</f>
        <v>0</v>
      </c>
      <c r="E321" s="2">
        <f t="shared" si="5"/>
        <v>0</v>
      </c>
      <c r="F321" s="9"/>
      <c r="G321" s="9"/>
      <c r="H321" s="2">
        <f>IF(SUM(F321:G321)&gt;Instructions!$B$5,"Error",SUM(F321:G321))</f>
        <v>0</v>
      </c>
      <c r="I321" s="8"/>
    </row>
    <row r="322" spans="1:9" ht="29.45" customHeight="1">
      <c r="A322" s="8"/>
      <c r="C322" s="2">
        <f>F322/Instructions!$B$5</f>
        <v>0</v>
      </c>
      <c r="D322" s="2">
        <f>G322/Instructions!$B$5</f>
        <v>0</v>
      </c>
      <c r="E322" s="2">
        <f t="shared" si="5"/>
        <v>0</v>
      </c>
      <c r="F322" s="9"/>
      <c r="G322" s="9"/>
      <c r="H322" s="2">
        <f>IF(SUM(F322:G322)&gt;Instructions!$B$5,"Error",SUM(F322:G322))</f>
        <v>0</v>
      </c>
      <c r="I322" s="8"/>
    </row>
    <row r="323" spans="1:9" ht="29.45" customHeight="1">
      <c r="A323" s="8"/>
      <c r="C323" s="2">
        <f>F323/Instructions!$B$5</f>
        <v>0</v>
      </c>
      <c r="D323" s="2">
        <f>G323/Instructions!$B$5</f>
        <v>0</v>
      </c>
      <c r="E323" s="2">
        <f t="shared" si="5"/>
        <v>0</v>
      </c>
      <c r="F323" s="9"/>
      <c r="G323" s="9"/>
      <c r="H323" s="2">
        <f>IF(SUM(F323:G323)&gt;Instructions!$B$5,"Error",SUM(F323:G323))</f>
        <v>0</v>
      </c>
      <c r="I323" s="8"/>
    </row>
    <row r="324" spans="1:9" ht="29.45" customHeight="1">
      <c r="A324" s="8"/>
      <c r="C324" s="2">
        <f>F324/Instructions!$B$5</f>
        <v>0</v>
      </c>
      <c r="D324" s="2">
        <f>G324/Instructions!$B$5</f>
        <v>0</v>
      </c>
      <c r="E324" s="2">
        <f t="shared" si="5"/>
        <v>0</v>
      </c>
      <c r="F324" s="9"/>
      <c r="G324" s="9"/>
      <c r="H324" s="2">
        <f>IF(SUM(F324:G324)&gt;Instructions!$B$5,"Error",SUM(F324:G324))</f>
        <v>0</v>
      </c>
      <c r="I324" s="8"/>
    </row>
    <row r="325" spans="1:9" ht="29.45" customHeight="1">
      <c r="A325" s="8"/>
      <c r="C325" s="2">
        <f>F325/Instructions!$B$5</f>
        <v>0</v>
      </c>
      <c r="D325" s="2">
        <f>G325/Instructions!$B$5</f>
        <v>0</v>
      </c>
      <c r="E325" s="2">
        <f t="shared" si="5"/>
        <v>0</v>
      </c>
      <c r="F325" s="9"/>
      <c r="G325" s="9"/>
      <c r="H325" s="2">
        <f>IF(SUM(F325:G325)&gt;Instructions!$B$5,"Error",SUM(F325:G325))</f>
        <v>0</v>
      </c>
      <c r="I325" s="8"/>
    </row>
    <row r="326" spans="1:9" ht="29.45" customHeight="1">
      <c r="A326" s="8"/>
      <c r="C326" s="2">
        <f>F326/Instructions!$B$5</f>
        <v>0</v>
      </c>
      <c r="D326" s="2">
        <f>G326/Instructions!$B$5</f>
        <v>0</v>
      </c>
      <c r="E326" s="2">
        <f t="shared" si="5"/>
        <v>0</v>
      </c>
      <c r="F326" s="9"/>
      <c r="G326" s="9"/>
      <c r="H326" s="2">
        <f>IF(SUM(F326:G326)&gt;Instructions!$B$5,"Error",SUM(F326:G326))</f>
        <v>0</v>
      </c>
      <c r="I326" s="8"/>
    </row>
    <row r="327" spans="1:9" ht="29.45" customHeight="1">
      <c r="A327" s="8"/>
      <c r="C327" s="2">
        <f>F327/Instructions!$B$5</f>
        <v>0</v>
      </c>
      <c r="D327" s="2">
        <f>G327/Instructions!$B$5</f>
        <v>0</v>
      </c>
      <c r="E327" s="2">
        <f t="shared" si="5"/>
        <v>0</v>
      </c>
      <c r="F327" s="9"/>
      <c r="G327" s="9"/>
      <c r="H327" s="2">
        <f>IF(SUM(F327:G327)&gt;Instructions!$B$5,"Error",SUM(F327:G327))</f>
        <v>0</v>
      </c>
      <c r="I327" s="8"/>
    </row>
    <row r="328" spans="1:9" ht="29.45" customHeight="1">
      <c r="A328" s="8"/>
      <c r="C328" s="2">
        <f>F328/Instructions!$B$5</f>
        <v>0</v>
      </c>
      <c r="D328" s="2">
        <f>G328/Instructions!$B$5</f>
        <v>0</v>
      </c>
      <c r="E328" s="2">
        <f t="shared" ref="E328:E391" si="6">IF(SUM(C328:D328)&gt;1,"Error",SUM(C328:D328))</f>
        <v>0</v>
      </c>
      <c r="F328" s="9"/>
      <c r="G328" s="9"/>
      <c r="H328" s="2">
        <f>IF(SUM(F328:G328)&gt;Instructions!$B$5,"Error",SUM(F328:G328))</f>
        <v>0</v>
      </c>
      <c r="I328" s="8"/>
    </row>
    <row r="329" spans="1:9" ht="29.45" customHeight="1">
      <c r="A329" s="8"/>
      <c r="C329" s="2">
        <f>F329/Instructions!$B$5</f>
        <v>0</v>
      </c>
      <c r="D329" s="2">
        <f>G329/Instructions!$B$5</f>
        <v>0</v>
      </c>
      <c r="E329" s="2">
        <f t="shared" si="6"/>
        <v>0</v>
      </c>
      <c r="F329" s="9"/>
      <c r="G329" s="9"/>
      <c r="H329" s="2">
        <f>IF(SUM(F329:G329)&gt;Instructions!$B$5,"Error",SUM(F329:G329))</f>
        <v>0</v>
      </c>
      <c r="I329" s="8"/>
    </row>
    <row r="330" spans="1:9" ht="29.45" customHeight="1">
      <c r="A330" s="8"/>
      <c r="C330" s="2">
        <f>F330/Instructions!$B$5</f>
        <v>0</v>
      </c>
      <c r="D330" s="2">
        <f>G330/Instructions!$B$5</f>
        <v>0</v>
      </c>
      <c r="E330" s="2">
        <f t="shared" si="6"/>
        <v>0</v>
      </c>
      <c r="F330" s="9"/>
      <c r="G330" s="9"/>
      <c r="H330" s="2">
        <f>IF(SUM(F330:G330)&gt;Instructions!$B$5,"Error",SUM(F330:G330))</f>
        <v>0</v>
      </c>
      <c r="I330" s="8"/>
    </row>
    <row r="331" spans="1:9" ht="29.45" customHeight="1">
      <c r="A331" s="8"/>
      <c r="C331" s="2">
        <f>F331/Instructions!$B$5</f>
        <v>0</v>
      </c>
      <c r="D331" s="2">
        <f>G331/Instructions!$B$5</f>
        <v>0</v>
      </c>
      <c r="E331" s="2">
        <f t="shared" si="6"/>
        <v>0</v>
      </c>
      <c r="F331" s="9"/>
      <c r="G331" s="9"/>
      <c r="H331" s="2">
        <f>IF(SUM(F331:G331)&gt;Instructions!$B$5,"Error",SUM(F331:G331))</f>
        <v>0</v>
      </c>
      <c r="I331" s="8"/>
    </row>
    <row r="332" spans="1:9" ht="29.45" customHeight="1">
      <c r="A332" s="8"/>
      <c r="C332" s="2">
        <f>F332/Instructions!$B$5</f>
        <v>0</v>
      </c>
      <c r="D332" s="2">
        <f>G332/Instructions!$B$5</f>
        <v>0</v>
      </c>
      <c r="E332" s="2">
        <f t="shared" si="6"/>
        <v>0</v>
      </c>
      <c r="F332" s="9"/>
      <c r="G332" s="9"/>
      <c r="H332" s="2">
        <f>IF(SUM(F332:G332)&gt;Instructions!$B$5,"Error",SUM(F332:G332))</f>
        <v>0</v>
      </c>
      <c r="I332" s="8"/>
    </row>
    <row r="333" spans="1:9" ht="29.45" customHeight="1">
      <c r="A333" s="8"/>
      <c r="C333" s="2">
        <f>F333/Instructions!$B$5</f>
        <v>0</v>
      </c>
      <c r="D333" s="2">
        <f>G333/Instructions!$B$5</f>
        <v>0</v>
      </c>
      <c r="E333" s="2">
        <f t="shared" si="6"/>
        <v>0</v>
      </c>
      <c r="F333" s="9"/>
      <c r="G333" s="9"/>
      <c r="H333" s="2">
        <f>IF(SUM(F333:G333)&gt;Instructions!$B$5,"Error",SUM(F333:G333))</f>
        <v>0</v>
      </c>
      <c r="I333" s="8"/>
    </row>
    <row r="334" spans="1:9" ht="29.45" customHeight="1">
      <c r="A334" s="8"/>
      <c r="C334" s="2">
        <f>F334/Instructions!$B$5</f>
        <v>0</v>
      </c>
      <c r="D334" s="2">
        <f>G334/Instructions!$B$5</f>
        <v>0</v>
      </c>
      <c r="E334" s="2">
        <f t="shared" si="6"/>
        <v>0</v>
      </c>
      <c r="F334" s="9"/>
      <c r="G334" s="9"/>
      <c r="H334" s="2">
        <f>IF(SUM(F334:G334)&gt;Instructions!$B$5,"Error",SUM(F334:G334))</f>
        <v>0</v>
      </c>
      <c r="I334" s="8"/>
    </row>
    <row r="335" spans="1:9" ht="29.45" customHeight="1">
      <c r="A335" s="8"/>
      <c r="C335" s="2">
        <f>F335/Instructions!$B$5</f>
        <v>0</v>
      </c>
      <c r="D335" s="2">
        <f>G335/Instructions!$B$5</f>
        <v>0</v>
      </c>
      <c r="E335" s="2">
        <f t="shared" si="6"/>
        <v>0</v>
      </c>
      <c r="F335" s="9"/>
      <c r="G335" s="9"/>
      <c r="H335" s="2">
        <f>IF(SUM(F335:G335)&gt;Instructions!$B$5,"Error",SUM(F335:G335))</f>
        <v>0</v>
      </c>
      <c r="I335" s="8"/>
    </row>
    <row r="336" spans="1:9" ht="29.45" customHeight="1">
      <c r="A336" s="8"/>
      <c r="C336" s="2">
        <f>F336/Instructions!$B$5</f>
        <v>0</v>
      </c>
      <c r="D336" s="2">
        <f>G336/Instructions!$B$5</f>
        <v>0</v>
      </c>
      <c r="E336" s="2">
        <f t="shared" si="6"/>
        <v>0</v>
      </c>
      <c r="F336" s="9"/>
      <c r="G336" s="9"/>
      <c r="H336" s="2">
        <f>IF(SUM(F336:G336)&gt;Instructions!$B$5,"Error",SUM(F336:G336))</f>
        <v>0</v>
      </c>
      <c r="I336" s="8"/>
    </row>
    <row r="337" spans="1:9" ht="29.45" customHeight="1">
      <c r="A337" s="8"/>
      <c r="C337" s="2">
        <f>F337/Instructions!$B$5</f>
        <v>0</v>
      </c>
      <c r="D337" s="2">
        <f>G337/Instructions!$B$5</f>
        <v>0</v>
      </c>
      <c r="E337" s="2">
        <f t="shared" si="6"/>
        <v>0</v>
      </c>
      <c r="F337" s="9"/>
      <c r="G337" s="9"/>
      <c r="H337" s="2">
        <f>IF(SUM(F337:G337)&gt;Instructions!$B$5,"Error",SUM(F337:G337))</f>
        <v>0</v>
      </c>
      <c r="I337" s="8"/>
    </row>
    <row r="338" spans="1:9" ht="29.45" customHeight="1">
      <c r="A338" s="8"/>
      <c r="C338" s="2">
        <f>F338/Instructions!$B$5</f>
        <v>0</v>
      </c>
      <c r="D338" s="2">
        <f>G338/Instructions!$B$5</f>
        <v>0</v>
      </c>
      <c r="E338" s="2">
        <f t="shared" si="6"/>
        <v>0</v>
      </c>
      <c r="F338" s="9"/>
      <c r="G338" s="9"/>
      <c r="H338" s="2">
        <f>IF(SUM(F338:G338)&gt;Instructions!$B$5,"Error",SUM(F338:G338))</f>
        <v>0</v>
      </c>
      <c r="I338" s="8"/>
    </row>
    <row r="339" spans="1:9" ht="29.45" customHeight="1">
      <c r="A339" s="8"/>
      <c r="C339" s="2">
        <f>F339/Instructions!$B$5</f>
        <v>0</v>
      </c>
      <c r="D339" s="2">
        <f>G339/Instructions!$B$5</f>
        <v>0</v>
      </c>
      <c r="E339" s="2">
        <f t="shared" si="6"/>
        <v>0</v>
      </c>
      <c r="F339" s="9"/>
      <c r="G339" s="9"/>
      <c r="H339" s="2">
        <f>IF(SUM(F339:G339)&gt;Instructions!$B$5,"Error",SUM(F339:G339))</f>
        <v>0</v>
      </c>
      <c r="I339" s="8"/>
    </row>
    <row r="340" spans="1:9" ht="29.45" customHeight="1">
      <c r="A340" s="8"/>
      <c r="C340" s="2">
        <f>F340/Instructions!$B$5</f>
        <v>0</v>
      </c>
      <c r="D340" s="2">
        <f>G340/Instructions!$B$5</f>
        <v>0</v>
      </c>
      <c r="E340" s="2">
        <f t="shared" si="6"/>
        <v>0</v>
      </c>
      <c r="F340" s="9"/>
      <c r="G340" s="9"/>
      <c r="H340" s="2">
        <f>IF(SUM(F340:G340)&gt;Instructions!$B$5,"Error",SUM(F340:G340))</f>
        <v>0</v>
      </c>
      <c r="I340" s="8"/>
    </row>
    <row r="341" spans="1:9" ht="29.45" customHeight="1">
      <c r="A341" s="8"/>
      <c r="C341" s="2">
        <f>F341/Instructions!$B$5</f>
        <v>0</v>
      </c>
      <c r="D341" s="2">
        <f>G341/Instructions!$B$5</f>
        <v>0</v>
      </c>
      <c r="E341" s="2">
        <f t="shared" si="6"/>
        <v>0</v>
      </c>
      <c r="F341" s="9"/>
      <c r="G341" s="9"/>
      <c r="H341" s="2">
        <f>IF(SUM(F341:G341)&gt;Instructions!$B$5,"Error",SUM(F341:G341))</f>
        <v>0</v>
      </c>
      <c r="I341" s="8"/>
    </row>
    <row r="342" spans="1:9" ht="29.45" customHeight="1">
      <c r="A342" s="8"/>
      <c r="C342" s="2">
        <f>F342/Instructions!$B$5</f>
        <v>0</v>
      </c>
      <c r="D342" s="2">
        <f>G342/Instructions!$B$5</f>
        <v>0</v>
      </c>
      <c r="E342" s="2">
        <f t="shared" si="6"/>
        <v>0</v>
      </c>
      <c r="F342" s="9"/>
      <c r="G342" s="9"/>
      <c r="H342" s="2">
        <f>IF(SUM(F342:G342)&gt;Instructions!$B$5,"Error",SUM(F342:G342))</f>
        <v>0</v>
      </c>
      <c r="I342" s="8"/>
    </row>
    <row r="343" spans="1:9" ht="29.45" customHeight="1">
      <c r="A343" s="8"/>
      <c r="C343" s="2">
        <f>F343/Instructions!$B$5</f>
        <v>0</v>
      </c>
      <c r="D343" s="2">
        <f>G343/Instructions!$B$5</f>
        <v>0</v>
      </c>
      <c r="E343" s="2">
        <f t="shared" si="6"/>
        <v>0</v>
      </c>
      <c r="F343" s="9"/>
      <c r="G343" s="9"/>
      <c r="H343" s="2">
        <f>IF(SUM(F343:G343)&gt;Instructions!$B$5,"Error",SUM(F343:G343))</f>
        <v>0</v>
      </c>
      <c r="I343" s="8"/>
    </row>
    <row r="344" spans="1:9" ht="29.45" customHeight="1">
      <c r="A344" s="8"/>
      <c r="C344" s="2">
        <f>F344/Instructions!$B$5</f>
        <v>0</v>
      </c>
      <c r="D344" s="2">
        <f>G344/Instructions!$B$5</f>
        <v>0</v>
      </c>
      <c r="E344" s="2">
        <f t="shared" si="6"/>
        <v>0</v>
      </c>
      <c r="F344" s="9"/>
      <c r="G344" s="9"/>
      <c r="H344" s="2">
        <f>IF(SUM(F344:G344)&gt;Instructions!$B$5,"Error",SUM(F344:G344))</f>
        <v>0</v>
      </c>
      <c r="I344" s="8"/>
    </row>
    <row r="345" spans="1:9" ht="29.45" customHeight="1">
      <c r="A345" s="8"/>
      <c r="C345" s="2">
        <f>F345/Instructions!$B$5</f>
        <v>0</v>
      </c>
      <c r="D345" s="2">
        <f>G345/Instructions!$B$5</f>
        <v>0</v>
      </c>
      <c r="E345" s="2">
        <f t="shared" si="6"/>
        <v>0</v>
      </c>
      <c r="F345" s="9"/>
      <c r="G345" s="9"/>
      <c r="H345" s="2">
        <f>IF(SUM(F345:G345)&gt;Instructions!$B$5,"Error",SUM(F345:G345))</f>
        <v>0</v>
      </c>
      <c r="I345" s="8"/>
    </row>
    <row r="346" spans="1:9" ht="29.45" customHeight="1">
      <c r="A346" s="8"/>
      <c r="C346" s="2">
        <f>F346/Instructions!$B$5</f>
        <v>0</v>
      </c>
      <c r="D346" s="2">
        <f>G346/Instructions!$B$5</f>
        <v>0</v>
      </c>
      <c r="E346" s="2">
        <f t="shared" si="6"/>
        <v>0</v>
      </c>
      <c r="F346" s="9"/>
      <c r="G346" s="9"/>
      <c r="H346" s="2">
        <f>IF(SUM(F346:G346)&gt;Instructions!$B$5,"Error",SUM(F346:G346))</f>
        <v>0</v>
      </c>
      <c r="I346" s="8"/>
    </row>
    <row r="347" spans="1:9" ht="29.45" customHeight="1">
      <c r="A347" s="8"/>
      <c r="C347" s="2">
        <f>F347/Instructions!$B$5</f>
        <v>0</v>
      </c>
      <c r="D347" s="2">
        <f>G347/Instructions!$B$5</f>
        <v>0</v>
      </c>
      <c r="E347" s="2">
        <f t="shared" si="6"/>
        <v>0</v>
      </c>
      <c r="F347" s="9"/>
      <c r="G347" s="9"/>
      <c r="H347" s="2">
        <f>IF(SUM(F347:G347)&gt;Instructions!$B$5,"Error",SUM(F347:G347))</f>
        <v>0</v>
      </c>
      <c r="I347" s="8"/>
    </row>
    <row r="348" spans="1:9" ht="29.45" customHeight="1">
      <c r="A348" s="8"/>
      <c r="C348" s="2">
        <f>F348/Instructions!$B$5</f>
        <v>0</v>
      </c>
      <c r="D348" s="2">
        <f>G348/Instructions!$B$5</f>
        <v>0</v>
      </c>
      <c r="E348" s="2">
        <f t="shared" si="6"/>
        <v>0</v>
      </c>
      <c r="F348" s="9"/>
      <c r="G348" s="9"/>
      <c r="H348" s="2">
        <f>IF(SUM(F348:G348)&gt;Instructions!$B$5,"Error",SUM(F348:G348))</f>
        <v>0</v>
      </c>
      <c r="I348" s="8"/>
    </row>
    <row r="349" spans="1:9" ht="29.45" customHeight="1">
      <c r="A349" s="8"/>
      <c r="C349" s="2">
        <f>F349/Instructions!$B$5</f>
        <v>0</v>
      </c>
      <c r="D349" s="2">
        <f>G349/Instructions!$B$5</f>
        <v>0</v>
      </c>
      <c r="E349" s="2">
        <f t="shared" si="6"/>
        <v>0</v>
      </c>
      <c r="F349" s="9"/>
      <c r="G349" s="9"/>
      <c r="H349" s="2">
        <f>IF(SUM(F349:G349)&gt;Instructions!$B$5,"Error",SUM(F349:G349))</f>
        <v>0</v>
      </c>
      <c r="I349" s="8"/>
    </row>
    <row r="350" spans="1:9" ht="29.45" customHeight="1">
      <c r="A350" s="8"/>
      <c r="C350" s="2">
        <f>F350/Instructions!$B$5</f>
        <v>0</v>
      </c>
      <c r="D350" s="2">
        <f>G350/Instructions!$B$5</f>
        <v>0</v>
      </c>
      <c r="E350" s="2">
        <f t="shared" si="6"/>
        <v>0</v>
      </c>
      <c r="F350" s="9"/>
      <c r="G350" s="9"/>
      <c r="H350" s="2">
        <f>IF(SUM(F350:G350)&gt;Instructions!$B$5,"Error",SUM(F350:G350))</f>
        <v>0</v>
      </c>
      <c r="I350" s="8"/>
    </row>
    <row r="351" spans="1:9" ht="29.45" customHeight="1">
      <c r="A351" s="8"/>
      <c r="C351" s="2">
        <f>F351/Instructions!$B$5</f>
        <v>0</v>
      </c>
      <c r="D351" s="2">
        <f>G351/Instructions!$B$5</f>
        <v>0</v>
      </c>
      <c r="E351" s="2">
        <f t="shared" si="6"/>
        <v>0</v>
      </c>
      <c r="F351" s="9"/>
      <c r="G351" s="9"/>
      <c r="H351" s="2">
        <f>IF(SUM(F351:G351)&gt;Instructions!$B$5,"Error",SUM(F351:G351))</f>
        <v>0</v>
      </c>
      <c r="I351" s="8"/>
    </row>
    <row r="352" spans="1:9" ht="29.45" customHeight="1">
      <c r="A352" s="8"/>
      <c r="C352" s="2">
        <f>F352/Instructions!$B$5</f>
        <v>0</v>
      </c>
      <c r="D352" s="2">
        <f>G352/Instructions!$B$5</f>
        <v>0</v>
      </c>
      <c r="E352" s="2">
        <f t="shared" si="6"/>
        <v>0</v>
      </c>
      <c r="F352" s="9"/>
      <c r="G352" s="9"/>
      <c r="H352" s="2">
        <f>IF(SUM(F352:G352)&gt;Instructions!$B$5,"Error",SUM(F352:G352))</f>
        <v>0</v>
      </c>
      <c r="I352" s="8"/>
    </row>
    <row r="353" spans="1:9" ht="29.45" customHeight="1">
      <c r="A353" s="8"/>
      <c r="C353" s="2">
        <f>F353/Instructions!$B$5</f>
        <v>0</v>
      </c>
      <c r="D353" s="2">
        <f>G353/Instructions!$B$5</f>
        <v>0</v>
      </c>
      <c r="E353" s="2">
        <f t="shared" si="6"/>
        <v>0</v>
      </c>
      <c r="F353" s="9"/>
      <c r="G353" s="9"/>
      <c r="H353" s="2">
        <f>IF(SUM(F353:G353)&gt;Instructions!$B$5,"Error",SUM(F353:G353))</f>
        <v>0</v>
      </c>
      <c r="I353" s="8"/>
    </row>
    <row r="354" spans="1:9" ht="29.45" customHeight="1">
      <c r="A354" s="8"/>
      <c r="C354" s="2">
        <f>F354/Instructions!$B$5</f>
        <v>0</v>
      </c>
      <c r="D354" s="2">
        <f>G354/Instructions!$B$5</f>
        <v>0</v>
      </c>
      <c r="E354" s="2">
        <f t="shared" si="6"/>
        <v>0</v>
      </c>
      <c r="F354" s="9"/>
      <c r="G354" s="9"/>
      <c r="H354" s="2">
        <f>IF(SUM(F354:G354)&gt;Instructions!$B$5,"Error",SUM(F354:G354))</f>
        <v>0</v>
      </c>
      <c r="I354" s="8"/>
    </row>
    <row r="355" spans="1:9" ht="29.45" customHeight="1">
      <c r="A355" s="8"/>
      <c r="C355" s="2">
        <f>F355/Instructions!$B$5</f>
        <v>0</v>
      </c>
      <c r="D355" s="2">
        <f>G355/Instructions!$B$5</f>
        <v>0</v>
      </c>
      <c r="E355" s="2">
        <f t="shared" si="6"/>
        <v>0</v>
      </c>
      <c r="F355" s="9"/>
      <c r="G355" s="9"/>
      <c r="H355" s="2">
        <f>IF(SUM(F355:G355)&gt;Instructions!$B$5,"Error",SUM(F355:G355))</f>
        <v>0</v>
      </c>
      <c r="I355" s="8"/>
    </row>
    <row r="356" spans="1:9" ht="29.45" customHeight="1">
      <c r="A356" s="8"/>
      <c r="C356" s="2">
        <f>F356/Instructions!$B$5</f>
        <v>0</v>
      </c>
      <c r="D356" s="2">
        <f>G356/Instructions!$B$5</f>
        <v>0</v>
      </c>
      <c r="E356" s="2">
        <f t="shared" si="6"/>
        <v>0</v>
      </c>
      <c r="F356" s="9"/>
      <c r="G356" s="9"/>
      <c r="H356" s="2">
        <f>IF(SUM(F356:G356)&gt;Instructions!$B$5,"Error",SUM(F356:G356))</f>
        <v>0</v>
      </c>
      <c r="I356" s="8"/>
    </row>
    <row r="357" spans="1:9" ht="29.45" customHeight="1">
      <c r="A357" s="8"/>
      <c r="C357" s="2">
        <f>F357/Instructions!$B$5</f>
        <v>0</v>
      </c>
      <c r="D357" s="2">
        <f>G357/Instructions!$B$5</f>
        <v>0</v>
      </c>
      <c r="E357" s="2">
        <f t="shared" si="6"/>
        <v>0</v>
      </c>
      <c r="F357" s="9"/>
      <c r="G357" s="9"/>
      <c r="H357" s="2">
        <f>IF(SUM(F357:G357)&gt;Instructions!$B$5,"Error",SUM(F357:G357))</f>
        <v>0</v>
      </c>
      <c r="I357" s="8"/>
    </row>
    <row r="358" spans="1:9" ht="29.45" customHeight="1">
      <c r="A358" s="8"/>
      <c r="C358" s="2">
        <f>F358/Instructions!$B$5</f>
        <v>0</v>
      </c>
      <c r="D358" s="2">
        <f>G358/Instructions!$B$5</f>
        <v>0</v>
      </c>
      <c r="E358" s="2">
        <f t="shared" si="6"/>
        <v>0</v>
      </c>
      <c r="F358" s="9"/>
      <c r="G358" s="9"/>
      <c r="H358" s="2">
        <f>IF(SUM(F358:G358)&gt;Instructions!$B$5,"Error",SUM(F358:G358))</f>
        <v>0</v>
      </c>
      <c r="I358" s="8"/>
    </row>
    <row r="359" spans="1:9" ht="29.45" customHeight="1">
      <c r="A359" s="8"/>
      <c r="C359" s="2">
        <f>F359/Instructions!$B$5</f>
        <v>0</v>
      </c>
      <c r="D359" s="2">
        <f>G359/Instructions!$B$5</f>
        <v>0</v>
      </c>
      <c r="E359" s="2">
        <f t="shared" si="6"/>
        <v>0</v>
      </c>
      <c r="F359" s="9"/>
      <c r="G359" s="9"/>
      <c r="H359" s="2">
        <f>IF(SUM(F359:G359)&gt;Instructions!$B$5,"Error",SUM(F359:G359))</f>
        <v>0</v>
      </c>
      <c r="I359" s="8"/>
    </row>
    <row r="360" spans="1:9" ht="29.45" customHeight="1">
      <c r="A360" s="8"/>
      <c r="C360" s="2">
        <f>F360/Instructions!$B$5</f>
        <v>0</v>
      </c>
      <c r="D360" s="2">
        <f>G360/Instructions!$B$5</f>
        <v>0</v>
      </c>
      <c r="E360" s="2">
        <f t="shared" si="6"/>
        <v>0</v>
      </c>
      <c r="F360" s="9"/>
      <c r="G360" s="9"/>
      <c r="H360" s="2">
        <f>IF(SUM(F360:G360)&gt;Instructions!$B$5,"Error",SUM(F360:G360))</f>
        <v>0</v>
      </c>
      <c r="I360" s="8"/>
    </row>
    <row r="361" spans="1:9" ht="29.45" customHeight="1">
      <c r="A361" s="8"/>
      <c r="C361" s="2">
        <f>F361/Instructions!$B$5</f>
        <v>0</v>
      </c>
      <c r="D361" s="2">
        <f>G361/Instructions!$B$5</f>
        <v>0</v>
      </c>
      <c r="E361" s="2">
        <f t="shared" si="6"/>
        <v>0</v>
      </c>
      <c r="F361" s="9"/>
      <c r="G361" s="9"/>
      <c r="H361" s="2">
        <f>IF(SUM(F361:G361)&gt;Instructions!$B$5,"Error",SUM(F361:G361))</f>
        <v>0</v>
      </c>
      <c r="I361" s="8"/>
    </row>
    <row r="362" spans="1:9" ht="29.45" customHeight="1">
      <c r="A362" s="8"/>
      <c r="C362" s="2">
        <f>F362/Instructions!$B$5</f>
        <v>0</v>
      </c>
      <c r="D362" s="2">
        <f>G362/Instructions!$B$5</f>
        <v>0</v>
      </c>
      <c r="E362" s="2">
        <f t="shared" si="6"/>
        <v>0</v>
      </c>
      <c r="F362" s="9"/>
      <c r="G362" s="9"/>
      <c r="H362" s="2">
        <f>IF(SUM(F362:G362)&gt;Instructions!$B$5,"Error",SUM(F362:G362))</f>
        <v>0</v>
      </c>
      <c r="I362" s="8"/>
    </row>
    <row r="363" spans="1:9" ht="29.45" customHeight="1">
      <c r="A363" s="8"/>
      <c r="C363" s="2">
        <f>F363/Instructions!$B$5</f>
        <v>0</v>
      </c>
      <c r="D363" s="2">
        <f>G363/Instructions!$B$5</f>
        <v>0</v>
      </c>
      <c r="E363" s="2">
        <f t="shared" si="6"/>
        <v>0</v>
      </c>
      <c r="F363" s="9"/>
      <c r="G363" s="9"/>
      <c r="H363" s="2">
        <f>IF(SUM(F363:G363)&gt;Instructions!$B$5,"Error",SUM(F363:G363))</f>
        <v>0</v>
      </c>
      <c r="I363" s="8"/>
    </row>
    <row r="364" spans="1:9" ht="29.45" customHeight="1">
      <c r="A364" s="8"/>
      <c r="C364" s="2">
        <f>F364/Instructions!$B$5</f>
        <v>0</v>
      </c>
      <c r="D364" s="2">
        <f>G364/Instructions!$B$5</f>
        <v>0</v>
      </c>
      <c r="E364" s="2">
        <f t="shared" si="6"/>
        <v>0</v>
      </c>
      <c r="F364" s="9"/>
      <c r="G364" s="9"/>
      <c r="H364" s="2">
        <f>IF(SUM(F364:G364)&gt;Instructions!$B$5,"Error",SUM(F364:G364))</f>
        <v>0</v>
      </c>
      <c r="I364" s="8"/>
    </row>
    <row r="365" spans="1:9" ht="29.45" customHeight="1">
      <c r="A365" s="8"/>
      <c r="C365" s="2">
        <f>F365/Instructions!$B$5</f>
        <v>0</v>
      </c>
      <c r="D365" s="2">
        <f>G365/Instructions!$B$5</f>
        <v>0</v>
      </c>
      <c r="E365" s="2">
        <f t="shared" si="6"/>
        <v>0</v>
      </c>
      <c r="F365" s="9"/>
      <c r="G365" s="9"/>
      <c r="H365" s="2">
        <f>IF(SUM(F365:G365)&gt;Instructions!$B$5,"Error",SUM(F365:G365))</f>
        <v>0</v>
      </c>
      <c r="I365" s="8"/>
    </row>
    <row r="366" spans="1:9" ht="29.45" customHeight="1">
      <c r="A366" s="8"/>
      <c r="C366" s="2">
        <f>F366/Instructions!$B$5</f>
        <v>0</v>
      </c>
      <c r="D366" s="2">
        <f>G366/Instructions!$B$5</f>
        <v>0</v>
      </c>
      <c r="E366" s="2">
        <f t="shared" si="6"/>
        <v>0</v>
      </c>
      <c r="F366" s="9"/>
      <c r="G366" s="9"/>
      <c r="H366" s="2">
        <f>IF(SUM(F366:G366)&gt;Instructions!$B$5,"Error",SUM(F366:G366))</f>
        <v>0</v>
      </c>
      <c r="I366" s="8"/>
    </row>
    <row r="367" spans="1:9" ht="29.45" customHeight="1">
      <c r="A367" s="8"/>
      <c r="C367" s="2">
        <f>F367/Instructions!$B$5</f>
        <v>0</v>
      </c>
      <c r="D367" s="2">
        <f>G367/Instructions!$B$5</f>
        <v>0</v>
      </c>
      <c r="E367" s="2">
        <f t="shared" si="6"/>
        <v>0</v>
      </c>
      <c r="F367" s="9"/>
      <c r="G367" s="9"/>
      <c r="H367" s="2">
        <f>IF(SUM(F367:G367)&gt;Instructions!$B$5,"Error",SUM(F367:G367))</f>
        <v>0</v>
      </c>
      <c r="I367" s="8"/>
    </row>
    <row r="368" spans="1:9" ht="29.45" customHeight="1">
      <c r="A368" s="8"/>
      <c r="C368" s="2">
        <f>F368/Instructions!$B$5</f>
        <v>0</v>
      </c>
      <c r="D368" s="2">
        <f>G368/Instructions!$B$5</f>
        <v>0</v>
      </c>
      <c r="E368" s="2">
        <f t="shared" si="6"/>
        <v>0</v>
      </c>
      <c r="F368" s="9"/>
      <c r="G368" s="9"/>
      <c r="H368" s="2">
        <f>IF(SUM(F368:G368)&gt;Instructions!$B$5,"Error",SUM(F368:G368))</f>
        <v>0</v>
      </c>
      <c r="I368" s="8"/>
    </row>
    <row r="369" spans="1:9" ht="29.45" customHeight="1">
      <c r="A369" s="8"/>
      <c r="C369" s="2">
        <f>F369/Instructions!$B$5</f>
        <v>0</v>
      </c>
      <c r="D369" s="2">
        <f>G369/Instructions!$B$5</f>
        <v>0</v>
      </c>
      <c r="E369" s="2">
        <f t="shared" si="6"/>
        <v>0</v>
      </c>
      <c r="F369" s="9"/>
      <c r="G369" s="9"/>
      <c r="H369" s="2">
        <f>IF(SUM(F369:G369)&gt;Instructions!$B$5,"Error",SUM(F369:G369))</f>
        <v>0</v>
      </c>
      <c r="I369" s="8"/>
    </row>
    <row r="370" spans="1:9" ht="29.45" customHeight="1">
      <c r="A370" s="8"/>
      <c r="C370" s="2">
        <f>F370/Instructions!$B$5</f>
        <v>0</v>
      </c>
      <c r="D370" s="2">
        <f>G370/Instructions!$B$5</f>
        <v>0</v>
      </c>
      <c r="E370" s="2">
        <f t="shared" si="6"/>
        <v>0</v>
      </c>
      <c r="F370" s="9"/>
      <c r="G370" s="9"/>
      <c r="H370" s="2">
        <f>IF(SUM(F370:G370)&gt;Instructions!$B$5,"Error",SUM(F370:G370))</f>
        <v>0</v>
      </c>
      <c r="I370" s="8"/>
    </row>
    <row r="371" spans="1:9" ht="29.45" customHeight="1">
      <c r="A371" s="8"/>
      <c r="C371" s="2">
        <f>F371/Instructions!$B$5</f>
        <v>0</v>
      </c>
      <c r="D371" s="2">
        <f>G371/Instructions!$B$5</f>
        <v>0</v>
      </c>
      <c r="E371" s="2">
        <f t="shared" si="6"/>
        <v>0</v>
      </c>
      <c r="F371" s="9"/>
      <c r="G371" s="9"/>
      <c r="H371" s="2">
        <f>IF(SUM(F371:G371)&gt;Instructions!$B$5,"Error",SUM(F371:G371))</f>
        <v>0</v>
      </c>
      <c r="I371" s="8"/>
    </row>
    <row r="372" spans="1:9" ht="29.45" customHeight="1">
      <c r="A372" s="8"/>
      <c r="C372" s="2">
        <f>F372/Instructions!$B$5</f>
        <v>0</v>
      </c>
      <c r="D372" s="2">
        <f>G372/Instructions!$B$5</f>
        <v>0</v>
      </c>
      <c r="E372" s="2">
        <f t="shared" si="6"/>
        <v>0</v>
      </c>
      <c r="F372" s="9"/>
      <c r="G372" s="9"/>
      <c r="H372" s="2">
        <f>IF(SUM(F372:G372)&gt;Instructions!$B$5,"Error",SUM(F372:G372))</f>
        <v>0</v>
      </c>
      <c r="I372" s="8"/>
    </row>
    <row r="373" spans="1:9" ht="29.45" customHeight="1">
      <c r="A373" s="8"/>
      <c r="C373" s="2">
        <f>F373/Instructions!$B$5</f>
        <v>0</v>
      </c>
      <c r="D373" s="2">
        <f>G373/Instructions!$B$5</f>
        <v>0</v>
      </c>
      <c r="E373" s="2">
        <f t="shared" si="6"/>
        <v>0</v>
      </c>
      <c r="F373" s="9"/>
      <c r="G373" s="9"/>
      <c r="H373" s="2">
        <f>IF(SUM(F373:G373)&gt;Instructions!$B$5,"Error",SUM(F373:G373))</f>
        <v>0</v>
      </c>
      <c r="I373" s="8"/>
    </row>
    <row r="374" spans="1:9" ht="29.45" customHeight="1">
      <c r="A374" s="8"/>
      <c r="C374" s="2">
        <f>F374/Instructions!$B$5</f>
        <v>0</v>
      </c>
      <c r="D374" s="2">
        <f>G374/Instructions!$B$5</f>
        <v>0</v>
      </c>
      <c r="E374" s="2">
        <f t="shared" si="6"/>
        <v>0</v>
      </c>
      <c r="F374" s="9"/>
      <c r="G374" s="9"/>
      <c r="H374" s="2">
        <f>IF(SUM(F374:G374)&gt;Instructions!$B$5,"Error",SUM(F374:G374))</f>
        <v>0</v>
      </c>
      <c r="I374" s="8"/>
    </row>
    <row r="375" spans="1:9" ht="29.45" customHeight="1">
      <c r="A375" s="8"/>
      <c r="C375" s="2">
        <f>F375/Instructions!$B$5</f>
        <v>0</v>
      </c>
      <c r="D375" s="2">
        <f>G375/Instructions!$B$5</f>
        <v>0</v>
      </c>
      <c r="E375" s="2">
        <f t="shared" si="6"/>
        <v>0</v>
      </c>
      <c r="F375" s="9"/>
      <c r="G375" s="9"/>
      <c r="H375" s="2">
        <f>IF(SUM(F375:G375)&gt;Instructions!$B$5,"Error",SUM(F375:G375))</f>
        <v>0</v>
      </c>
      <c r="I375" s="8"/>
    </row>
    <row r="376" spans="1:9" ht="29.45" customHeight="1">
      <c r="A376" s="8"/>
      <c r="C376" s="2">
        <f>F376/Instructions!$B$5</f>
        <v>0</v>
      </c>
      <c r="D376" s="2">
        <f>G376/Instructions!$B$5</f>
        <v>0</v>
      </c>
      <c r="E376" s="2">
        <f t="shared" si="6"/>
        <v>0</v>
      </c>
      <c r="F376" s="9"/>
      <c r="G376" s="9"/>
      <c r="H376" s="2">
        <f>IF(SUM(F376:G376)&gt;Instructions!$B$5,"Error",SUM(F376:G376))</f>
        <v>0</v>
      </c>
      <c r="I376" s="8"/>
    </row>
    <row r="377" spans="1:9" ht="29.45" customHeight="1">
      <c r="A377" s="8"/>
      <c r="C377" s="2">
        <f>F377/Instructions!$B$5</f>
        <v>0</v>
      </c>
      <c r="D377" s="2">
        <f>G377/Instructions!$B$5</f>
        <v>0</v>
      </c>
      <c r="E377" s="2">
        <f t="shared" si="6"/>
        <v>0</v>
      </c>
      <c r="F377" s="9"/>
      <c r="G377" s="9"/>
      <c r="H377" s="2">
        <f>IF(SUM(F377:G377)&gt;Instructions!$B$5,"Error",SUM(F377:G377))</f>
        <v>0</v>
      </c>
      <c r="I377" s="8"/>
    </row>
    <row r="378" spans="1:9" ht="29.45" customHeight="1">
      <c r="A378" s="8"/>
      <c r="C378" s="2">
        <f>F378/Instructions!$B$5</f>
        <v>0</v>
      </c>
      <c r="D378" s="2">
        <f>G378/Instructions!$B$5</f>
        <v>0</v>
      </c>
      <c r="E378" s="2">
        <f t="shared" si="6"/>
        <v>0</v>
      </c>
      <c r="F378" s="9"/>
      <c r="G378" s="9"/>
      <c r="H378" s="2">
        <f>IF(SUM(F378:G378)&gt;Instructions!$B$5,"Error",SUM(F378:G378))</f>
        <v>0</v>
      </c>
      <c r="I378" s="8"/>
    </row>
    <row r="379" spans="1:9" ht="29.45" customHeight="1">
      <c r="A379" s="8"/>
      <c r="C379" s="2">
        <f>F379/Instructions!$B$5</f>
        <v>0</v>
      </c>
      <c r="D379" s="2">
        <f>G379/Instructions!$B$5</f>
        <v>0</v>
      </c>
      <c r="E379" s="2">
        <f t="shared" si="6"/>
        <v>0</v>
      </c>
      <c r="F379" s="9"/>
      <c r="G379" s="9"/>
      <c r="H379" s="2">
        <f>IF(SUM(F379:G379)&gt;Instructions!$B$5,"Error",SUM(F379:G379))</f>
        <v>0</v>
      </c>
      <c r="I379" s="8"/>
    </row>
    <row r="380" spans="1:9" ht="29.45" customHeight="1">
      <c r="A380" s="8"/>
      <c r="C380" s="2">
        <f>F380/Instructions!$B$5</f>
        <v>0</v>
      </c>
      <c r="D380" s="2">
        <f>G380/Instructions!$B$5</f>
        <v>0</v>
      </c>
      <c r="E380" s="2">
        <f t="shared" si="6"/>
        <v>0</v>
      </c>
      <c r="F380" s="9"/>
      <c r="G380" s="9"/>
      <c r="H380" s="2">
        <f>IF(SUM(F380:G380)&gt;Instructions!$B$5,"Error",SUM(F380:G380))</f>
        <v>0</v>
      </c>
      <c r="I380" s="8"/>
    </row>
    <row r="381" spans="1:9" ht="29.45" customHeight="1">
      <c r="A381" s="8"/>
      <c r="C381" s="2">
        <f>F381/Instructions!$B$5</f>
        <v>0</v>
      </c>
      <c r="D381" s="2">
        <f>G381/Instructions!$B$5</f>
        <v>0</v>
      </c>
      <c r="E381" s="2">
        <f t="shared" si="6"/>
        <v>0</v>
      </c>
      <c r="F381" s="9"/>
      <c r="G381" s="9"/>
      <c r="H381" s="2">
        <f>IF(SUM(F381:G381)&gt;Instructions!$B$5,"Error",SUM(F381:G381))</f>
        <v>0</v>
      </c>
      <c r="I381" s="8"/>
    </row>
    <row r="382" spans="1:9" ht="29.45" customHeight="1">
      <c r="A382" s="8"/>
      <c r="C382" s="2">
        <f>F382/Instructions!$B$5</f>
        <v>0</v>
      </c>
      <c r="D382" s="2">
        <f>G382/Instructions!$B$5</f>
        <v>0</v>
      </c>
      <c r="E382" s="2">
        <f t="shared" si="6"/>
        <v>0</v>
      </c>
      <c r="F382" s="9"/>
      <c r="G382" s="9"/>
      <c r="H382" s="2">
        <f>IF(SUM(F382:G382)&gt;Instructions!$B$5,"Error",SUM(F382:G382))</f>
        <v>0</v>
      </c>
      <c r="I382" s="8"/>
    </row>
    <row r="383" spans="1:9" ht="29.45" customHeight="1">
      <c r="A383" s="8"/>
      <c r="C383" s="2">
        <f>F383/Instructions!$B$5</f>
        <v>0</v>
      </c>
      <c r="D383" s="2">
        <f>G383/Instructions!$B$5</f>
        <v>0</v>
      </c>
      <c r="E383" s="2">
        <f t="shared" si="6"/>
        <v>0</v>
      </c>
      <c r="F383" s="9"/>
      <c r="G383" s="9"/>
      <c r="H383" s="2">
        <f>IF(SUM(F383:G383)&gt;Instructions!$B$5,"Error",SUM(F383:G383))</f>
        <v>0</v>
      </c>
      <c r="I383" s="8"/>
    </row>
    <row r="384" spans="1:9" ht="29.45" customHeight="1">
      <c r="A384" s="8"/>
      <c r="C384" s="2">
        <f>F384/Instructions!$B$5</f>
        <v>0</v>
      </c>
      <c r="D384" s="2">
        <f>G384/Instructions!$B$5</f>
        <v>0</v>
      </c>
      <c r="E384" s="2">
        <f t="shared" si="6"/>
        <v>0</v>
      </c>
      <c r="F384" s="9"/>
      <c r="G384" s="9"/>
      <c r="H384" s="2">
        <f>IF(SUM(F384:G384)&gt;Instructions!$B$5,"Error",SUM(F384:G384))</f>
        <v>0</v>
      </c>
      <c r="I384" s="8"/>
    </row>
    <row r="385" spans="1:9" ht="29.45" customHeight="1">
      <c r="A385" s="8"/>
      <c r="C385" s="2">
        <f>F385/Instructions!$B$5</f>
        <v>0</v>
      </c>
      <c r="D385" s="2">
        <f>G385/Instructions!$B$5</f>
        <v>0</v>
      </c>
      <c r="E385" s="2">
        <f t="shared" si="6"/>
        <v>0</v>
      </c>
      <c r="F385" s="9"/>
      <c r="G385" s="9"/>
      <c r="H385" s="2">
        <f>IF(SUM(F385:G385)&gt;Instructions!$B$5,"Error",SUM(F385:G385))</f>
        <v>0</v>
      </c>
      <c r="I385" s="8"/>
    </row>
    <row r="386" spans="1:9" ht="29.45" customHeight="1">
      <c r="A386" s="8"/>
      <c r="C386" s="2">
        <f>F386/Instructions!$B$5</f>
        <v>0</v>
      </c>
      <c r="D386" s="2">
        <f>G386/Instructions!$B$5</f>
        <v>0</v>
      </c>
      <c r="E386" s="2">
        <f t="shared" si="6"/>
        <v>0</v>
      </c>
      <c r="F386" s="9"/>
      <c r="G386" s="9"/>
      <c r="H386" s="2">
        <f>IF(SUM(F386:G386)&gt;Instructions!$B$5,"Error",SUM(F386:G386))</f>
        <v>0</v>
      </c>
      <c r="I386" s="8"/>
    </row>
    <row r="387" spans="1:9" ht="29.45" customHeight="1">
      <c r="A387" s="8"/>
      <c r="C387" s="2">
        <f>F387/Instructions!$B$5</f>
        <v>0</v>
      </c>
      <c r="D387" s="2">
        <f>G387/Instructions!$B$5</f>
        <v>0</v>
      </c>
      <c r="E387" s="2">
        <f t="shared" si="6"/>
        <v>0</v>
      </c>
      <c r="F387" s="9"/>
      <c r="G387" s="9"/>
      <c r="H387" s="2">
        <f>IF(SUM(F387:G387)&gt;Instructions!$B$5,"Error",SUM(F387:G387))</f>
        <v>0</v>
      </c>
      <c r="I387" s="8"/>
    </row>
    <row r="388" spans="1:9" ht="29.45" customHeight="1">
      <c r="A388" s="8"/>
      <c r="C388" s="2">
        <f>F388/Instructions!$B$5</f>
        <v>0</v>
      </c>
      <c r="D388" s="2">
        <f>G388/Instructions!$B$5</f>
        <v>0</v>
      </c>
      <c r="E388" s="2">
        <f t="shared" si="6"/>
        <v>0</v>
      </c>
      <c r="F388" s="9"/>
      <c r="G388" s="9"/>
      <c r="H388" s="2">
        <f>IF(SUM(F388:G388)&gt;Instructions!$B$5,"Error",SUM(F388:G388))</f>
        <v>0</v>
      </c>
      <c r="I388" s="8"/>
    </row>
    <row r="389" spans="1:9" ht="29.45" customHeight="1">
      <c r="A389" s="8"/>
      <c r="C389" s="2">
        <f>F389/Instructions!$B$5</f>
        <v>0</v>
      </c>
      <c r="D389" s="2">
        <f>G389/Instructions!$B$5</f>
        <v>0</v>
      </c>
      <c r="E389" s="2">
        <f t="shared" si="6"/>
        <v>0</v>
      </c>
      <c r="F389" s="9"/>
      <c r="G389" s="9"/>
      <c r="H389" s="2">
        <f>IF(SUM(F389:G389)&gt;Instructions!$B$5,"Error",SUM(F389:G389))</f>
        <v>0</v>
      </c>
      <c r="I389" s="8"/>
    </row>
    <row r="390" spans="1:9" ht="29.45" customHeight="1">
      <c r="A390" s="8"/>
      <c r="C390" s="2">
        <f>F390/Instructions!$B$5</f>
        <v>0</v>
      </c>
      <c r="D390" s="2">
        <f>G390/Instructions!$B$5</f>
        <v>0</v>
      </c>
      <c r="E390" s="2">
        <f t="shared" si="6"/>
        <v>0</v>
      </c>
      <c r="F390" s="9"/>
      <c r="G390" s="9"/>
      <c r="H390" s="2">
        <f>IF(SUM(F390:G390)&gt;Instructions!$B$5,"Error",SUM(F390:G390))</f>
        <v>0</v>
      </c>
      <c r="I390" s="8"/>
    </row>
    <row r="391" spans="1:9" ht="29.45" customHeight="1">
      <c r="A391" s="8"/>
      <c r="C391" s="2">
        <f>F391/Instructions!$B$5</f>
        <v>0</v>
      </c>
      <c r="D391" s="2">
        <f>G391/Instructions!$B$5</f>
        <v>0</v>
      </c>
      <c r="E391" s="2">
        <f t="shared" si="6"/>
        <v>0</v>
      </c>
      <c r="F391" s="9"/>
      <c r="G391" s="9"/>
      <c r="H391" s="2">
        <f>IF(SUM(F391:G391)&gt;Instructions!$B$5,"Error",SUM(F391:G391))</f>
        <v>0</v>
      </c>
      <c r="I391" s="8"/>
    </row>
    <row r="392" spans="1:9" ht="29.45" customHeight="1">
      <c r="A392" s="8"/>
      <c r="C392" s="2">
        <f>F392/Instructions!$B$5</f>
        <v>0</v>
      </c>
      <c r="D392" s="2">
        <f>G392/Instructions!$B$5</f>
        <v>0</v>
      </c>
      <c r="E392" s="2">
        <f t="shared" ref="E392:E455" si="7">IF(SUM(C392:D392)&gt;1,"Error",SUM(C392:D392))</f>
        <v>0</v>
      </c>
      <c r="F392" s="9"/>
      <c r="G392" s="9"/>
      <c r="H392" s="2">
        <f>IF(SUM(F392:G392)&gt;Instructions!$B$5,"Error",SUM(F392:G392))</f>
        <v>0</v>
      </c>
      <c r="I392" s="8"/>
    </row>
    <row r="393" spans="1:9" ht="29.45" customHeight="1">
      <c r="A393" s="8"/>
      <c r="C393" s="2">
        <f>F393/Instructions!$B$5</f>
        <v>0</v>
      </c>
      <c r="D393" s="2">
        <f>G393/Instructions!$B$5</f>
        <v>0</v>
      </c>
      <c r="E393" s="2">
        <f t="shared" si="7"/>
        <v>0</v>
      </c>
      <c r="F393" s="9"/>
      <c r="G393" s="9"/>
      <c r="H393" s="2">
        <f>IF(SUM(F393:G393)&gt;Instructions!$B$5,"Error",SUM(F393:G393))</f>
        <v>0</v>
      </c>
      <c r="I393" s="8"/>
    </row>
    <row r="394" spans="1:9" ht="29.45" customHeight="1">
      <c r="A394" s="8"/>
      <c r="C394" s="2">
        <f>F394/Instructions!$B$5</f>
        <v>0</v>
      </c>
      <c r="D394" s="2">
        <f>G394/Instructions!$B$5</f>
        <v>0</v>
      </c>
      <c r="E394" s="2">
        <f t="shared" si="7"/>
        <v>0</v>
      </c>
      <c r="F394" s="9"/>
      <c r="G394" s="9"/>
      <c r="H394" s="2">
        <f>IF(SUM(F394:G394)&gt;Instructions!$B$5,"Error",SUM(F394:G394))</f>
        <v>0</v>
      </c>
      <c r="I394" s="8"/>
    </row>
    <row r="395" spans="1:9" ht="29.45" customHeight="1">
      <c r="A395" s="8"/>
      <c r="C395" s="2">
        <f>F395/Instructions!$B$5</f>
        <v>0</v>
      </c>
      <c r="D395" s="2">
        <f>G395/Instructions!$B$5</f>
        <v>0</v>
      </c>
      <c r="E395" s="2">
        <f t="shared" si="7"/>
        <v>0</v>
      </c>
      <c r="F395" s="9"/>
      <c r="G395" s="9"/>
      <c r="H395" s="2">
        <f>IF(SUM(F395:G395)&gt;Instructions!$B$5,"Error",SUM(F395:G395))</f>
        <v>0</v>
      </c>
      <c r="I395" s="8"/>
    </row>
    <row r="396" spans="1:9" ht="29.45" customHeight="1">
      <c r="A396" s="8"/>
      <c r="C396" s="2">
        <f>F396/Instructions!$B$5</f>
        <v>0</v>
      </c>
      <c r="D396" s="2">
        <f>G396/Instructions!$B$5</f>
        <v>0</v>
      </c>
      <c r="E396" s="2">
        <f t="shared" si="7"/>
        <v>0</v>
      </c>
      <c r="F396" s="9"/>
      <c r="G396" s="9"/>
      <c r="H396" s="2">
        <f>IF(SUM(F396:G396)&gt;Instructions!$B$5,"Error",SUM(F396:G396))</f>
        <v>0</v>
      </c>
      <c r="I396" s="8"/>
    </row>
    <row r="397" spans="1:9" ht="29.45" customHeight="1">
      <c r="A397" s="8"/>
      <c r="C397" s="2">
        <f>F397/Instructions!$B$5</f>
        <v>0</v>
      </c>
      <c r="D397" s="2">
        <f>G397/Instructions!$B$5</f>
        <v>0</v>
      </c>
      <c r="E397" s="2">
        <f t="shared" si="7"/>
        <v>0</v>
      </c>
      <c r="F397" s="9"/>
      <c r="G397" s="9"/>
      <c r="H397" s="2">
        <f>IF(SUM(F397:G397)&gt;Instructions!$B$5,"Error",SUM(F397:G397))</f>
        <v>0</v>
      </c>
      <c r="I397" s="8"/>
    </row>
    <row r="398" spans="1:9" ht="29.45" customHeight="1">
      <c r="A398" s="8"/>
      <c r="C398" s="2">
        <f>F398/Instructions!$B$5</f>
        <v>0</v>
      </c>
      <c r="D398" s="2">
        <f>G398/Instructions!$B$5</f>
        <v>0</v>
      </c>
      <c r="E398" s="2">
        <f t="shared" si="7"/>
        <v>0</v>
      </c>
      <c r="F398" s="9"/>
      <c r="G398" s="9"/>
      <c r="H398" s="2">
        <f>IF(SUM(F398:G398)&gt;Instructions!$B$5,"Error",SUM(F398:G398))</f>
        <v>0</v>
      </c>
      <c r="I398" s="8"/>
    </row>
    <row r="399" spans="1:9" ht="29.45" customHeight="1">
      <c r="A399" s="8"/>
      <c r="C399" s="2">
        <f>F399/Instructions!$B$5</f>
        <v>0</v>
      </c>
      <c r="D399" s="2">
        <f>G399/Instructions!$B$5</f>
        <v>0</v>
      </c>
      <c r="E399" s="2">
        <f t="shared" si="7"/>
        <v>0</v>
      </c>
      <c r="F399" s="9"/>
      <c r="G399" s="9"/>
      <c r="H399" s="2">
        <f>IF(SUM(F399:G399)&gt;Instructions!$B$5,"Error",SUM(F399:G399))</f>
        <v>0</v>
      </c>
      <c r="I399" s="8"/>
    </row>
    <row r="400" spans="1:9" ht="29.45" customHeight="1">
      <c r="A400" s="8"/>
      <c r="C400" s="2">
        <f>F400/Instructions!$B$5</f>
        <v>0</v>
      </c>
      <c r="D400" s="2">
        <f>G400/Instructions!$B$5</f>
        <v>0</v>
      </c>
      <c r="E400" s="2">
        <f t="shared" si="7"/>
        <v>0</v>
      </c>
      <c r="F400" s="9"/>
      <c r="G400" s="9"/>
      <c r="H400" s="2">
        <f>IF(SUM(F400:G400)&gt;Instructions!$B$5,"Error",SUM(F400:G400))</f>
        <v>0</v>
      </c>
      <c r="I400" s="8"/>
    </row>
    <row r="401" spans="1:9" ht="29.45" customHeight="1">
      <c r="A401" s="8"/>
      <c r="C401" s="2">
        <f>F401/Instructions!$B$5</f>
        <v>0</v>
      </c>
      <c r="D401" s="2">
        <f>G401/Instructions!$B$5</f>
        <v>0</v>
      </c>
      <c r="E401" s="2">
        <f t="shared" si="7"/>
        <v>0</v>
      </c>
      <c r="F401" s="9"/>
      <c r="G401" s="9"/>
      <c r="H401" s="2">
        <f>IF(SUM(F401:G401)&gt;Instructions!$B$5,"Error",SUM(F401:G401))</f>
        <v>0</v>
      </c>
      <c r="I401" s="8"/>
    </row>
    <row r="402" spans="1:9" ht="29.45" customHeight="1">
      <c r="A402" s="8"/>
      <c r="C402" s="2">
        <f>F402/Instructions!$B$5</f>
        <v>0</v>
      </c>
      <c r="D402" s="2">
        <f>G402/Instructions!$B$5</f>
        <v>0</v>
      </c>
      <c r="E402" s="2">
        <f t="shared" si="7"/>
        <v>0</v>
      </c>
      <c r="F402" s="9"/>
      <c r="G402" s="9"/>
      <c r="H402" s="2">
        <f>IF(SUM(F402:G402)&gt;Instructions!$B$5,"Error",SUM(F402:G402))</f>
        <v>0</v>
      </c>
      <c r="I402" s="8"/>
    </row>
    <row r="403" spans="1:9" ht="29.45" customHeight="1">
      <c r="A403" s="8"/>
      <c r="C403" s="2">
        <f>F403/Instructions!$B$5</f>
        <v>0</v>
      </c>
      <c r="D403" s="2">
        <f>G403/Instructions!$B$5</f>
        <v>0</v>
      </c>
      <c r="E403" s="2">
        <f t="shared" si="7"/>
        <v>0</v>
      </c>
      <c r="F403" s="9"/>
      <c r="G403" s="9"/>
      <c r="H403" s="2">
        <f>IF(SUM(F403:G403)&gt;Instructions!$B$5,"Error",SUM(F403:G403))</f>
        <v>0</v>
      </c>
      <c r="I403" s="8"/>
    </row>
    <row r="404" spans="1:9" ht="29.45" customHeight="1">
      <c r="A404" s="8"/>
      <c r="C404" s="2">
        <f>F404/Instructions!$B$5</f>
        <v>0</v>
      </c>
      <c r="D404" s="2">
        <f>G404/Instructions!$B$5</f>
        <v>0</v>
      </c>
      <c r="E404" s="2">
        <f t="shared" si="7"/>
        <v>0</v>
      </c>
      <c r="F404" s="9"/>
      <c r="G404" s="9"/>
      <c r="H404" s="2">
        <f>IF(SUM(F404:G404)&gt;Instructions!$B$5,"Error",SUM(F404:G404))</f>
        <v>0</v>
      </c>
      <c r="I404" s="8"/>
    </row>
    <row r="405" spans="1:9" ht="29.45" customHeight="1">
      <c r="A405" s="8"/>
      <c r="C405" s="2">
        <f>F405/Instructions!$B$5</f>
        <v>0</v>
      </c>
      <c r="D405" s="2">
        <f>G405/Instructions!$B$5</f>
        <v>0</v>
      </c>
      <c r="E405" s="2">
        <f t="shared" si="7"/>
        <v>0</v>
      </c>
      <c r="F405" s="9"/>
      <c r="G405" s="9"/>
      <c r="H405" s="2">
        <f>IF(SUM(F405:G405)&gt;Instructions!$B$5,"Error",SUM(F405:G405))</f>
        <v>0</v>
      </c>
      <c r="I405" s="8"/>
    </row>
    <row r="406" spans="1:9" ht="29.45" customHeight="1">
      <c r="A406" s="8"/>
      <c r="C406" s="2">
        <f>F406/Instructions!$B$5</f>
        <v>0</v>
      </c>
      <c r="D406" s="2">
        <f>G406/Instructions!$B$5</f>
        <v>0</v>
      </c>
      <c r="E406" s="2">
        <f t="shared" si="7"/>
        <v>0</v>
      </c>
      <c r="F406" s="9"/>
      <c r="G406" s="9"/>
      <c r="H406" s="2">
        <f>IF(SUM(F406:G406)&gt;Instructions!$B$5,"Error",SUM(F406:G406))</f>
        <v>0</v>
      </c>
      <c r="I406" s="8"/>
    </row>
    <row r="407" spans="1:9" ht="29.45" customHeight="1">
      <c r="A407" s="8"/>
      <c r="C407" s="2">
        <f>F407/Instructions!$B$5</f>
        <v>0</v>
      </c>
      <c r="D407" s="2">
        <f>G407/Instructions!$B$5</f>
        <v>0</v>
      </c>
      <c r="E407" s="2">
        <f t="shared" si="7"/>
        <v>0</v>
      </c>
      <c r="F407" s="9"/>
      <c r="G407" s="9"/>
      <c r="H407" s="2">
        <f>IF(SUM(F407:G407)&gt;Instructions!$B$5,"Error",SUM(F407:G407))</f>
        <v>0</v>
      </c>
      <c r="I407" s="8"/>
    </row>
    <row r="408" spans="1:9" ht="29.45" customHeight="1">
      <c r="A408" s="8"/>
      <c r="C408" s="2">
        <f>F408/Instructions!$B$5</f>
        <v>0</v>
      </c>
      <c r="D408" s="2">
        <f>G408/Instructions!$B$5</f>
        <v>0</v>
      </c>
      <c r="E408" s="2">
        <f t="shared" si="7"/>
        <v>0</v>
      </c>
      <c r="F408" s="9"/>
      <c r="G408" s="9"/>
      <c r="H408" s="2">
        <f>IF(SUM(F408:G408)&gt;Instructions!$B$5,"Error",SUM(F408:G408))</f>
        <v>0</v>
      </c>
      <c r="I408" s="8"/>
    </row>
    <row r="409" spans="1:9" ht="29.45" customHeight="1">
      <c r="A409" s="8"/>
      <c r="C409" s="2">
        <f>F409/Instructions!$B$5</f>
        <v>0</v>
      </c>
      <c r="D409" s="2">
        <f>G409/Instructions!$B$5</f>
        <v>0</v>
      </c>
      <c r="E409" s="2">
        <f t="shared" si="7"/>
        <v>0</v>
      </c>
      <c r="F409" s="9"/>
      <c r="G409" s="9"/>
      <c r="H409" s="2">
        <f>IF(SUM(F409:G409)&gt;Instructions!$B$5,"Error",SUM(F409:G409))</f>
        <v>0</v>
      </c>
      <c r="I409" s="8"/>
    </row>
    <row r="410" spans="1:9" ht="29.45" customHeight="1">
      <c r="A410" s="8"/>
      <c r="C410" s="2">
        <f>F410/Instructions!$B$5</f>
        <v>0</v>
      </c>
      <c r="D410" s="2">
        <f>G410/Instructions!$B$5</f>
        <v>0</v>
      </c>
      <c r="E410" s="2">
        <f t="shared" si="7"/>
        <v>0</v>
      </c>
      <c r="F410" s="9"/>
      <c r="G410" s="9"/>
      <c r="H410" s="2">
        <f>IF(SUM(F410:G410)&gt;Instructions!$B$5,"Error",SUM(F410:G410))</f>
        <v>0</v>
      </c>
      <c r="I410" s="8"/>
    </row>
    <row r="411" spans="1:9" ht="29.45" customHeight="1">
      <c r="A411" s="8"/>
      <c r="C411" s="2">
        <f>F411/Instructions!$B$5</f>
        <v>0</v>
      </c>
      <c r="D411" s="2">
        <f>G411/Instructions!$B$5</f>
        <v>0</v>
      </c>
      <c r="E411" s="2">
        <f t="shared" si="7"/>
        <v>0</v>
      </c>
      <c r="F411" s="9"/>
      <c r="G411" s="9"/>
      <c r="H411" s="2">
        <f>IF(SUM(F411:G411)&gt;Instructions!$B$5,"Error",SUM(F411:G411))</f>
        <v>0</v>
      </c>
      <c r="I411" s="8"/>
    </row>
    <row r="412" spans="1:9" ht="29.45" customHeight="1">
      <c r="A412" s="8"/>
      <c r="C412" s="2">
        <f>F412/Instructions!$B$5</f>
        <v>0</v>
      </c>
      <c r="D412" s="2">
        <f>G412/Instructions!$B$5</f>
        <v>0</v>
      </c>
      <c r="E412" s="2">
        <f t="shared" si="7"/>
        <v>0</v>
      </c>
      <c r="F412" s="9"/>
      <c r="G412" s="9"/>
      <c r="H412" s="2">
        <f>IF(SUM(F412:G412)&gt;Instructions!$B$5,"Error",SUM(F412:G412))</f>
        <v>0</v>
      </c>
      <c r="I412" s="8"/>
    </row>
    <row r="413" spans="1:9" ht="29.45" customHeight="1">
      <c r="A413" s="8"/>
      <c r="C413" s="2">
        <f>F413/Instructions!$B$5</f>
        <v>0</v>
      </c>
      <c r="D413" s="2">
        <f>G413/Instructions!$B$5</f>
        <v>0</v>
      </c>
      <c r="E413" s="2">
        <f t="shared" si="7"/>
        <v>0</v>
      </c>
      <c r="F413" s="9"/>
      <c r="G413" s="9"/>
      <c r="H413" s="2">
        <f>IF(SUM(F413:G413)&gt;Instructions!$B$5,"Error",SUM(F413:G413))</f>
        <v>0</v>
      </c>
      <c r="I413" s="8"/>
    </row>
    <row r="414" spans="1:9" ht="29.45" customHeight="1">
      <c r="A414" s="8"/>
      <c r="C414" s="2">
        <f>F414/Instructions!$B$5</f>
        <v>0</v>
      </c>
      <c r="D414" s="2">
        <f>G414/Instructions!$B$5</f>
        <v>0</v>
      </c>
      <c r="E414" s="2">
        <f t="shared" si="7"/>
        <v>0</v>
      </c>
      <c r="F414" s="9"/>
      <c r="G414" s="9"/>
      <c r="H414" s="2">
        <f>IF(SUM(F414:G414)&gt;Instructions!$B$5,"Error",SUM(F414:G414))</f>
        <v>0</v>
      </c>
      <c r="I414" s="8"/>
    </row>
    <row r="415" spans="1:9" ht="29.45" customHeight="1">
      <c r="A415" s="8"/>
      <c r="C415" s="2">
        <f>F415/Instructions!$B$5</f>
        <v>0</v>
      </c>
      <c r="D415" s="2">
        <f>G415/Instructions!$B$5</f>
        <v>0</v>
      </c>
      <c r="E415" s="2">
        <f t="shared" si="7"/>
        <v>0</v>
      </c>
      <c r="F415" s="9"/>
      <c r="G415" s="9"/>
      <c r="H415" s="2">
        <f>IF(SUM(F415:G415)&gt;Instructions!$B$5,"Error",SUM(F415:G415))</f>
        <v>0</v>
      </c>
      <c r="I415" s="8"/>
    </row>
    <row r="416" spans="1:9" ht="29.45" customHeight="1">
      <c r="A416" s="8"/>
      <c r="C416" s="2">
        <f>F416/Instructions!$B$5</f>
        <v>0</v>
      </c>
      <c r="D416" s="2">
        <f>G416/Instructions!$B$5</f>
        <v>0</v>
      </c>
      <c r="E416" s="2">
        <f t="shared" si="7"/>
        <v>0</v>
      </c>
      <c r="F416" s="9"/>
      <c r="G416" s="9"/>
      <c r="H416" s="2">
        <f>IF(SUM(F416:G416)&gt;Instructions!$B$5,"Error",SUM(F416:G416))</f>
        <v>0</v>
      </c>
      <c r="I416" s="8"/>
    </row>
    <row r="417" spans="1:9" ht="29.45" customHeight="1">
      <c r="A417" s="8"/>
      <c r="C417" s="2">
        <f>F417/Instructions!$B$5</f>
        <v>0</v>
      </c>
      <c r="D417" s="2">
        <f>G417/Instructions!$B$5</f>
        <v>0</v>
      </c>
      <c r="E417" s="2">
        <f t="shared" si="7"/>
        <v>0</v>
      </c>
      <c r="F417" s="9"/>
      <c r="G417" s="9"/>
      <c r="H417" s="2">
        <f>IF(SUM(F417:G417)&gt;Instructions!$B$5,"Error",SUM(F417:G417))</f>
        <v>0</v>
      </c>
      <c r="I417" s="8"/>
    </row>
    <row r="418" spans="1:9" ht="29.45" customHeight="1">
      <c r="A418" s="8"/>
      <c r="C418" s="2">
        <f>F418/Instructions!$B$5</f>
        <v>0</v>
      </c>
      <c r="D418" s="2">
        <f>G418/Instructions!$B$5</f>
        <v>0</v>
      </c>
      <c r="E418" s="2">
        <f t="shared" si="7"/>
        <v>0</v>
      </c>
      <c r="F418" s="9"/>
      <c r="G418" s="9"/>
      <c r="H418" s="2">
        <f>IF(SUM(F418:G418)&gt;Instructions!$B$5,"Error",SUM(F418:G418))</f>
        <v>0</v>
      </c>
      <c r="I418" s="8"/>
    </row>
    <row r="419" spans="1:9" ht="29.45" customHeight="1">
      <c r="A419" s="8"/>
      <c r="C419" s="2">
        <f>F419/Instructions!$B$5</f>
        <v>0</v>
      </c>
      <c r="D419" s="2">
        <f>G419/Instructions!$B$5</f>
        <v>0</v>
      </c>
      <c r="E419" s="2">
        <f t="shared" si="7"/>
        <v>0</v>
      </c>
      <c r="F419" s="9"/>
      <c r="G419" s="9"/>
      <c r="H419" s="2">
        <f>IF(SUM(F419:G419)&gt;Instructions!$B$5,"Error",SUM(F419:G419))</f>
        <v>0</v>
      </c>
      <c r="I419" s="8"/>
    </row>
    <row r="420" spans="1:9" ht="29.45" customHeight="1">
      <c r="A420" s="8"/>
      <c r="C420" s="2">
        <f>F420/Instructions!$B$5</f>
        <v>0</v>
      </c>
      <c r="D420" s="2">
        <f>G420/Instructions!$B$5</f>
        <v>0</v>
      </c>
      <c r="E420" s="2">
        <f t="shared" si="7"/>
        <v>0</v>
      </c>
      <c r="F420" s="9"/>
      <c r="G420" s="9"/>
      <c r="H420" s="2">
        <f>IF(SUM(F420:G420)&gt;Instructions!$B$5,"Error",SUM(F420:G420))</f>
        <v>0</v>
      </c>
      <c r="I420" s="8"/>
    </row>
    <row r="421" spans="1:9" ht="29.45" customHeight="1">
      <c r="A421" s="8"/>
      <c r="C421" s="2">
        <f>F421/Instructions!$B$5</f>
        <v>0</v>
      </c>
      <c r="D421" s="2">
        <f>G421/Instructions!$B$5</f>
        <v>0</v>
      </c>
      <c r="E421" s="2">
        <f t="shared" si="7"/>
        <v>0</v>
      </c>
      <c r="F421" s="9"/>
      <c r="G421" s="9"/>
      <c r="H421" s="2">
        <f>IF(SUM(F421:G421)&gt;Instructions!$B$5,"Error",SUM(F421:G421))</f>
        <v>0</v>
      </c>
      <c r="I421" s="8"/>
    </row>
    <row r="422" spans="1:9" ht="29.45" customHeight="1">
      <c r="A422" s="8"/>
      <c r="C422" s="2">
        <f>F422/Instructions!$B$5</f>
        <v>0</v>
      </c>
      <c r="D422" s="2">
        <f>G422/Instructions!$B$5</f>
        <v>0</v>
      </c>
      <c r="E422" s="2">
        <f t="shared" si="7"/>
        <v>0</v>
      </c>
      <c r="F422" s="9"/>
      <c r="G422" s="9"/>
      <c r="H422" s="2">
        <f>IF(SUM(F422:G422)&gt;Instructions!$B$5,"Error",SUM(F422:G422))</f>
        <v>0</v>
      </c>
      <c r="I422" s="8"/>
    </row>
    <row r="423" spans="1:9" ht="29.45" customHeight="1">
      <c r="A423" s="8"/>
      <c r="C423" s="2">
        <f>F423/Instructions!$B$5</f>
        <v>0</v>
      </c>
      <c r="D423" s="2">
        <f>G423/Instructions!$B$5</f>
        <v>0</v>
      </c>
      <c r="E423" s="2">
        <f t="shared" si="7"/>
        <v>0</v>
      </c>
      <c r="F423" s="9"/>
      <c r="G423" s="9"/>
      <c r="H423" s="2">
        <f>IF(SUM(F423:G423)&gt;Instructions!$B$5,"Error",SUM(F423:G423))</f>
        <v>0</v>
      </c>
      <c r="I423" s="8"/>
    </row>
    <row r="424" spans="1:9" ht="29.45" customHeight="1">
      <c r="A424" s="8"/>
      <c r="C424" s="2">
        <f>F424/Instructions!$B$5</f>
        <v>0</v>
      </c>
      <c r="D424" s="2">
        <f>G424/Instructions!$B$5</f>
        <v>0</v>
      </c>
      <c r="E424" s="2">
        <f t="shared" si="7"/>
        <v>0</v>
      </c>
      <c r="F424" s="9"/>
      <c r="G424" s="9"/>
      <c r="H424" s="2">
        <f>IF(SUM(F424:G424)&gt;Instructions!$B$5,"Error",SUM(F424:G424))</f>
        <v>0</v>
      </c>
      <c r="I424" s="8"/>
    </row>
    <row r="425" spans="1:9" ht="29.45" customHeight="1">
      <c r="A425" s="8"/>
      <c r="C425" s="2">
        <f>F425/Instructions!$B$5</f>
        <v>0</v>
      </c>
      <c r="D425" s="2">
        <f>G425/Instructions!$B$5</f>
        <v>0</v>
      </c>
      <c r="E425" s="2">
        <f t="shared" si="7"/>
        <v>0</v>
      </c>
      <c r="F425" s="9"/>
      <c r="G425" s="9"/>
      <c r="H425" s="2">
        <f>IF(SUM(F425:G425)&gt;Instructions!$B$5,"Error",SUM(F425:G425))</f>
        <v>0</v>
      </c>
      <c r="I425" s="8"/>
    </row>
    <row r="426" spans="1:9" ht="29.45" customHeight="1">
      <c r="A426" s="8"/>
      <c r="C426" s="2">
        <f>F426/Instructions!$B$5</f>
        <v>0</v>
      </c>
      <c r="D426" s="2">
        <f>G426/Instructions!$B$5</f>
        <v>0</v>
      </c>
      <c r="E426" s="2">
        <f t="shared" si="7"/>
        <v>0</v>
      </c>
      <c r="F426" s="9"/>
      <c r="G426" s="9"/>
      <c r="H426" s="2">
        <f>IF(SUM(F426:G426)&gt;Instructions!$B$5,"Error",SUM(F426:G426))</f>
        <v>0</v>
      </c>
      <c r="I426" s="8"/>
    </row>
    <row r="427" spans="1:9" ht="29.45" customHeight="1">
      <c r="A427" s="8"/>
      <c r="C427" s="2">
        <f>F427/Instructions!$B$5</f>
        <v>0</v>
      </c>
      <c r="D427" s="2">
        <f>G427/Instructions!$B$5</f>
        <v>0</v>
      </c>
      <c r="E427" s="2">
        <f t="shared" si="7"/>
        <v>0</v>
      </c>
      <c r="F427" s="9"/>
      <c r="G427" s="9"/>
      <c r="H427" s="2">
        <f>IF(SUM(F427:G427)&gt;Instructions!$B$5,"Error",SUM(F427:G427))</f>
        <v>0</v>
      </c>
      <c r="I427" s="8"/>
    </row>
    <row r="428" spans="1:9" ht="29.45" customHeight="1">
      <c r="A428" s="8"/>
      <c r="C428" s="2">
        <f>F428/Instructions!$B$5</f>
        <v>0</v>
      </c>
      <c r="D428" s="2">
        <f>G428/Instructions!$B$5</f>
        <v>0</v>
      </c>
      <c r="E428" s="2">
        <f t="shared" si="7"/>
        <v>0</v>
      </c>
      <c r="F428" s="9"/>
      <c r="G428" s="9"/>
      <c r="H428" s="2">
        <f>IF(SUM(F428:G428)&gt;Instructions!$B$5,"Error",SUM(F428:G428))</f>
        <v>0</v>
      </c>
      <c r="I428" s="8"/>
    </row>
    <row r="429" spans="1:9" ht="29.45" customHeight="1">
      <c r="A429" s="8"/>
      <c r="C429" s="2">
        <f>F429/Instructions!$B$5</f>
        <v>0</v>
      </c>
      <c r="D429" s="2">
        <f>G429/Instructions!$B$5</f>
        <v>0</v>
      </c>
      <c r="E429" s="2">
        <f t="shared" si="7"/>
        <v>0</v>
      </c>
      <c r="F429" s="9"/>
      <c r="G429" s="9"/>
      <c r="H429" s="2">
        <f>IF(SUM(F429:G429)&gt;Instructions!$B$5,"Error",SUM(F429:G429))</f>
        <v>0</v>
      </c>
      <c r="I429" s="8"/>
    </row>
    <row r="430" spans="1:9" ht="29.45" customHeight="1">
      <c r="A430" s="8"/>
      <c r="C430" s="2">
        <f>F430/Instructions!$B$5</f>
        <v>0</v>
      </c>
      <c r="D430" s="2">
        <f>G430/Instructions!$B$5</f>
        <v>0</v>
      </c>
      <c r="E430" s="2">
        <f t="shared" si="7"/>
        <v>0</v>
      </c>
      <c r="F430" s="9"/>
      <c r="G430" s="9"/>
      <c r="H430" s="2">
        <f>IF(SUM(F430:G430)&gt;Instructions!$B$5,"Error",SUM(F430:G430))</f>
        <v>0</v>
      </c>
      <c r="I430" s="8"/>
    </row>
    <row r="431" spans="1:9" ht="29.45" customHeight="1">
      <c r="A431" s="8"/>
      <c r="C431" s="2">
        <f>F431/Instructions!$B$5</f>
        <v>0</v>
      </c>
      <c r="D431" s="2">
        <f>G431/Instructions!$B$5</f>
        <v>0</v>
      </c>
      <c r="E431" s="2">
        <f t="shared" si="7"/>
        <v>0</v>
      </c>
      <c r="F431" s="9"/>
      <c r="G431" s="9"/>
      <c r="H431" s="2">
        <f>IF(SUM(F431:G431)&gt;Instructions!$B$5,"Error",SUM(F431:G431))</f>
        <v>0</v>
      </c>
      <c r="I431" s="8"/>
    </row>
    <row r="432" spans="1:9" ht="29.45" customHeight="1">
      <c r="A432" s="8"/>
      <c r="C432" s="2">
        <f>F432/Instructions!$B$5</f>
        <v>0</v>
      </c>
      <c r="D432" s="2">
        <f>G432/Instructions!$B$5</f>
        <v>0</v>
      </c>
      <c r="E432" s="2">
        <f t="shared" si="7"/>
        <v>0</v>
      </c>
      <c r="F432" s="9"/>
      <c r="G432" s="9"/>
      <c r="H432" s="2">
        <f>IF(SUM(F432:G432)&gt;Instructions!$B$5,"Error",SUM(F432:G432))</f>
        <v>0</v>
      </c>
      <c r="I432" s="8"/>
    </row>
    <row r="433" spans="1:9" ht="29.45" customHeight="1">
      <c r="A433" s="8"/>
      <c r="C433" s="2">
        <f>F433/Instructions!$B$5</f>
        <v>0</v>
      </c>
      <c r="D433" s="2">
        <f>G433/Instructions!$B$5</f>
        <v>0</v>
      </c>
      <c r="E433" s="2">
        <f t="shared" si="7"/>
        <v>0</v>
      </c>
      <c r="F433" s="9"/>
      <c r="G433" s="9"/>
      <c r="H433" s="2">
        <f>IF(SUM(F433:G433)&gt;Instructions!$B$5,"Error",SUM(F433:G433))</f>
        <v>0</v>
      </c>
      <c r="I433" s="8"/>
    </row>
    <row r="434" spans="1:9" ht="29.45" customHeight="1">
      <c r="A434" s="8"/>
      <c r="C434" s="2">
        <f>F434/Instructions!$B$5</f>
        <v>0</v>
      </c>
      <c r="D434" s="2">
        <f>G434/Instructions!$B$5</f>
        <v>0</v>
      </c>
      <c r="E434" s="2">
        <f t="shared" si="7"/>
        <v>0</v>
      </c>
      <c r="F434" s="9"/>
      <c r="G434" s="9"/>
      <c r="H434" s="2">
        <f>IF(SUM(F434:G434)&gt;Instructions!$B$5,"Error",SUM(F434:G434))</f>
        <v>0</v>
      </c>
      <c r="I434" s="8"/>
    </row>
    <row r="435" spans="1:9" ht="29.45" customHeight="1">
      <c r="A435" s="8"/>
      <c r="C435" s="2">
        <f>F435/Instructions!$B$5</f>
        <v>0</v>
      </c>
      <c r="D435" s="2">
        <f>G435/Instructions!$B$5</f>
        <v>0</v>
      </c>
      <c r="E435" s="2">
        <f t="shared" si="7"/>
        <v>0</v>
      </c>
      <c r="F435" s="9"/>
      <c r="G435" s="9"/>
      <c r="H435" s="2">
        <f>IF(SUM(F435:G435)&gt;Instructions!$B$5,"Error",SUM(F435:G435))</f>
        <v>0</v>
      </c>
      <c r="I435" s="8"/>
    </row>
    <row r="436" spans="1:9" ht="29.45" customHeight="1">
      <c r="A436" s="8"/>
      <c r="C436" s="2">
        <f>F436/Instructions!$B$5</f>
        <v>0</v>
      </c>
      <c r="D436" s="2">
        <f>G436/Instructions!$B$5</f>
        <v>0</v>
      </c>
      <c r="E436" s="2">
        <f t="shared" si="7"/>
        <v>0</v>
      </c>
      <c r="F436" s="9"/>
      <c r="G436" s="9"/>
      <c r="H436" s="2">
        <f>IF(SUM(F436:G436)&gt;Instructions!$B$5,"Error",SUM(F436:G436))</f>
        <v>0</v>
      </c>
      <c r="I436" s="8"/>
    </row>
    <row r="437" spans="1:9" ht="29.45" customHeight="1">
      <c r="A437" s="8"/>
      <c r="C437" s="2">
        <f>F437/Instructions!$B$5</f>
        <v>0</v>
      </c>
      <c r="D437" s="2">
        <f>G437/Instructions!$B$5</f>
        <v>0</v>
      </c>
      <c r="E437" s="2">
        <f t="shared" si="7"/>
        <v>0</v>
      </c>
      <c r="F437" s="9"/>
      <c r="G437" s="9"/>
      <c r="H437" s="2">
        <f>IF(SUM(F437:G437)&gt;Instructions!$B$5,"Error",SUM(F437:G437))</f>
        <v>0</v>
      </c>
      <c r="I437" s="8"/>
    </row>
    <row r="438" spans="1:9" ht="29.45" customHeight="1">
      <c r="A438" s="8"/>
      <c r="C438" s="2">
        <f>F438/Instructions!$B$5</f>
        <v>0</v>
      </c>
      <c r="D438" s="2">
        <f>G438/Instructions!$B$5</f>
        <v>0</v>
      </c>
      <c r="E438" s="2">
        <f t="shared" si="7"/>
        <v>0</v>
      </c>
      <c r="F438" s="9"/>
      <c r="G438" s="9"/>
      <c r="H438" s="2">
        <f>IF(SUM(F438:G438)&gt;Instructions!$B$5,"Error",SUM(F438:G438))</f>
        <v>0</v>
      </c>
      <c r="I438" s="8"/>
    </row>
    <row r="439" spans="1:9" ht="29.45" customHeight="1">
      <c r="A439" s="8"/>
      <c r="C439" s="2">
        <f>F439/Instructions!$B$5</f>
        <v>0</v>
      </c>
      <c r="D439" s="2">
        <f>G439/Instructions!$B$5</f>
        <v>0</v>
      </c>
      <c r="E439" s="2">
        <f t="shared" si="7"/>
        <v>0</v>
      </c>
      <c r="F439" s="9"/>
      <c r="G439" s="9"/>
      <c r="H439" s="2">
        <f>IF(SUM(F439:G439)&gt;Instructions!$B$5,"Error",SUM(F439:G439))</f>
        <v>0</v>
      </c>
      <c r="I439" s="8"/>
    </row>
    <row r="440" spans="1:9" ht="29.45" customHeight="1">
      <c r="A440" s="8"/>
      <c r="C440" s="2">
        <f>F440/Instructions!$B$5</f>
        <v>0</v>
      </c>
      <c r="D440" s="2">
        <f>G440/Instructions!$B$5</f>
        <v>0</v>
      </c>
      <c r="E440" s="2">
        <f t="shared" si="7"/>
        <v>0</v>
      </c>
      <c r="F440" s="9"/>
      <c r="G440" s="9"/>
      <c r="H440" s="2">
        <f>IF(SUM(F440:G440)&gt;Instructions!$B$5,"Error",SUM(F440:G440))</f>
        <v>0</v>
      </c>
      <c r="I440" s="8"/>
    </row>
    <row r="441" spans="1:9" ht="29.45" customHeight="1">
      <c r="A441" s="8"/>
      <c r="C441" s="2">
        <f>F441/Instructions!$B$5</f>
        <v>0</v>
      </c>
      <c r="D441" s="2">
        <f>G441/Instructions!$B$5</f>
        <v>0</v>
      </c>
      <c r="E441" s="2">
        <f t="shared" si="7"/>
        <v>0</v>
      </c>
      <c r="F441" s="9"/>
      <c r="G441" s="9"/>
      <c r="H441" s="2">
        <f>IF(SUM(F441:G441)&gt;Instructions!$B$5,"Error",SUM(F441:G441))</f>
        <v>0</v>
      </c>
      <c r="I441" s="8"/>
    </row>
    <row r="442" spans="1:9" ht="29.45" customHeight="1">
      <c r="A442" s="8"/>
      <c r="C442" s="2">
        <f>F442/Instructions!$B$5</f>
        <v>0</v>
      </c>
      <c r="D442" s="2">
        <f>G442/Instructions!$B$5</f>
        <v>0</v>
      </c>
      <c r="E442" s="2">
        <f t="shared" si="7"/>
        <v>0</v>
      </c>
      <c r="F442" s="9"/>
      <c r="G442" s="9"/>
      <c r="H442" s="2">
        <f>IF(SUM(F442:G442)&gt;Instructions!$B$5,"Error",SUM(F442:G442))</f>
        <v>0</v>
      </c>
      <c r="I442" s="8"/>
    </row>
    <row r="443" spans="1:9" ht="29.45" customHeight="1">
      <c r="A443" s="8"/>
      <c r="C443" s="2">
        <f>F443/Instructions!$B$5</f>
        <v>0</v>
      </c>
      <c r="D443" s="2">
        <f>G443/Instructions!$B$5</f>
        <v>0</v>
      </c>
      <c r="E443" s="2">
        <f t="shared" si="7"/>
        <v>0</v>
      </c>
      <c r="F443" s="9"/>
      <c r="G443" s="9"/>
      <c r="H443" s="2">
        <f>IF(SUM(F443:G443)&gt;Instructions!$B$5,"Error",SUM(F443:G443))</f>
        <v>0</v>
      </c>
      <c r="I443" s="8"/>
    </row>
    <row r="444" spans="1:9" ht="29.45" customHeight="1">
      <c r="A444" s="8"/>
      <c r="C444" s="2">
        <f>F444/Instructions!$B$5</f>
        <v>0</v>
      </c>
      <c r="D444" s="2">
        <f>G444/Instructions!$B$5</f>
        <v>0</v>
      </c>
      <c r="E444" s="2">
        <f t="shared" si="7"/>
        <v>0</v>
      </c>
      <c r="F444" s="9"/>
      <c r="G444" s="9"/>
      <c r="H444" s="2">
        <f>IF(SUM(F444:G444)&gt;Instructions!$B$5,"Error",SUM(F444:G444))</f>
        <v>0</v>
      </c>
      <c r="I444" s="8"/>
    </row>
    <row r="445" spans="1:9" ht="29.45" customHeight="1">
      <c r="A445" s="8"/>
      <c r="C445" s="2">
        <f>F445/Instructions!$B$5</f>
        <v>0</v>
      </c>
      <c r="D445" s="2">
        <f>G445/Instructions!$B$5</f>
        <v>0</v>
      </c>
      <c r="E445" s="2">
        <f t="shared" si="7"/>
        <v>0</v>
      </c>
      <c r="F445" s="9"/>
      <c r="G445" s="9"/>
      <c r="H445" s="2">
        <f>IF(SUM(F445:G445)&gt;Instructions!$B$5,"Error",SUM(F445:G445))</f>
        <v>0</v>
      </c>
      <c r="I445" s="8"/>
    </row>
    <row r="446" spans="1:9" ht="29.45" customHeight="1">
      <c r="A446" s="8"/>
      <c r="C446" s="2">
        <f>F446/Instructions!$B$5</f>
        <v>0</v>
      </c>
      <c r="D446" s="2">
        <f>G446/Instructions!$B$5</f>
        <v>0</v>
      </c>
      <c r="E446" s="2">
        <f t="shared" si="7"/>
        <v>0</v>
      </c>
      <c r="F446" s="9"/>
      <c r="G446" s="9"/>
      <c r="H446" s="2">
        <f>IF(SUM(F446:G446)&gt;Instructions!$B$5,"Error",SUM(F446:G446))</f>
        <v>0</v>
      </c>
      <c r="I446" s="8"/>
    </row>
    <row r="447" spans="1:9" ht="29.45" customHeight="1">
      <c r="A447" s="8"/>
      <c r="C447" s="2">
        <f>F447/Instructions!$B$5</f>
        <v>0</v>
      </c>
      <c r="D447" s="2">
        <f>G447/Instructions!$B$5</f>
        <v>0</v>
      </c>
      <c r="E447" s="2">
        <f t="shared" si="7"/>
        <v>0</v>
      </c>
      <c r="F447" s="9"/>
      <c r="G447" s="9"/>
      <c r="H447" s="2">
        <f>IF(SUM(F447:G447)&gt;Instructions!$B$5,"Error",SUM(F447:G447))</f>
        <v>0</v>
      </c>
      <c r="I447" s="8"/>
    </row>
    <row r="448" spans="1:9" ht="29.45" customHeight="1">
      <c r="A448" s="8"/>
      <c r="C448" s="2">
        <f>F448/Instructions!$B$5</f>
        <v>0</v>
      </c>
      <c r="D448" s="2">
        <f>G448/Instructions!$B$5</f>
        <v>0</v>
      </c>
      <c r="E448" s="2">
        <f t="shared" si="7"/>
        <v>0</v>
      </c>
      <c r="F448" s="9"/>
      <c r="G448" s="9"/>
      <c r="H448" s="2">
        <f>IF(SUM(F448:G448)&gt;Instructions!$B$5,"Error",SUM(F448:G448))</f>
        <v>0</v>
      </c>
      <c r="I448" s="8"/>
    </row>
    <row r="449" spans="1:9" ht="29.45" customHeight="1">
      <c r="A449" s="8"/>
      <c r="C449" s="2">
        <f>F449/Instructions!$B$5</f>
        <v>0</v>
      </c>
      <c r="D449" s="2">
        <f>G449/Instructions!$B$5</f>
        <v>0</v>
      </c>
      <c r="E449" s="2">
        <f t="shared" si="7"/>
        <v>0</v>
      </c>
      <c r="F449" s="9"/>
      <c r="G449" s="9"/>
      <c r="H449" s="2">
        <f>IF(SUM(F449:G449)&gt;Instructions!$B$5,"Error",SUM(F449:G449))</f>
        <v>0</v>
      </c>
      <c r="I449" s="8"/>
    </row>
    <row r="450" spans="1:9" ht="29.45" customHeight="1">
      <c r="A450" s="8"/>
      <c r="C450" s="2">
        <f>F450/Instructions!$B$5</f>
        <v>0</v>
      </c>
      <c r="D450" s="2">
        <f>G450/Instructions!$B$5</f>
        <v>0</v>
      </c>
      <c r="E450" s="2">
        <f t="shared" si="7"/>
        <v>0</v>
      </c>
      <c r="F450" s="9"/>
      <c r="G450" s="9"/>
      <c r="H450" s="2">
        <f>IF(SUM(F450:G450)&gt;Instructions!$B$5,"Error",SUM(F450:G450))</f>
        <v>0</v>
      </c>
      <c r="I450" s="8"/>
    </row>
    <row r="451" spans="1:9" ht="29.45" customHeight="1">
      <c r="A451" s="8"/>
      <c r="C451" s="2">
        <f>F451/Instructions!$B$5</f>
        <v>0</v>
      </c>
      <c r="D451" s="2">
        <f>G451/Instructions!$B$5</f>
        <v>0</v>
      </c>
      <c r="E451" s="2">
        <f t="shared" si="7"/>
        <v>0</v>
      </c>
      <c r="F451" s="9"/>
      <c r="G451" s="9"/>
      <c r="H451" s="2">
        <f>IF(SUM(F451:G451)&gt;Instructions!$B$5,"Error",SUM(F451:G451))</f>
        <v>0</v>
      </c>
      <c r="I451" s="8"/>
    </row>
    <row r="452" spans="1:9" ht="29.45" customHeight="1">
      <c r="A452" s="8"/>
      <c r="C452" s="2">
        <f>F452/Instructions!$B$5</f>
        <v>0</v>
      </c>
      <c r="D452" s="2">
        <f>G452/Instructions!$B$5</f>
        <v>0</v>
      </c>
      <c r="E452" s="2">
        <f t="shared" si="7"/>
        <v>0</v>
      </c>
      <c r="F452" s="9"/>
      <c r="G452" s="9"/>
      <c r="H452" s="2">
        <f>IF(SUM(F452:G452)&gt;Instructions!$B$5,"Error",SUM(F452:G452))</f>
        <v>0</v>
      </c>
      <c r="I452" s="8"/>
    </row>
    <row r="453" spans="1:9" ht="29.45" customHeight="1">
      <c r="A453" s="8"/>
      <c r="C453" s="2">
        <f>F453/Instructions!$B$5</f>
        <v>0</v>
      </c>
      <c r="D453" s="2">
        <f>G453/Instructions!$B$5</f>
        <v>0</v>
      </c>
      <c r="E453" s="2">
        <f t="shared" si="7"/>
        <v>0</v>
      </c>
      <c r="F453" s="9"/>
      <c r="G453" s="9"/>
      <c r="H453" s="2">
        <f>IF(SUM(F453:G453)&gt;Instructions!$B$5,"Error",SUM(F453:G453))</f>
        <v>0</v>
      </c>
      <c r="I453" s="8"/>
    </row>
    <row r="454" spans="1:9" ht="29.45" customHeight="1">
      <c r="A454" s="8"/>
      <c r="C454" s="2">
        <f>F454/Instructions!$B$5</f>
        <v>0</v>
      </c>
      <c r="D454" s="2">
        <f>G454/Instructions!$B$5</f>
        <v>0</v>
      </c>
      <c r="E454" s="2">
        <f t="shared" si="7"/>
        <v>0</v>
      </c>
      <c r="F454" s="9"/>
      <c r="G454" s="9"/>
      <c r="H454" s="2">
        <f>IF(SUM(F454:G454)&gt;Instructions!$B$5,"Error",SUM(F454:G454))</f>
        <v>0</v>
      </c>
      <c r="I454" s="8"/>
    </row>
    <row r="455" spans="1:9" ht="29.45" customHeight="1">
      <c r="A455" s="8"/>
      <c r="C455" s="2">
        <f>F455/Instructions!$B$5</f>
        <v>0</v>
      </c>
      <c r="D455" s="2">
        <f>G455/Instructions!$B$5</f>
        <v>0</v>
      </c>
      <c r="E455" s="2">
        <f t="shared" si="7"/>
        <v>0</v>
      </c>
      <c r="F455" s="9"/>
      <c r="G455" s="9"/>
      <c r="H455" s="2">
        <f>IF(SUM(F455:G455)&gt;Instructions!$B$5,"Error",SUM(F455:G455))</f>
        <v>0</v>
      </c>
      <c r="I455" s="8"/>
    </row>
    <row r="456" spans="1:9" ht="29.45" customHeight="1">
      <c r="A456" s="8"/>
      <c r="C456" s="2">
        <f>F456/Instructions!$B$5</f>
        <v>0</v>
      </c>
      <c r="D456" s="2">
        <f>G456/Instructions!$B$5</f>
        <v>0</v>
      </c>
      <c r="E456" s="2">
        <f t="shared" ref="E456:E519" si="8">IF(SUM(C456:D456)&gt;1,"Error",SUM(C456:D456))</f>
        <v>0</v>
      </c>
      <c r="F456" s="9"/>
      <c r="G456" s="9"/>
      <c r="H456" s="2">
        <f>IF(SUM(F456:G456)&gt;Instructions!$B$5,"Error",SUM(F456:G456))</f>
        <v>0</v>
      </c>
      <c r="I456" s="8"/>
    </row>
    <row r="457" spans="1:9" ht="29.45" customHeight="1">
      <c r="A457" s="8"/>
      <c r="C457" s="2">
        <f>F457/Instructions!$B$5</f>
        <v>0</v>
      </c>
      <c r="D457" s="2">
        <f>G457/Instructions!$B$5</f>
        <v>0</v>
      </c>
      <c r="E457" s="2">
        <f t="shared" si="8"/>
        <v>0</v>
      </c>
      <c r="F457" s="9"/>
      <c r="G457" s="9"/>
      <c r="H457" s="2">
        <f>IF(SUM(F457:G457)&gt;Instructions!$B$5,"Error",SUM(F457:G457))</f>
        <v>0</v>
      </c>
      <c r="I457" s="8"/>
    </row>
    <row r="458" spans="1:9" ht="29.45" customHeight="1">
      <c r="A458" s="8"/>
      <c r="C458" s="2">
        <f>F458/Instructions!$B$5</f>
        <v>0</v>
      </c>
      <c r="D458" s="2">
        <f>G458/Instructions!$B$5</f>
        <v>0</v>
      </c>
      <c r="E458" s="2">
        <f t="shared" si="8"/>
        <v>0</v>
      </c>
      <c r="F458" s="9"/>
      <c r="G458" s="9"/>
      <c r="H458" s="2">
        <f>IF(SUM(F458:G458)&gt;Instructions!$B$5,"Error",SUM(F458:G458))</f>
        <v>0</v>
      </c>
      <c r="I458" s="8"/>
    </row>
    <row r="459" spans="1:9" ht="29.45" customHeight="1">
      <c r="A459" s="8"/>
      <c r="C459" s="2">
        <f>F459/Instructions!$B$5</f>
        <v>0</v>
      </c>
      <c r="D459" s="2">
        <f>G459/Instructions!$B$5</f>
        <v>0</v>
      </c>
      <c r="E459" s="2">
        <f t="shared" si="8"/>
        <v>0</v>
      </c>
      <c r="F459" s="9"/>
      <c r="G459" s="9"/>
      <c r="H459" s="2">
        <f>IF(SUM(F459:G459)&gt;Instructions!$B$5,"Error",SUM(F459:G459))</f>
        <v>0</v>
      </c>
      <c r="I459" s="8"/>
    </row>
    <row r="460" spans="1:9" ht="29.45" customHeight="1">
      <c r="A460" s="8"/>
      <c r="C460" s="2">
        <f>F460/Instructions!$B$5</f>
        <v>0</v>
      </c>
      <c r="D460" s="2">
        <f>G460/Instructions!$B$5</f>
        <v>0</v>
      </c>
      <c r="E460" s="2">
        <f t="shared" si="8"/>
        <v>0</v>
      </c>
      <c r="F460" s="9"/>
      <c r="G460" s="9"/>
      <c r="H460" s="2">
        <f>IF(SUM(F460:G460)&gt;Instructions!$B$5,"Error",SUM(F460:G460))</f>
        <v>0</v>
      </c>
      <c r="I460" s="8"/>
    </row>
    <row r="461" spans="1:9" ht="29.45" customHeight="1">
      <c r="A461" s="8"/>
      <c r="C461" s="2">
        <f>F461/Instructions!$B$5</f>
        <v>0</v>
      </c>
      <c r="D461" s="2">
        <f>G461/Instructions!$B$5</f>
        <v>0</v>
      </c>
      <c r="E461" s="2">
        <f t="shared" si="8"/>
        <v>0</v>
      </c>
      <c r="F461" s="9"/>
      <c r="G461" s="9"/>
      <c r="H461" s="2">
        <f>IF(SUM(F461:G461)&gt;Instructions!$B$5,"Error",SUM(F461:G461))</f>
        <v>0</v>
      </c>
      <c r="I461" s="8"/>
    </row>
    <row r="462" spans="1:9" ht="29.45" customHeight="1">
      <c r="A462" s="8"/>
      <c r="C462" s="2">
        <f>F462/Instructions!$B$5</f>
        <v>0</v>
      </c>
      <c r="D462" s="2">
        <f>G462/Instructions!$B$5</f>
        <v>0</v>
      </c>
      <c r="E462" s="2">
        <f t="shared" si="8"/>
        <v>0</v>
      </c>
      <c r="F462" s="9"/>
      <c r="G462" s="9"/>
      <c r="H462" s="2">
        <f>IF(SUM(F462:G462)&gt;Instructions!$B$5,"Error",SUM(F462:G462))</f>
        <v>0</v>
      </c>
      <c r="I462" s="8"/>
    </row>
    <row r="463" spans="1:9" ht="29.45" customHeight="1">
      <c r="A463" s="8"/>
      <c r="C463" s="2">
        <f>F463/Instructions!$B$5</f>
        <v>0</v>
      </c>
      <c r="D463" s="2">
        <f>G463/Instructions!$B$5</f>
        <v>0</v>
      </c>
      <c r="E463" s="2">
        <f t="shared" si="8"/>
        <v>0</v>
      </c>
      <c r="F463" s="9"/>
      <c r="G463" s="9"/>
      <c r="H463" s="2">
        <f>IF(SUM(F463:G463)&gt;Instructions!$B$5,"Error",SUM(F463:G463))</f>
        <v>0</v>
      </c>
      <c r="I463" s="8"/>
    </row>
    <row r="464" spans="1:9" ht="29.45" customHeight="1">
      <c r="A464" s="8"/>
      <c r="C464" s="2">
        <f>F464/Instructions!$B$5</f>
        <v>0</v>
      </c>
      <c r="D464" s="2">
        <f>G464/Instructions!$B$5</f>
        <v>0</v>
      </c>
      <c r="E464" s="2">
        <f t="shared" si="8"/>
        <v>0</v>
      </c>
      <c r="F464" s="9"/>
      <c r="G464" s="9"/>
      <c r="H464" s="2">
        <f>IF(SUM(F464:G464)&gt;Instructions!$B$5,"Error",SUM(F464:G464))</f>
        <v>0</v>
      </c>
      <c r="I464" s="8"/>
    </row>
    <row r="465" spans="1:9" ht="29.45" customHeight="1">
      <c r="A465" s="8"/>
      <c r="C465" s="2">
        <f>F465/Instructions!$B$5</f>
        <v>0</v>
      </c>
      <c r="D465" s="2">
        <f>G465/Instructions!$B$5</f>
        <v>0</v>
      </c>
      <c r="E465" s="2">
        <f t="shared" si="8"/>
        <v>0</v>
      </c>
      <c r="F465" s="9"/>
      <c r="G465" s="9"/>
      <c r="H465" s="2">
        <f>IF(SUM(F465:G465)&gt;Instructions!$B$5,"Error",SUM(F465:G465))</f>
        <v>0</v>
      </c>
      <c r="I465" s="8"/>
    </row>
    <row r="466" spans="1:9" ht="29.45" customHeight="1">
      <c r="A466" s="8"/>
      <c r="C466" s="2">
        <f>F466/Instructions!$B$5</f>
        <v>0</v>
      </c>
      <c r="D466" s="2">
        <f>G466/Instructions!$B$5</f>
        <v>0</v>
      </c>
      <c r="E466" s="2">
        <f t="shared" si="8"/>
        <v>0</v>
      </c>
      <c r="F466" s="9"/>
      <c r="G466" s="9"/>
      <c r="H466" s="2">
        <f>IF(SUM(F466:G466)&gt;Instructions!$B$5,"Error",SUM(F466:G466))</f>
        <v>0</v>
      </c>
      <c r="I466" s="8"/>
    </row>
    <row r="467" spans="1:9" ht="29.45" customHeight="1">
      <c r="A467" s="8"/>
      <c r="C467" s="2">
        <f>F467/Instructions!$B$5</f>
        <v>0</v>
      </c>
      <c r="D467" s="2">
        <f>G467/Instructions!$B$5</f>
        <v>0</v>
      </c>
      <c r="E467" s="2">
        <f t="shared" si="8"/>
        <v>0</v>
      </c>
      <c r="F467" s="9"/>
      <c r="G467" s="9"/>
      <c r="H467" s="2">
        <f>IF(SUM(F467:G467)&gt;Instructions!$B$5,"Error",SUM(F467:G467))</f>
        <v>0</v>
      </c>
      <c r="I467" s="8"/>
    </row>
    <row r="468" spans="1:9" ht="29.45" customHeight="1">
      <c r="A468" s="8"/>
      <c r="C468" s="2">
        <f>F468/Instructions!$B$5</f>
        <v>0</v>
      </c>
      <c r="D468" s="2">
        <f>G468/Instructions!$B$5</f>
        <v>0</v>
      </c>
      <c r="E468" s="2">
        <f t="shared" si="8"/>
        <v>0</v>
      </c>
      <c r="F468" s="9"/>
      <c r="G468" s="9"/>
      <c r="H468" s="2">
        <f>IF(SUM(F468:G468)&gt;Instructions!$B$5,"Error",SUM(F468:G468))</f>
        <v>0</v>
      </c>
      <c r="I468" s="8"/>
    </row>
    <row r="469" spans="1:9" ht="29.45" customHeight="1">
      <c r="A469" s="8"/>
      <c r="C469" s="2">
        <f>F469/Instructions!$B$5</f>
        <v>0</v>
      </c>
      <c r="D469" s="2">
        <f>G469/Instructions!$B$5</f>
        <v>0</v>
      </c>
      <c r="E469" s="2">
        <f t="shared" si="8"/>
        <v>0</v>
      </c>
      <c r="F469" s="9"/>
      <c r="G469" s="9"/>
      <c r="H469" s="2">
        <f>IF(SUM(F469:G469)&gt;Instructions!$B$5,"Error",SUM(F469:G469))</f>
        <v>0</v>
      </c>
      <c r="I469" s="8"/>
    </row>
    <row r="470" spans="1:9" ht="29.45" customHeight="1">
      <c r="A470" s="8"/>
      <c r="C470" s="2">
        <f>F470/Instructions!$B$5</f>
        <v>0</v>
      </c>
      <c r="D470" s="2">
        <f>G470/Instructions!$B$5</f>
        <v>0</v>
      </c>
      <c r="E470" s="2">
        <f t="shared" si="8"/>
        <v>0</v>
      </c>
      <c r="F470" s="9"/>
      <c r="G470" s="9"/>
      <c r="H470" s="2">
        <f>IF(SUM(F470:G470)&gt;Instructions!$B$5,"Error",SUM(F470:G470))</f>
        <v>0</v>
      </c>
      <c r="I470" s="8"/>
    </row>
    <row r="471" spans="1:9" ht="29.45" customHeight="1">
      <c r="A471" s="8"/>
      <c r="C471" s="2">
        <f>F471/Instructions!$B$5</f>
        <v>0</v>
      </c>
      <c r="D471" s="2">
        <f>G471/Instructions!$B$5</f>
        <v>0</v>
      </c>
      <c r="E471" s="2">
        <f t="shared" si="8"/>
        <v>0</v>
      </c>
      <c r="F471" s="9"/>
      <c r="G471" s="9"/>
      <c r="H471" s="2">
        <f>IF(SUM(F471:G471)&gt;Instructions!$B$5,"Error",SUM(F471:G471))</f>
        <v>0</v>
      </c>
      <c r="I471" s="8"/>
    </row>
    <row r="472" spans="1:9" ht="29.45" customHeight="1">
      <c r="A472" s="8"/>
      <c r="C472" s="2">
        <f>F472/Instructions!$B$5</f>
        <v>0</v>
      </c>
      <c r="D472" s="2">
        <f>G472/Instructions!$B$5</f>
        <v>0</v>
      </c>
      <c r="E472" s="2">
        <f t="shared" si="8"/>
        <v>0</v>
      </c>
      <c r="F472" s="9"/>
      <c r="G472" s="9"/>
      <c r="H472" s="2">
        <f>IF(SUM(F472:G472)&gt;Instructions!$B$5,"Error",SUM(F472:G472))</f>
        <v>0</v>
      </c>
      <c r="I472" s="8"/>
    </row>
    <row r="473" spans="1:9" ht="29.45" customHeight="1">
      <c r="A473" s="8"/>
      <c r="C473" s="2">
        <f>F473/Instructions!$B$5</f>
        <v>0</v>
      </c>
      <c r="D473" s="2">
        <f>G473/Instructions!$B$5</f>
        <v>0</v>
      </c>
      <c r="E473" s="2">
        <f t="shared" si="8"/>
        <v>0</v>
      </c>
      <c r="F473" s="9"/>
      <c r="G473" s="9"/>
      <c r="H473" s="2">
        <f>IF(SUM(F473:G473)&gt;Instructions!$B$5,"Error",SUM(F473:G473))</f>
        <v>0</v>
      </c>
      <c r="I473" s="8"/>
    </row>
    <row r="474" spans="1:9" ht="29.45" customHeight="1">
      <c r="A474" s="8"/>
      <c r="C474" s="2">
        <f>F474/Instructions!$B$5</f>
        <v>0</v>
      </c>
      <c r="D474" s="2">
        <f>G474/Instructions!$B$5</f>
        <v>0</v>
      </c>
      <c r="E474" s="2">
        <f t="shared" si="8"/>
        <v>0</v>
      </c>
      <c r="F474" s="9"/>
      <c r="G474" s="9"/>
      <c r="H474" s="2">
        <f>IF(SUM(F474:G474)&gt;Instructions!$B$5,"Error",SUM(F474:G474))</f>
        <v>0</v>
      </c>
      <c r="I474" s="8"/>
    </row>
    <row r="475" spans="1:9" ht="29.45" customHeight="1">
      <c r="A475" s="8"/>
      <c r="C475" s="2">
        <f>F475/Instructions!$B$5</f>
        <v>0</v>
      </c>
      <c r="D475" s="2">
        <f>G475/Instructions!$B$5</f>
        <v>0</v>
      </c>
      <c r="E475" s="2">
        <f t="shared" si="8"/>
        <v>0</v>
      </c>
      <c r="F475" s="9"/>
      <c r="G475" s="9"/>
      <c r="H475" s="2">
        <f>IF(SUM(F475:G475)&gt;Instructions!$B$5,"Error",SUM(F475:G475))</f>
        <v>0</v>
      </c>
      <c r="I475" s="8"/>
    </row>
    <row r="476" spans="1:9" ht="29.45" customHeight="1">
      <c r="A476" s="8"/>
      <c r="C476" s="2">
        <f>F476/Instructions!$B$5</f>
        <v>0</v>
      </c>
      <c r="D476" s="2">
        <f>G476/Instructions!$B$5</f>
        <v>0</v>
      </c>
      <c r="E476" s="2">
        <f t="shared" si="8"/>
        <v>0</v>
      </c>
      <c r="F476" s="9"/>
      <c r="G476" s="9"/>
      <c r="H476" s="2">
        <f>IF(SUM(F476:G476)&gt;Instructions!$B$5,"Error",SUM(F476:G476))</f>
        <v>0</v>
      </c>
      <c r="I476" s="8"/>
    </row>
    <row r="477" spans="1:9" ht="29.45" customHeight="1">
      <c r="A477" s="8"/>
      <c r="C477" s="2">
        <f>F477/Instructions!$B$5</f>
        <v>0</v>
      </c>
      <c r="D477" s="2">
        <f>G477/Instructions!$B$5</f>
        <v>0</v>
      </c>
      <c r="E477" s="2">
        <f t="shared" si="8"/>
        <v>0</v>
      </c>
      <c r="F477" s="9"/>
      <c r="G477" s="9"/>
      <c r="H477" s="2">
        <f>IF(SUM(F477:G477)&gt;Instructions!$B$5,"Error",SUM(F477:G477))</f>
        <v>0</v>
      </c>
      <c r="I477" s="8"/>
    </row>
    <row r="478" spans="1:9" ht="29.45" customHeight="1">
      <c r="A478" s="8"/>
      <c r="C478" s="2">
        <f>F478/Instructions!$B$5</f>
        <v>0</v>
      </c>
      <c r="D478" s="2">
        <f>G478/Instructions!$B$5</f>
        <v>0</v>
      </c>
      <c r="E478" s="2">
        <f t="shared" si="8"/>
        <v>0</v>
      </c>
      <c r="F478" s="9"/>
      <c r="G478" s="9"/>
      <c r="H478" s="2">
        <f>IF(SUM(F478:G478)&gt;Instructions!$B$5,"Error",SUM(F478:G478))</f>
        <v>0</v>
      </c>
      <c r="I478" s="8"/>
    </row>
    <row r="479" spans="1:9" ht="29.45" customHeight="1">
      <c r="A479" s="8"/>
      <c r="C479" s="2">
        <f>F479/Instructions!$B$5</f>
        <v>0</v>
      </c>
      <c r="D479" s="2">
        <f>G479/Instructions!$B$5</f>
        <v>0</v>
      </c>
      <c r="E479" s="2">
        <f t="shared" si="8"/>
        <v>0</v>
      </c>
      <c r="F479" s="9"/>
      <c r="G479" s="9"/>
      <c r="H479" s="2">
        <f>IF(SUM(F479:G479)&gt;Instructions!$B$5,"Error",SUM(F479:G479))</f>
        <v>0</v>
      </c>
      <c r="I479" s="8"/>
    </row>
    <row r="480" spans="1:9" ht="29.45" customHeight="1">
      <c r="A480" s="8"/>
      <c r="C480" s="2">
        <f>F480/Instructions!$B$5</f>
        <v>0</v>
      </c>
      <c r="D480" s="2">
        <f>G480/Instructions!$B$5</f>
        <v>0</v>
      </c>
      <c r="E480" s="2">
        <f t="shared" si="8"/>
        <v>0</v>
      </c>
      <c r="F480" s="9"/>
      <c r="G480" s="9"/>
      <c r="H480" s="2">
        <f>IF(SUM(F480:G480)&gt;Instructions!$B$5,"Error",SUM(F480:G480))</f>
        <v>0</v>
      </c>
      <c r="I480" s="8"/>
    </row>
    <row r="481" spans="1:9" ht="29.45" customHeight="1">
      <c r="A481" s="8"/>
      <c r="C481" s="2">
        <f>F481/Instructions!$B$5</f>
        <v>0</v>
      </c>
      <c r="D481" s="2">
        <f>G481/Instructions!$B$5</f>
        <v>0</v>
      </c>
      <c r="E481" s="2">
        <f t="shared" si="8"/>
        <v>0</v>
      </c>
      <c r="F481" s="9"/>
      <c r="G481" s="9"/>
      <c r="H481" s="2">
        <f>IF(SUM(F481:G481)&gt;Instructions!$B$5,"Error",SUM(F481:G481))</f>
        <v>0</v>
      </c>
      <c r="I481" s="8"/>
    </row>
    <row r="482" spans="1:9" ht="29.45" customHeight="1">
      <c r="A482" s="8"/>
      <c r="C482" s="2">
        <f>F482/Instructions!$B$5</f>
        <v>0</v>
      </c>
      <c r="D482" s="2">
        <f>G482/Instructions!$B$5</f>
        <v>0</v>
      </c>
      <c r="E482" s="2">
        <f t="shared" si="8"/>
        <v>0</v>
      </c>
      <c r="F482" s="9"/>
      <c r="G482" s="9"/>
      <c r="H482" s="2">
        <f>IF(SUM(F482:G482)&gt;Instructions!$B$5,"Error",SUM(F482:G482))</f>
        <v>0</v>
      </c>
      <c r="I482" s="8"/>
    </row>
    <row r="483" spans="1:9" ht="29.45" customHeight="1">
      <c r="A483" s="8"/>
      <c r="C483" s="2">
        <f>F483/Instructions!$B$5</f>
        <v>0</v>
      </c>
      <c r="D483" s="2">
        <f>G483/Instructions!$B$5</f>
        <v>0</v>
      </c>
      <c r="E483" s="2">
        <f t="shared" si="8"/>
        <v>0</v>
      </c>
      <c r="F483" s="9"/>
      <c r="G483" s="9"/>
      <c r="H483" s="2">
        <f>IF(SUM(F483:G483)&gt;Instructions!$B$5,"Error",SUM(F483:G483))</f>
        <v>0</v>
      </c>
      <c r="I483" s="8"/>
    </row>
    <row r="484" spans="1:9" ht="29.45" customHeight="1">
      <c r="A484" s="8"/>
      <c r="C484" s="2">
        <f>F484/Instructions!$B$5</f>
        <v>0</v>
      </c>
      <c r="D484" s="2">
        <f>G484/Instructions!$B$5</f>
        <v>0</v>
      </c>
      <c r="E484" s="2">
        <f t="shared" si="8"/>
        <v>0</v>
      </c>
      <c r="F484" s="9"/>
      <c r="G484" s="9"/>
      <c r="H484" s="2">
        <f>IF(SUM(F484:G484)&gt;Instructions!$B$5,"Error",SUM(F484:G484))</f>
        <v>0</v>
      </c>
      <c r="I484" s="8"/>
    </row>
    <row r="485" spans="1:9" ht="29.45" customHeight="1">
      <c r="A485" s="8"/>
      <c r="C485" s="2">
        <f>F485/Instructions!$B$5</f>
        <v>0</v>
      </c>
      <c r="D485" s="2">
        <f>G485/Instructions!$B$5</f>
        <v>0</v>
      </c>
      <c r="E485" s="2">
        <f t="shared" si="8"/>
        <v>0</v>
      </c>
      <c r="F485" s="9"/>
      <c r="G485" s="9"/>
      <c r="H485" s="2">
        <f>IF(SUM(F485:G485)&gt;Instructions!$B$5,"Error",SUM(F485:G485))</f>
        <v>0</v>
      </c>
      <c r="I485" s="8"/>
    </row>
    <row r="486" spans="1:9" ht="29.45" customHeight="1">
      <c r="A486" s="8"/>
      <c r="C486" s="2">
        <f>F486/Instructions!$B$5</f>
        <v>0</v>
      </c>
      <c r="D486" s="2">
        <f>G486/Instructions!$B$5</f>
        <v>0</v>
      </c>
      <c r="E486" s="2">
        <f t="shared" si="8"/>
        <v>0</v>
      </c>
      <c r="F486" s="9"/>
      <c r="G486" s="9"/>
      <c r="H486" s="2">
        <f>IF(SUM(F486:G486)&gt;Instructions!$B$5,"Error",SUM(F486:G486))</f>
        <v>0</v>
      </c>
      <c r="I486" s="8"/>
    </row>
    <row r="487" spans="1:9" ht="29.45" customHeight="1">
      <c r="A487" s="8"/>
      <c r="C487" s="2">
        <f>F487/Instructions!$B$5</f>
        <v>0</v>
      </c>
      <c r="D487" s="2">
        <f>G487/Instructions!$B$5</f>
        <v>0</v>
      </c>
      <c r="E487" s="2">
        <f t="shared" si="8"/>
        <v>0</v>
      </c>
      <c r="F487" s="9"/>
      <c r="G487" s="9"/>
      <c r="H487" s="2">
        <f>IF(SUM(F487:G487)&gt;Instructions!$B$5,"Error",SUM(F487:G487))</f>
        <v>0</v>
      </c>
      <c r="I487" s="8"/>
    </row>
    <row r="488" spans="1:9" ht="29.45" customHeight="1">
      <c r="A488" s="8"/>
      <c r="C488" s="2">
        <f>F488/Instructions!$B$5</f>
        <v>0</v>
      </c>
      <c r="D488" s="2">
        <f>G488/Instructions!$B$5</f>
        <v>0</v>
      </c>
      <c r="E488" s="2">
        <f t="shared" si="8"/>
        <v>0</v>
      </c>
      <c r="F488" s="9"/>
      <c r="G488" s="9"/>
      <c r="H488" s="2">
        <f>IF(SUM(F488:G488)&gt;Instructions!$B$5,"Error",SUM(F488:G488))</f>
        <v>0</v>
      </c>
      <c r="I488" s="8"/>
    </row>
    <row r="489" spans="1:9" ht="29.45" customHeight="1">
      <c r="A489" s="8"/>
      <c r="C489" s="2">
        <f>F489/Instructions!$B$5</f>
        <v>0</v>
      </c>
      <c r="D489" s="2">
        <f>G489/Instructions!$B$5</f>
        <v>0</v>
      </c>
      <c r="E489" s="2">
        <f t="shared" si="8"/>
        <v>0</v>
      </c>
      <c r="F489" s="9"/>
      <c r="G489" s="9"/>
      <c r="H489" s="2">
        <f>IF(SUM(F489:G489)&gt;Instructions!$B$5,"Error",SUM(F489:G489))</f>
        <v>0</v>
      </c>
      <c r="I489" s="8"/>
    </row>
    <row r="490" spans="1:9" ht="29.45" customHeight="1">
      <c r="A490" s="8"/>
      <c r="C490" s="2">
        <f>F490/Instructions!$B$5</f>
        <v>0</v>
      </c>
      <c r="D490" s="2">
        <f>G490/Instructions!$B$5</f>
        <v>0</v>
      </c>
      <c r="E490" s="2">
        <f t="shared" si="8"/>
        <v>0</v>
      </c>
      <c r="F490" s="9"/>
      <c r="G490" s="9"/>
      <c r="H490" s="2">
        <f>IF(SUM(F490:G490)&gt;Instructions!$B$5,"Error",SUM(F490:G490))</f>
        <v>0</v>
      </c>
      <c r="I490" s="8"/>
    </row>
    <row r="491" spans="1:9" ht="29.45" customHeight="1">
      <c r="A491" s="8"/>
      <c r="C491" s="2">
        <f>F491/Instructions!$B$5</f>
        <v>0</v>
      </c>
      <c r="D491" s="2">
        <f>G491/Instructions!$B$5</f>
        <v>0</v>
      </c>
      <c r="E491" s="2">
        <f t="shared" si="8"/>
        <v>0</v>
      </c>
      <c r="F491" s="9"/>
      <c r="G491" s="9"/>
      <c r="H491" s="2">
        <f>IF(SUM(F491:G491)&gt;Instructions!$B$5,"Error",SUM(F491:G491))</f>
        <v>0</v>
      </c>
      <c r="I491" s="8"/>
    </row>
    <row r="492" spans="1:9" ht="29.45" customHeight="1">
      <c r="A492" s="8"/>
      <c r="C492" s="2">
        <f>F492/Instructions!$B$5</f>
        <v>0</v>
      </c>
      <c r="D492" s="2">
        <f>G492/Instructions!$B$5</f>
        <v>0</v>
      </c>
      <c r="E492" s="2">
        <f t="shared" si="8"/>
        <v>0</v>
      </c>
      <c r="F492" s="9"/>
      <c r="G492" s="9"/>
      <c r="H492" s="2">
        <f>IF(SUM(F492:G492)&gt;Instructions!$B$5,"Error",SUM(F492:G492))</f>
        <v>0</v>
      </c>
      <c r="I492" s="8"/>
    </row>
    <row r="493" spans="1:9" ht="29.45" customHeight="1">
      <c r="A493" s="8"/>
      <c r="C493" s="2">
        <f>F493/Instructions!$B$5</f>
        <v>0</v>
      </c>
      <c r="D493" s="2">
        <f>G493/Instructions!$B$5</f>
        <v>0</v>
      </c>
      <c r="E493" s="2">
        <f t="shared" si="8"/>
        <v>0</v>
      </c>
      <c r="F493" s="9"/>
      <c r="G493" s="9"/>
      <c r="H493" s="2">
        <f>IF(SUM(F493:G493)&gt;Instructions!$B$5,"Error",SUM(F493:G493))</f>
        <v>0</v>
      </c>
      <c r="I493" s="8"/>
    </row>
    <row r="494" spans="1:9" ht="29.45" customHeight="1">
      <c r="A494" s="8"/>
      <c r="C494" s="2">
        <f>F494/Instructions!$B$5</f>
        <v>0</v>
      </c>
      <c r="D494" s="2">
        <f>G494/Instructions!$B$5</f>
        <v>0</v>
      </c>
      <c r="E494" s="2">
        <f t="shared" si="8"/>
        <v>0</v>
      </c>
      <c r="F494" s="9"/>
      <c r="G494" s="9"/>
      <c r="H494" s="2">
        <f>IF(SUM(F494:G494)&gt;Instructions!$B$5,"Error",SUM(F494:G494))</f>
        <v>0</v>
      </c>
      <c r="I494" s="8"/>
    </row>
    <row r="495" spans="1:9" ht="29.45" customHeight="1">
      <c r="A495" s="8"/>
      <c r="C495" s="2">
        <f>F495/Instructions!$B$5</f>
        <v>0</v>
      </c>
      <c r="D495" s="2">
        <f>G495/Instructions!$B$5</f>
        <v>0</v>
      </c>
      <c r="E495" s="2">
        <f t="shared" si="8"/>
        <v>0</v>
      </c>
      <c r="F495" s="9"/>
      <c r="G495" s="9"/>
      <c r="H495" s="2">
        <f>IF(SUM(F495:G495)&gt;Instructions!$B$5,"Error",SUM(F495:G495))</f>
        <v>0</v>
      </c>
      <c r="I495" s="8"/>
    </row>
    <row r="496" spans="1:9" ht="29.45" customHeight="1">
      <c r="A496" s="8"/>
      <c r="C496" s="2">
        <f>F496/Instructions!$B$5</f>
        <v>0</v>
      </c>
      <c r="D496" s="2">
        <f>G496/Instructions!$B$5</f>
        <v>0</v>
      </c>
      <c r="E496" s="2">
        <f t="shared" si="8"/>
        <v>0</v>
      </c>
      <c r="F496" s="9"/>
      <c r="G496" s="9"/>
      <c r="H496" s="2">
        <f>IF(SUM(F496:G496)&gt;Instructions!$B$5,"Error",SUM(F496:G496))</f>
        <v>0</v>
      </c>
      <c r="I496" s="8"/>
    </row>
    <row r="497" spans="1:9" ht="29.45" customHeight="1">
      <c r="A497" s="8"/>
      <c r="C497" s="2">
        <f>F497/Instructions!$B$5</f>
        <v>0</v>
      </c>
      <c r="D497" s="2">
        <f>G497/Instructions!$B$5</f>
        <v>0</v>
      </c>
      <c r="E497" s="2">
        <f t="shared" si="8"/>
        <v>0</v>
      </c>
      <c r="F497" s="9"/>
      <c r="G497" s="9"/>
      <c r="H497" s="2">
        <f>IF(SUM(F497:G497)&gt;Instructions!$B$5,"Error",SUM(F497:G497))</f>
        <v>0</v>
      </c>
      <c r="I497" s="8"/>
    </row>
    <row r="498" spans="1:9" ht="29.45" customHeight="1">
      <c r="A498" s="8"/>
      <c r="C498" s="2">
        <f>F498/Instructions!$B$5</f>
        <v>0</v>
      </c>
      <c r="D498" s="2">
        <f>G498/Instructions!$B$5</f>
        <v>0</v>
      </c>
      <c r="E498" s="2">
        <f t="shared" si="8"/>
        <v>0</v>
      </c>
      <c r="F498" s="9"/>
      <c r="G498" s="9"/>
      <c r="H498" s="2">
        <f>IF(SUM(F498:G498)&gt;Instructions!$B$5,"Error",SUM(F498:G498))</f>
        <v>0</v>
      </c>
      <c r="I498" s="8"/>
    </row>
    <row r="499" spans="1:9" ht="29.45" customHeight="1">
      <c r="A499" s="8"/>
      <c r="C499" s="2">
        <f>F499/Instructions!$B$5</f>
        <v>0</v>
      </c>
      <c r="D499" s="2">
        <f>G499/Instructions!$B$5</f>
        <v>0</v>
      </c>
      <c r="E499" s="2">
        <f t="shared" si="8"/>
        <v>0</v>
      </c>
      <c r="F499" s="9"/>
      <c r="G499" s="9"/>
      <c r="H499" s="2">
        <f>IF(SUM(F499:G499)&gt;Instructions!$B$5,"Error",SUM(F499:G499))</f>
        <v>0</v>
      </c>
      <c r="I499" s="8"/>
    </row>
    <row r="500" spans="1:9" ht="29.45" customHeight="1">
      <c r="A500" s="8"/>
      <c r="C500" s="2">
        <f>F500/Instructions!$B$5</f>
        <v>0</v>
      </c>
      <c r="D500" s="2">
        <f>G500/Instructions!$B$5</f>
        <v>0</v>
      </c>
      <c r="E500" s="2">
        <f t="shared" si="8"/>
        <v>0</v>
      </c>
      <c r="F500" s="9"/>
      <c r="G500" s="9"/>
      <c r="H500" s="2">
        <f>IF(SUM(F500:G500)&gt;Instructions!$B$5,"Error",SUM(F500:G500))</f>
        <v>0</v>
      </c>
      <c r="I500" s="8"/>
    </row>
    <row r="501" spans="1:9" ht="29.45" customHeight="1">
      <c r="A501" s="8"/>
      <c r="C501" s="2">
        <f>F501/Instructions!$B$5</f>
        <v>0</v>
      </c>
      <c r="D501" s="2">
        <f>G501/Instructions!$B$5</f>
        <v>0</v>
      </c>
      <c r="E501" s="2">
        <f t="shared" si="8"/>
        <v>0</v>
      </c>
      <c r="F501" s="9"/>
      <c r="G501" s="9"/>
      <c r="H501" s="2">
        <f>IF(SUM(F501:G501)&gt;Instructions!$B$5,"Error",SUM(F501:G501))</f>
        <v>0</v>
      </c>
      <c r="I501" s="8"/>
    </row>
    <row r="502" spans="1:9" ht="29.45" customHeight="1">
      <c r="A502" s="8"/>
      <c r="C502" s="2">
        <f>F502/Instructions!$B$5</f>
        <v>0</v>
      </c>
      <c r="D502" s="2">
        <f>G502/Instructions!$B$5</f>
        <v>0</v>
      </c>
      <c r="E502" s="2">
        <f t="shared" si="8"/>
        <v>0</v>
      </c>
      <c r="F502" s="9"/>
      <c r="G502" s="9"/>
      <c r="H502" s="2">
        <f>IF(SUM(F502:G502)&gt;Instructions!$B$5,"Error",SUM(F502:G502))</f>
        <v>0</v>
      </c>
      <c r="I502" s="8"/>
    </row>
    <row r="503" spans="1:9" ht="29.45" customHeight="1">
      <c r="A503" s="8"/>
      <c r="C503" s="2">
        <f>F503/Instructions!$B$5</f>
        <v>0</v>
      </c>
      <c r="D503" s="2">
        <f>G503/Instructions!$B$5</f>
        <v>0</v>
      </c>
      <c r="E503" s="2">
        <f t="shared" si="8"/>
        <v>0</v>
      </c>
      <c r="F503" s="9"/>
      <c r="G503" s="9"/>
      <c r="H503" s="2">
        <f>IF(SUM(F503:G503)&gt;Instructions!$B$5,"Error",SUM(F503:G503))</f>
        <v>0</v>
      </c>
      <c r="I503" s="8"/>
    </row>
    <row r="504" spans="1:9" ht="29.45" customHeight="1">
      <c r="A504" s="8"/>
      <c r="C504" s="2">
        <f>F504/Instructions!$B$5</f>
        <v>0</v>
      </c>
      <c r="D504" s="2">
        <f>G504/Instructions!$B$5</f>
        <v>0</v>
      </c>
      <c r="E504" s="2">
        <f t="shared" si="8"/>
        <v>0</v>
      </c>
      <c r="F504" s="9"/>
      <c r="G504" s="9"/>
      <c r="H504" s="2">
        <f>IF(SUM(F504:G504)&gt;Instructions!$B$5,"Error",SUM(F504:G504))</f>
        <v>0</v>
      </c>
      <c r="I504" s="8"/>
    </row>
    <row r="505" spans="1:9" ht="29.45" customHeight="1">
      <c r="A505" s="8"/>
      <c r="C505" s="2">
        <f>F505/Instructions!$B$5</f>
        <v>0</v>
      </c>
      <c r="D505" s="2">
        <f>G505/Instructions!$B$5</f>
        <v>0</v>
      </c>
      <c r="E505" s="2">
        <f t="shared" si="8"/>
        <v>0</v>
      </c>
      <c r="F505" s="9"/>
      <c r="G505" s="9"/>
      <c r="H505" s="2">
        <f>IF(SUM(F505:G505)&gt;Instructions!$B$5,"Error",SUM(F505:G505))</f>
        <v>0</v>
      </c>
      <c r="I505" s="8"/>
    </row>
    <row r="506" spans="1:9" ht="29.45" customHeight="1">
      <c r="A506" s="8"/>
      <c r="C506" s="2">
        <f>F506/Instructions!$B$5</f>
        <v>0</v>
      </c>
      <c r="D506" s="2">
        <f>G506/Instructions!$B$5</f>
        <v>0</v>
      </c>
      <c r="E506" s="2">
        <f t="shared" si="8"/>
        <v>0</v>
      </c>
      <c r="F506" s="9"/>
      <c r="G506" s="9"/>
      <c r="H506" s="2">
        <f>IF(SUM(F506:G506)&gt;Instructions!$B$5,"Error",SUM(F506:G506))</f>
        <v>0</v>
      </c>
      <c r="I506" s="8"/>
    </row>
    <row r="507" spans="1:9" ht="29.45" customHeight="1">
      <c r="A507" s="8"/>
      <c r="C507" s="2">
        <f>F507/Instructions!$B$5</f>
        <v>0</v>
      </c>
      <c r="D507" s="2">
        <f>G507/Instructions!$B$5</f>
        <v>0</v>
      </c>
      <c r="E507" s="2">
        <f t="shared" si="8"/>
        <v>0</v>
      </c>
      <c r="F507" s="9"/>
      <c r="G507" s="9"/>
      <c r="H507" s="2">
        <f>IF(SUM(F507:G507)&gt;Instructions!$B$5,"Error",SUM(F507:G507))</f>
        <v>0</v>
      </c>
      <c r="I507" s="8"/>
    </row>
    <row r="508" spans="1:9" ht="29.45" customHeight="1">
      <c r="A508" s="8"/>
      <c r="C508" s="2">
        <f>F508/Instructions!$B$5</f>
        <v>0</v>
      </c>
      <c r="D508" s="2">
        <f>G508/Instructions!$B$5</f>
        <v>0</v>
      </c>
      <c r="E508" s="2">
        <f t="shared" si="8"/>
        <v>0</v>
      </c>
      <c r="F508" s="9"/>
      <c r="G508" s="9"/>
      <c r="H508" s="2">
        <f>IF(SUM(F508:G508)&gt;Instructions!$B$5,"Error",SUM(F508:G508))</f>
        <v>0</v>
      </c>
      <c r="I508" s="8"/>
    </row>
    <row r="509" spans="1:9" ht="29.45" customHeight="1">
      <c r="A509" s="8"/>
      <c r="C509" s="2">
        <f>F509/Instructions!$B$5</f>
        <v>0</v>
      </c>
      <c r="D509" s="2">
        <f>G509/Instructions!$B$5</f>
        <v>0</v>
      </c>
      <c r="E509" s="2">
        <f t="shared" si="8"/>
        <v>0</v>
      </c>
      <c r="F509" s="9"/>
      <c r="G509" s="9"/>
      <c r="H509" s="2">
        <f>IF(SUM(F509:G509)&gt;Instructions!$B$5,"Error",SUM(F509:G509))</f>
        <v>0</v>
      </c>
      <c r="I509" s="8"/>
    </row>
    <row r="510" spans="1:9" ht="29.45" customHeight="1">
      <c r="A510" s="8"/>
      <c r="C510" s="2">
        <f>F510/Instructions!$B$5</f>
        <v>0</v>
      </c>
      <c r="D510" s="2">
        <f>G510/Instructions!$B$5</f>
        <v>0</v>
      </c>
      <c r="E510" s="2">
        <f t="shared" si="8"/>
        <v>0</v>
      </c>
      <c r="F510" s="9"/>
      <c r="G510" s="9"/>
      <c r="H510" s="2">
        <f>IF(SUM(F510:G510)&gt;Instructions!$B$5,"Error",SUM(F510:G510))</f>
        <v>0</v>
      </c>
      <c r="I510" s="8"/>
    </row>
    <row r="511" spans="1:9" ht="29.45" customHeight="1">
      <c r="A511" s="8"/>
      <c r="C511" s="2">
        <f>F511/Instructions!$B$5</f>
        <v>0</v>
      </c>
      <c r="D511" s="2">
        <f>G511/Instructions!$B$5</f>
        <v>0</v>
      </c>
      <c r="E511" s="2">
        <f t="shared" si="8"/>
        <v>0</v>
      </c>
      <c r="F511" s="9"/>
      <c r="G511" s="9"/>
      <c r="H511" s="2">
        <f>IF(SUM(F511:G511)&gt;Instructions!$B$5,"Error",SUM(F511:G511))</f>
        <v>0</v>
      </c>
      <c r="I511" s="8"/>
    </row>
    <row r="512" spans="1:9" ht="29.45" customHeight="1">
      <c r="A512" s="8"/>
      <c r="C512" s="2">
        <f>F512/Instructions!$B$5</f>
        <v>0</v>
      </c>
      <c r="D512" s="2">
        <f>G512/Instructions!$B$5</f>
        <v>0</v>
      </c>
      <c r="E512" s="2">
        <f t="shared" si="8"/>
        <v>0</v>
      </c>
      <c r="F512" s="9"/>
      <c r="G512" s="9"/>
      <c r="H512" s="2">
        <f>IF(SUM(F512:G512)&gt;Instructions!$B$5,"Error",SUM(F512:G512))</f>
        <v>0</v>
      </c>
      <c r="I512" s="8"/>
    </row>
    <row r="513" spans="1:9" ht="29.45" customHeight="1">
      <c r="A513" s="8"/>
      <c r="C513" s="2">
        <f>F513/Instructions!$B$5</f>
        <v>0</v>
      </c>
      <c r="D513" s="2">
        <f>G513/Instructions!$B$5</f>
        <v>0</v>
      </c>
      <c r="E513" s="2">
        <f t="shared" si="8"/>
        <v>0</v>
      </c>
      <c r="F513" s="9"/>
      <c r="G513" s="9"/>
      <c r="H513" s="2">
        <f>IF(SUM(F513:G513)&gt;Instructions!$B$5,"Error",SUM(F513:G513))</f>
        <v>0</v>
      </c>
      <c r="I513" s="8"/>
    </row>
    <row r="514" spans="1:9" ht="29.45" customHeight="1">
      <c r="A514" s="8"/>
      <c r="C514" s="2">
        <f>F514/Instructions!$B$5</f>
        <v>0</v>
      </c>
      <c r="D514" s="2">
        <f>G514/Instructions!$B$5</f>
        <v>0</v>
      </c>
      <c r="E514" s="2">
        <f t="shared" si="8"/>
        <v>0</v>
      </c>
      <c r="F514" s="9"/>
      <c r="G514" s="9"/>
      <c r="H514" s="2">
        <f>IF(SUM(F514:G514)&gt;Instructions!$B$5,"Error",SUM(F514:G514))</f>
        <v>0</v>
      </c>
      <c r="I514" s="8"/>
    </row>
    <row r="515" spans="1:9" ht="29.45" customHeight="1">
      <c r="A515" s="8"/>
      <c r="C515" s="2">
        <f>F515/Instructions!$B$5</f>
        <v>0</v>
      </c>
      <c r="D515" s="2">
        <f>G515/Instructions!$B$5</f>
        <v>0</v>
      </c>
      <c r="E515" s="2">
        <f t="shared" si="8"/>
        <v>0</v>
      </c>
      <c r="F515" s="9"/>
      <c r="G515" s="9"/>
      <c r="H515" s="2">
        <f>IF(SUM(F515:G515)&gt;Instructions!$B$5,"Error",SUM(F515:G515))</f>
        <v>0</v>
      </c>
      <c r="I515" s="8"/>
    </row>
    <row r="516" spans="1:9" ht="29.45" customHeight="1">
      <c r="A516" s="8"/>
      <c r="C516" s="2">
        <f>F516/Instructions!$B$5</f>
        <v>0</v>
      </c>
      <c r="D516" s="2">
        <f>G516/Instructions!$B$5</f>
        <v>0</v>
      </c>
      <c r="E516" s="2">
        <f t="shared" si="8"/>
        <v>0</v>
      </c>
      <c r="F516" s="9"/>
      <c r="G516" s="9"/>
      <c r="H516" s="2">
        <f>IF(SUM(F516:G516)&gt;Instructions!$B$5,"Error",SUM(F516:G516))</f>
        <v>0</v>
      </c>
      <c r="I516" s="8"/>
    </row>
    <row r="517" spans="1:9" ht="29.45" customHeight="1">
      <c r="A517" s="8"/>
      <c r="C517" s="2">
        <f>F517/Instructions!$B$5</f>
        <v>0</v>
      </c>
      <c r="D517" s="2">
        <f>G517/Instructions!$B$5</f>
        <v>0</v>
      </c>
      <c r="E517" s="2">
        <f t="shared" si="8"/>
        <v>0</v>
      </c>
      <c r="F517" s="9"/>
      <c r="G517" s="9"/>
      <c r="H517" s="2">
        <f>IF(SUM(F517:G517)&gt;Instructions!$B$5,"Error",SUM(F517:G517))</f>
        <v>0</v>
      </c>
      <c r="I517" s="8"/>
    </row>
    <row r="518" spans="1:9" ht="29.45" customHeight="1">
      <c r="A518" s="8"/>
      <c r="C518" s="2">
        <f>F518/Instructions!$B$5</f>
        <v>0</v>
      </c>
      <c r="D518" s="2">
        <f>G518/Instructions!$B$5</f>
        <v>0</v>
      </c>
      <c r="E518" s="2">
        <f t="shared" si="8"/>
        <v>0</v>
      </c>
      <c r="F518" s="9"/>
      <c r="G518" s="9"/>
      <c r="H518" s="2">
        <f>IF(SUM(F518:G518)&gt;Instructions!$B$5,"Error",SUM(F518:G518))</f>
        <v>0</v>
      </c>
      <c r="I518" s="8"/>
    </row>
    <row r="519" spans="1:9" ht="29.45" customHeight="1">
      <c r="A519" s="8"/>
      <c r="C519" s="2">
        <f>F519/Instructions!$B$5</f>
        <v>0</v>
      </c>
      <c r="D519" s="2">
        <f>G519/Instructions!$B$5</f>
        <v>0</v>
      </c>
      <c r="E519" s="2">
        <f t="shared" si="8"/>
        <v>0</v>
      </c>
      <c r="F519" s="9"/>
      <c r="G519" s="9"/>
      <c r="H519" s="2">
        <f>IF(SUM(F519:G519)&gt;Instructions!$B$5,"Error",SUM(F519:G519))</f>
        <v>0</v>
      </c>
      <c r="I519" s="8"/>
    </row>
    <row r="520" spans="1:9" ht="29.45" customHeight="1">
      <c r="A520" s="8"/>
      <c r="C520" s="2">
        <f>F520/Instructions!$B$5</f>
        <v>0</v>
      </c>
      <c r="D520" s="2">
        <f>G520/Instructions!$B$5</f>
        <v>0</v>
      </c>
      <c r="E520" s="2">
        <f t="shared" ref="E520:E583" si="9">IF(SUM(C520:D520)&gt;1,"Error",SUM(C520:D520))</f>
        <v>0</v>
      </c>
      <c r="F520" s="9"/>
      <c r="G520" s="9"/>
      <c r="H520" s="2">
        <f>IF(SUM(F520:G520)&gt;Instructions!$B$5,"Error",SUM(F520:G520))</f>
        <v>0</v>
      </c>
      <c r="I520" s="8"/>
    </row>
    <row r="521" spans="1:9" ht="29.45" customHeight="1">
      <c r="A521" s="8"/>
      <c r="C521" s="2">
        <f>F521/Instructions!$B$5</f>
        <v>0</v>
      </c>
      <c r="D521" s="2">
        <f>G521/Instructions!$B$5</f>
        <v>0</v>
      </c>
      <c r="E521" s="2">
        <f t="shared" si="9"/>
        <v>0</v>
      </c>
      <c r="F521" s="9"/>
      <c r="G521" s="9"/>
      <c r="H521" s="2">
        <f>IF(SUM(F521:G521)&gt;Instructions!$B$5,"Error",SUM(F521:G521))</f>
        <v>0</v>
      </c>
      <c r="I521" s="8"/>
    </row>
    <row r="522" spans="1:9" ht="29.45" customHeight="1">
      <c r="A522" s="8"/>
      <c r="C522" s="2">
        <f>F522/Instructions!$B$5</f>
        <v>0</v>
      </c>
      <c r="D522" s="2">
        <f>G522/Instructions!$B$5</f>
        <v>0</v>
      </c>
      <c r="E522" s="2">
        <f t="shared" si="9"/>
        <v>0</v>
      </c>
      <c r="F522" s="9"/>
      <c r="G522" s="9"/>
      <c r="H522" s="2">
        <f>IF(SUM(F522:G522)&gt;Instructions!$B$5,"Error",SUM(F522:G522))</f>
        <v>0</v>
      </c>
      <c r="I522" s="8"/>
    </row>
    <row r="523" spans="1:9" ht="29.45" customHeight="1">
      <c r="A523" s="8"/>
      <c r="C523" s="2">
        <f>F523/Instructions!$B$5</f>
        <v>0</v>
      </c>
      <c r="D523" s="2">
        <f>G523/Instructions!$B$5</f>
        <v>0</v>
      </c>
      <c r="E523" s="2">
        <f t="shared" si="9"/>
        <v>0</v>
      </c>
      <c r="F523" s="9"/>
      <c r="G523" s="9"/>
      <c r="H523" s="2">
        <f>IF(SUM(F523:G523)&gt;Instructions!$B$5,"Error",SUM(F523:G523))</f>
        <v>0</v>
      </c>
      <c r="I523" s="8"/>
    </row>
    <row r="524" spans="1:9" ht="29.45" customHeight="1">
      <c r="A524" s="8"/>
      <c r="C524" s="2">
        <f>F524/Instructions!$B$5</f>
        <v>0</v>
      </c>
      <c r="D524" s="2">
        <f>G524/Instructions!$B$5</f>
        <v>0</v>
      </c>
      <c r="E524" s="2">
        <f t="shared" si="9"/>
        <v>0</v>
      </c>
      <c r="F524" s="9"/>
      <c r="G524" s="9"/>
      <c r="H524" s="2">
        <f>IF(SUM(F524:G524)&gt;Instructions!$B$5,"Error",SUM(F524:G524))</f>
        <v>0</v>
      </c>
      <c r="I524" s="8"/>
    </row>
    <row r="525" spans="1:9" ht="29.45" customHeight="1">
      <c r="A525" s="8"/>
      <c r="C525" s="2">
        <f>F525/Instructions!$B$5</f>
        <v>0</v>
      </c>
      <c r="D525" s="2">
        <f>G525/Instructions!$B$5</f>
        <v>0</v>
      </c>
      <c r="E525" s="2">
        <f t="shared" si="9"/>
        <v>0</v>
      </c>
      <c r="F525" s="9"/>
      <c r="G525" s="9"/>
      <c r="H525" s="2">
        <f>IF(SUM(F525:G525)&gt;Instructions!$B$5,"Error",SUM(F525:G525))</f>
        <v>0</v>
      </c>
      <c r="I525" s="8"/>
    </row>
    <row r="526" spans="1:9" ht="29.45" customHeight="1">
      <c r="A526" s="8"/>
      <c r="C526" s="2">
        <f>F526/Instructions!$B$5</f>
        <v>0</v>
      </c>
      <c r="D526" s="2">
        <f>G526/Instructions!$B$5</f>
        <v>0</v>
      </c>
      <c r="E526" s="2">
        <f t="shared" si="9"/>
        <v>0</v>
      </c>
      <c r="F526" s="9"/>
      <c r="G526" s="9"/>
      <c r="H526" s="2">
        <f>IF(SUM(F526:G526)&gt;Instructions!$B$5,"Error",SUM(F526:G526))</f>
        <v>0</v>
      </c>
      <c r="I526" s="8"/>
    </row>
    <row r="527" spans="1:9" ht="29.45" customHeight="1">
      <c r="A527" s="8"/>
      <c r="C527" s="2">
        <f>F527/Instructions!$B$5</f>
        <v>0</v>
      </c>
      <c r="D527" s="2">
        <f>G527/Instructions!$B$5</f>
        <v>0</v>
      </c>
      <c r="E527" s="2">
        <f t="shared" si="9"/>
        <v>0</v>
      </c>
      <c r="F527" s="9"/>
      <c r="G527" s="9"/>
      <c r="H527" s="2">
        <f>IF(SUM(F527:G527)&gt;Instructions!$B$5,"Error",SUM(F527:G527))</f>
        <v>0</v>
      </c>
      <c r="I527" s="8"/>
    </row>
    <row r="528" spans="1:9" ht="29.45" customHeight="1">
      <c r="A528" s="8"/>
      <c r="C528" s="2">
        <f>F528/Instructions!$B$5</f>
        <v>0</v>
      </c>
      <c r="D528" s="2">
        <f>G528/Instructions!$B$5</f>
        <v>0</v>
      </c>
      <c r="E528" s="2">
        <f t="shared" si="9"/>
        <v>0</v>
      </c>
      <c r="F528" s="9"/>
      <c r="G528" s="9"/>
      <c r="H528" s="2">
        <f>IF(SUM(F528:G528)&gt;Instructions!$B$5,"Error",SUM(F528:G528))</f>
        <v>0</v>
      </c>
      <c r="I528" s="8"/>
    </row>
    <row r="529" spans="1:9" ht="29.45" customHeight="1">
      <c r="A529" s="8"/>
      <c r="C529" s="2">
        <f>F529/Instructions!$B$5</f>
        <v>0</v>
      </c>
      <c r="D529" s="2">
        <f>G529/Instructions!$B$5</f>
        <v>0</v>
      </c>
      <c r="E529" s="2">
        <f t="shared" si="9"/>
        <v>0</v>
      </c>
      <c r="F529" s="9"/>
      <c r="G529" s="9"/>
      <c r="H529" s="2">
        <f>IF(SUM(F529:G529)&gt;Instructions!$B$5,"Error",SUM(F529:G529))</f>
        <v>0</v>
      </c>
      <c r="I529" s="8"/>
    </row>
    <row r="530" spans="1:9" ht="29.45" customHeight="1">
      <c r="A530" s="8"/>
      <c r="C530" s="2">
        <f>F530/Instructions!$B$5</f>
        <v>0</v>
      </c>
      <c r="D530" s="2">
        <f>G530/Instructions!$B$5</f>
        <v>0</v>
      </c>
      <c r="E530" s="2">
        <f t="shared" si="9"/>
        <v>0</v>
      </c>
      <c r="F530" s="9"/>
      <c r="G530" s="9"/>
      <c r="H530" s="2">
        <f>IF(SUM(F530:G530)&gt;Instructions!$B$5,"Error",SUM(F530:G530))</f>
        <v>0</v>
      </c>
      <c r="I530" s="8"/>
    </row>
    <row r="531" spans="1:9" ht="29.45" customHeight="1">
      <c r="A531" s="8"/>
      <c r="C531" s="2">
        <f>F531/Instructions!$B$5</f>
        <v>0</v>
      </c>
      <c r="D531" s="2">
        <f>G531/Instructions!$B$5</f>
        <v>0</v>
      </c>
      <c r="E531" s="2">
        <f t="shared" si="9"/>
        <v>0</v>
      </c>
      <c r="F531" s="9"/>
      <c r="G531" s="9"/>
      <c r="H531" s="2">
        <f>IF(SUM(F531:G531)&gt;Instructions!$B$5,"Error",SUM(F531:G531))</f>
        <v>0</v>
      </c>
      <c r="I531" s="8"/>
    </row>
    <row r="532" spans="1:9" ht="29.45" customHeight="1">
      <c r="A532" s="8"/>
      <c r="C532" s="2">
        <f>F532/Instructions!$B$5</f>
        <v>0</v>
      </c>
      <c r="D532" s="2">
        <f>G532/Instructions!$B$5</f>
        <v>0</v>
      </c>
      <c r="E532" s="2">
        <f t="shared" si="9"/>
        <v>0</v>
      </c>
      <c r="F532" s="9"/>
      <c r="G532" s="9"/>
      <c r="H532" s="2">
        <f>IF(SUM(F532:G532)&gt;Instructions!$B$5,"Error",SUM(F532:G532))</f>
        <v>0</v>
      </c>
      <c r="I532" s="8"/>
    </row>
    <row r="533" spans="1:9" ht="29.45" customHeight="1">
      <c r="A533" s="8"/>
      <c r="C533" s="2">
        <f>F533/Instructions!$B$5</f>
        <v>0</v>
      </c>
      <c r="D533" s="2">
        <f>G533/Instructions!$B$5</f>
        <v>0</v>
      </c>
      <c r="E533" s="2">
        <f t="shared" si="9"/>
        <v>0</v>
      </c>
      <c r="F533" s="9"/>
      <c r="G533" s="9"/>
      <c r="H533" s="2">
        <f>IF(SUM(F533:G533)&gt;Instructions!$B$5,"Error",SUM(F533:G533))</f>
        <v>0</v>
      </c>
      <c r="I533" s="8"/>
    </row>
    <row r="534" spans="1:9" ht="29.45" customHeight="1">
      <c r="A534" s="8"/>
      <c r="C534" s="2">
        <f>F534/Instructions!$B$5</f>
        <v>0</v>
      </c>
      <c r="D534" s="2">
        <f>G534/Instructions!$B$5</f>
        <v>0</v>
      </c>
      <c r="E534" s="2">
        <f t="shared" si="9"/>
        <v>0</v>
      </c>
      <c r="F534" s="9"/>
      <c r="G534" s="9"/>
      <c r="H534" s="2">
        <f>IF(SUM(F534:G534)&gt;Instructions!$B$5,"Error",SUM(F534:G534))</f>
        <v>0</v>
      </c>
      <c r="I534" s="8"/>
    </row>
    <row r="535" spans="1:9" ht="29.45" customHeight="1">
      <c r="A535" s="8"/>
      <c r="C535" s="2">
        <f>F535/Instructions!$B$5</f>
        <v>0</v>
      </c>
      <c r="D535" s="2">
        <f>G535/Instructions!$B$5</f>
        <v>0</v>
      </c>
      <c r="E535" s="2">
        <f t="shared" si="9"/>
        <v>0</v>
      </c>
      <c r="F535" s="9"/>
      <c r="G535" s="9"/>
      <c r="H535" s="2">
        <f>IF(SUM(F535:G535)&gt;Instructions!$B$5,"Error",SUM(F535:G535))</f>
        <v>0</v>
      </c>
      <c r="I535" s="8"/>
    </row>
    <row r="536" spans="1:9" ht="29.45" customHeight="1">
      <c r="A536" s="8"/>
      <c r="C536" s="2">
        <f>F536/Instructions!$B$5</f>
        <v>0</v>
      </c>
      <c r="D536" s="2">
        <f>G536/Instructions!$B$5</f>
        <v>0</v>
      </c>
      <c r="E536" s="2">
        <f t="shared" si="9"/>
        <v>0</v>
      </c>
      <c r="F536" s="9"/>
      <c r="G536" s="9"/>
      <c r="H536" s="2">
        <f>IF(SUM(F536:G536)&gt;Instructions!$B$5,"Error",SUM(F536:G536))</f>
        <v>0</v>
      </c>
      <c r="I536" s="8"/>
    </row>
    <row r="537" spans="1:9" ht="29.45" customHeight="1">
      <c r="A537" s="8"/>
      <c r="C537" s="2">
        <f>F537/Instructions!$B$5</f>
        <v>0</v>
      </c>
      <c r="D537" s="2">
        <f>G537/Instructions!$B$5</f>
        <v>0</v>
      </c>
      <c r="E537" s="2">
        <f t="shared" si="9"/>
        <v>0</v>
      </c>
      <c r="F537" s="9"/>
      <c r="G537" s="9"/>
      <c r="H537" s="2">
        <f>IF(SUM(F537:G537)&gt;Instructions!$B$5,"Error",SUM(F537:G537))</f>
        <v>0</v>
      </c>
      <c r="I537" s="8"/>
    </row>
    <row r="538" spans="1:9" ht="29.45" customHeight="1">
      <c r="A538" s="8"/>
      <c r="C538" s="2">
        <f>F538/Instructions!$B$5</f>
        <v>0</v>
      </c>
      <c r="D538" s="2">
        <f>G538/Instructions!$B$5</f>
        <v>0</v>
      </c>
      <c r="E538" s="2">
        <f t="shared" si="9"/>
        <v>0</v>
      </c>
      <c r="F538" s="9"/>
      <c r="G538" s="9"/>
      <c r="H538" s="2">
        <f>IF(SUM(F538:G538)&gt;Instructions!$B$5,"Error",SUM(F538:G538))</f>
        <v>0</v>
      </c>
      <c r="I538" s="8"/>
    </row>
    <row r="539" spans="1:9" ht="29.45" customHeight="1">
      <c r="A539" s="8"/>
      <c r="C539" s="2">
        <f>F539/Instructions!$B$5</f>
        <v>0</v>
      </c>
      <c r="D539" s="2">
        <f>G539/Instructions!$B$5</f>
        <v>0</v>
      </c>
      <c r="E539" s="2">
        <f t="shared" si="9"/>
        <v>0</v>
      </c>
      <c r="F539" s="9"/>
      <c r="G539" s="9"/>
      <c r="H539" s="2">
        <f>IF(SUM(F539:G539)&gt;Instructions!$B$5,"Error",SUM(F539:G539))</f>
        <v>0</v>
      </c>
      <c r="I539" s="8"/>
    </row>
    <row r="540" spans="1:9" ht="29.45" customHeight="1">
      <c r="A540" s="8"/>
      <c r="C540" s="2">
        <f>F540/Instructions!$B$5</f>
        <v>0</v>
      </c>
      <c r="D540" s="2">
        <f>G540/Instructions!$B$5</f>
        <v>0</v>
      </c>
      <c r="E540" s="2">
        <f t="shared" si="9"/>
        <v>0</v>
      </c>
      <c r="F540" s="9"/>
      <c r="G540" s="9"/>
      <c r="H540" s="2">
        <f>IF(SUM(F540:G540)&gt;Instructions!$B$5,"Error",SUM(F540:G540))</f>
        <v>0</v>
      </c>
      <c r="I540" s="8"/>
    </row>
    <row r="541" spans="1:9" ht="29.45" customHeight="1">
      <c r="A541" s="8"/>
      <c r="C541" s="2">
        <f>F541/Instructions!$B$5</f>
        <v>0</v>
      </c>
      <c r="D541" s="2">
        <f>G541/Instructions!$B$5</f>
        <v>0</v>
      </c>
      <c r="E541" s="2">
        <f t="shared" si="9"/>
        <v>0</v>
      </c>
      <c r="F541" s="9"/>
      <c r="G541" s="9"/>
      <c r="H541" s="2">
        <f>IF(SUM(F541:G541)&gt;Instructions!$B$5,"Error",SUM(F541:G541))</f>
        <v>0</v>
      </c>
      <c r="I541" s="8"/>
    </row>
    <row r="542" spans="1:9" ht="29.45" customHeight="1">
      <c r="A542" s="8"/>
      <c r="C542" s="2">
        <f>F542/Instructions!$B$5</f>
        <v>0</v>
      </c>
      <c r="D542" s="2">
        <f>G542/Instructions!$B$5</f>
        <v>0</v>
      </c>
      <c r="E542" s="2">
        <f t="shared" si="9"/>
        <v>0</v>
      </c>
      <c r="F542" s="9"/>
      <c r="G542" s="9"/>
      <c r="H542" s="2">
        <f>IF(SUM(F542:G542)&gt;Instructions!$B$5,"Error",SUM(F542:G542))</f>
        <v>0</v>
      </c>
      <c r="I542" s="8"/>
    </row>
    <row r="543" spans="1:9" ht="29.45" customHeight="1">
      <c r="A543" s="8"/>
      <c r="C543" s="2">
        <f>F543/Instructions!$B$5</f>
        <v>0</v>
      </c>
      <c r="D543" s="2">
        <f>G543/Instructions!$B$5</f>
        <v>0</v>
      </c>
      <c r="E543" s="2">
        <f t="shared" si="9"/>
        <v>0</v>
      </c>
      <c r="F543" s="9"/>
      <c r="G543" s="9"/>
      <c r="H543" s="2">
        <f>IF(SUM(F543:G543)&gt;Instructions!$B$5,"Error",SUM(F543:G543))</f>
        <v>0</v>
      </c>
      <c r="I543" s="8"/>
    </row>
    <row r="544" spans="1:9" ht="29.45" customHeight="1">
      <c r="A544" s="8"/>
      <c r="C544" s="2">
        <f>F544/Instructions!$B$5</f>
        <v>0</v>
      </c>
      <c r="D544" s="2">
        <f>G544/Instructions!$B$5</f>
        <v>0</v>
      </c>
      <c r="E544" s="2">
        <f t="shared" si="9"/>
        <v>0</v>
      </c>
      <c r="F544" s="9"/>
      <c r="G544" s="9"/>
      <c r="H544" s="2">
        <f>IF(SUM(F544:G544)&gt;Instructions!$B$5,"Error",SUM(F544:G544))</f>
        <v>0</v>
      </c>
      <c r="I544" s="8"/>
    </row>
    <row r="545" spans="1:9" ht="29.45" customHeight="1">
      <c r="A545" s="8"/>
      <c r="C545" s="2">
        <f>F545/Instructions!$B$5</f>
        <v>0</v>
      </c>
      <c r="D545" s="2">
        <f>G545/Instructions!$B$5</f>
        <v>0</v>
      </c>
      <c r="E545" s="2">
        <f t="shared" si="9"/>
        <v>0</v>
      </c>
      <c r="F545" s="9"/>
      <c r="G545" s="9"/>
      <c r="H545" s="2">
        <f>IF(SUM(F545:G545)&gt;Instructions!$B$5,"Error",SUM(F545:G545))</f>
        <v>0</v>
      </c>
      <c r="I545" s="8"/>
    </row>
    <row r="546" spans="1:9" ht="29.45" customHeight="1">
      <c r="A546" s="8"/>
      <c r="C546" s="2">
        <f>F546/Instructions!$B$5</f>
        <v>0</v>
      </c>
      <c r="D546" s="2">
        <f>G546/Instructions!$B$5</f>
        <v>0</v>
      </c>
      <c r="E546" s="2">
        <f t="shared" si="9"/>
        <v>0</v>
      </c>
      <c r="F546" s="9"/>
      <c r="G546" s="9"/>
      <c r="H546" s="2">
        <f>IF(SUM(F546:G546)&gt;Instructions!$B$5,"Error",SUM(F546:G546))</f>
        <v>0</v>
      </c>
      <c r="I546" s="8"/>
    </row>
    <row r="547" spans="1:9" ht="29.45" customHeight="1">
      <c r="A547" s="8"/>
      <c r="C547" s="2">
        <f>F547/Instructions!$B$5</f>
        <v>0</v>
      </c>
      <c r="D547" s="2">
        <f>G547/Instructions!$B$5</f>
        <v>0</v>
      </c>
      <c r="E547" s="2">
        <f t="shared" si="9"/>
        <v>0</v>
      </c>
      <c r="F547" s="9"/>
      <c r="G547" s="9"/>
      <c r="H547" s="2">
        <f>IF(SUM(F547:G547)&gt;Instructions!$B$5,"Error",SUM(F547:G547))</f>
        <v>0</v>
      </c>
      <c r="I547" s="8"/>
    </row>
    <row r="548" spans="1:9" ht="29.45" customHeight="1">
      <c r="A548" s="8"/>
      <c r="C548" s="2">
        <f>F548/Instructions!$B$5</f>
        <v>0</v>
      </c>
      <c r="D548" s="2">
        <f>G548/Instructions!$B$5</f>
        <v>0</v>
      </c>
      <c r="E548" s="2">
        <f t="shared" si="9"/>
        <v>0</v>
      </c>
      <c r="F548" s="9"/>
      <c r="G548" s="9"/>
      <c r="H548" s="2">
        <f>IF(SUM(F548:G548)&gt;Instructions!$B$5,"Error",SUM(F548:G548))</f>
        <v>0</v>
      </c>
      <c r="I548" s="8"/>
    </row>
    <row r="549" spans="1:9" ht="29.45" customHeight="1">
      <c r="A549" s="8"/>
      <c r="C549" s="2">
        <f>F549/Instructions!$B$5</f>
        <v>0</v>
      </c>
      <c r="D549" s="2">
        <f>G549/Instructions!$B$5</f>
        <v>0</v>
      </c>
      <c r="E549" s="2">
        <f t="shared" si="9"/>
        <v>0</v>
      </c>
      <c r="F549" s="9"/>
      <c r="G549" s="9"/>
      <c r="H549" s="2">
        <f>IF(SUM(F549:G549)&gt;Instructions!$B$5,"Error",SUM(F549:G549))</f>
        <v>0</v>
      </c>
      <c r="I549" s="8"/>
    </row>
    <row r="550" spans="1:9" ht="29.45" customHeight="1">
      <c r="A550" s="8"/>
      <c r="C550" s="2">
        <f>F550/Instructions!$B$5</f>
        <v>0</v>
      </c>
      <c r="D550" s="2">
        <f>G550/Instructions!$B$5</f>
        <v>0</v>
      </c>
      <c r="E550" s="2">
        <f t="shared" si="9"/>
        <v>0</v>
      </c>
      <c r="F550" s="9"/>
      <c r="G550" s="9"/>
      <c r="H550" s="2">
        <f>IF(SUM(F550:G550)&gt;Instructions!$B$5,"Error",SUM(F550:G550))</f>
        <v>0</v>
      </c>
      <c r="I550" s="8"/>
    </row>
    <row r="551" spans="1:9" ht="29.45" customHeight="1">
      <c r="A551" s="8"/>
      <c r="C551" s="2">
        <f>F551/Instructions!$B$5</f>
        <v>0</v>
      </c>
      <c r="D551" s="2">
        <f>G551/Instructions!$B$5</f>
        <v>0</v>
      </c>
      <c r="E551" s="2">
        <f t="shared" si="9"/>
        <v>0</v>
      </c>
      <c r="F551" s="9"/>
      <c r="G551" s="9"/>
      <c r="H551" s="2">
        <f>IF(SUM(F551:G551)&gt;Instructions!$B$5,"Error",SUM(F551:G551))</f>
        <v>0</v>
      </c>
      <c r="I551" s="8"/>
    </row>
    <row r="552" spans="1:9" ht="29.45" customHeight="1">
      <c r="A552" s="8"/>
      <c r="C552" s="2">
        <f>F552/Instructions!$B$5</f>
        <v>0</v>
      </c>
      <c r="D552" s="2">
        <f>G552/Instructions!$B$5</f>
        <v>0</v>
      </c>
      <c r="E552" s="2">
        <f t="shared" si="9"/>
        <v>0</v>
      </c>
      <c r="F552" s="9"/>
      <c r="G552" s="9"/>
      <c r="H552" s="2">
        <f>IF(SUM(F552:G552)&gt;Instructions!$B$5,"Error",SUM(F552:G552))</f>
        <v>0</v>
      </c>
      <c r="I552" s="8"/>
    </row>
    <row r="553" spans="1:9" ht="29.45" customHeight="1">
      <c r="A553" s="8"/>
      <c r="C553" s="2">
        <f>F553/Instructions!$B$5</f>
        <v>0</v>
      </c>
      <c r="D553" s="2">
        <f>G553/Instructions!$B$5</f>
        <v>0</v>
      </c>
      <c r="E553" s="2">
        <f t="shared" si="9"/>
        <v>0</v>
      </c>
      <c r="F553" s="9"/>
      <c r="G553" s="9"/>
      <c r="H553" s="2">
        <f>IF(SUM(F553:G553)&gt;Instructions!$B$5,"Error",SUM(F553:G553))</f>
        <v>0</v>
      </c>
      <c r="I553" s="8"/>
    </row>
    <row r="554" spans="1:9" ht="29.45" customHeight="1">
      <c r="A554" s="8"/>
      <c r="C554" s="2">
        <f>F554/Instructions!$B$5</f>
        <v>0</v>
      </c>
      <c r="D554" s="2">
        <f>G554/Instructions!$B$5</f>
        <v>0</v>
      </c>
      <c r="E554" s="2">
        <f t="shared" si="9"/>
        <v>0</v>
      </c>
      <c r="F554" s="9"/>
      <c r="G554" s="9"/>
      <c r="H554" s="2">
        <f>IF(SUM(F554:G554)&gt;Instructions!$B$5,"Error",SUM(F554:G554))</f>
        <v>0</v>
      </c>
      <c r="I554" s="8"/>
    </row>
    <row r="555" spans="1:9" ht="29.45" customHeight="1">
      <c r="A555" s="8"/>
      <c r="C555" s="2">
        <f>F555/Instructions!$B$5</f>
        <v>0</v>
      </c>
      <c r="D555" s="2">
        <f>G555/Instructions!$B$5</f>
        <v>0</v>
      </c>
      <c r="E555" s="2">
        <f t="shared" si="9"/>
        <v>0</v>
      </c>
      <c r="F555" s="9"/>
      <c r="G555" s="9"/>
      <c r="H555" s="2">
        <f>IF(SUM(F555:G555)&gt;Instructions!$B$5,"Error",SUM(F555:G555))</f>
        <v>0</v>
      </c>
      <c r="I555" s="8"/>
    </row>
    <row r="556" spans="1:9" ht="29.45" customHeight="1">
      <c r="A556" s="8"/>
      <c r="C556" s="2">
        <f>F556/Instructions!$B$5</f>
        <v>0</v>
      </c>
      <c r="D556" s="2">
        <f>G556/Instructions!$B$5</f>
        <v>0</v>
      </c>
      <c r="E556" s="2">
        <f t="shared" si="9"/>
        <v>0</v>
      </c>
      <c r="F556" s="9"/>
      <c r="G556" s="9"/>
      <c r="H556" s="2">
        <f>IF(SUM(F556:G556)&gt;Instructions!$B$5,"Error",SUM(F556:G556))</f>
        <v>0</v>
      </c>
      <c r="I556" s="8"/>
    </row>
    <row r="557" spans="1:9" ht="29.45" customHeight="1">
      <c r="A557" s="8"/>
      <c r="C557" s="2">
        <f>F557/Instructions!$B$5</f>
        <v>0</v>
      </c>
      <c r="D557" s="2">
        <f>G557/Instructions!$B$5</f>
        <v>0</v>
      </c>
      <c r="E557" s="2">
        <f t="shared" si="9"/>
        <v>0</v>
      </c>
      <c r="F557" s="9"/>
      <c r="G557" s="9"/>
      <c r="H557" s="2">
        <f>IF(SUM(F557:G557)&gt;Instructions!$B$5,"Error",SUM(F557:G557))</f>
        <v>0</v>
      </c>
      <c r="I557" s="8"/>
    </row>
    <row r="558" spans="1:9" ht="29.45" customHeight="1">
      <c r="A558" s="8"/>
      <c r="C558" s="2">
        <f>F558/Instructions!$B$5</f>
        <v>0</v>
      </c>
      <c r="D558" s="2">
        <f>G558/Instructions!$B$5</f>
        <v>0</v>
      </c>
      <c r="E558" s="2">
        <f t="shared" si="9"/>
        <v>0</v>
      </c>
      <c r="F558" s="9"/>
      <c r="G558" s="9"/>
      <c r="H558" s="2">
        <f>IF(SUM(F558:G558)&gt;Instructions!$B$5,"Error",SUM(F558:G558))</f>
        <v>0</v>
      </c>
      <c r="I558" s="8"/>
    </row>
    <row r="559" spans="1:9" ht="29.45" customHeight="1">
      <c r="A559" s="8"/>
      <c r="C559" s="2">
        <f>F559/Instructions!$B$5</f>
        <v>0</v>
      </c>
      <c r="D559" s="2">
        <f>G559/Instructions!$B$5</f>
        <v>0</v>
      </c>
      <c r="E559" s="2">
        <f t="shared" si="9"/>
        <v>0</v>
      </c>
      <c r="F559" s="9"/>
      <c r="G559" s="9"/>
      <c r="H559" s="2">
        <f>IF(SUM(F559:G559)&gt;Instructions!$B$5,"Error",SUM(F559:G559))</f>
        <v>0</v>
      </c>
      <c r="I559" s="8"/>
    </row>
    <row r="560" spans="1:9" ht="29.45" customHeight="1">
      <c r="A560" s="8"/>
      <c r="C560" s="2">
        <f>F560/Instructions!$B$5</f>
        <v>0</v>
      </c>
      <c r="D560" s="2">
        <f>G560/Instructions!$B$5</f>
        <v>0</v>
      </c>
      <c r="E560" s="2">
        <f t="shared" si="9"/>
        <v>0</v>
      </c>
      <c r="F560" s="9"/>
      <c r="G560" s="9"/>
      <c r="H560" s="2">
        <f>IF(SUM(F560:G560)&gt;Instructions!$B$5,"Error",SUM(F560:G560))</f>
        <v>0</v>
      </c>
      <c r="I560" s="8"/>
    </row>
    <row r="561" spans="1:9" ht="29.45" customHeight="1">
      <c r="A561" s="8"/>
      <c r="C561" s="2">
        <f>F561/Instructions!$B$5</f>
        <v>0</v>
      </c>
      <c r="D561" s="2">
        <f>G561/Instructions!$B$5</f>
        <v>0</v>
      </c>
      <c r="E561" s="2">
        <f t="shared" si="9"/>
        <v>0</v>
      </c>
      <c r="F561" s="9"/>
      <c r="G561" s="9"/>
      <c r="H561" s="2">
        <f>IF(SUM(F561:G561)&gt;Instructions!$B$5,"Error",SUM(F561:G561))</f>
        <v>0</v>
      </c>
      <c r="I561" s="8"/>
    </row>
    <row r="562" spans="1:9" ht="29.45" customHeight="1">
      <c r="A562" s="8"/>
      <c r="C562" s="2">
        <f>F562/Instructions!$B$5</f>
        <v>0</v>
      </c>
      <c r="D562" s="2">
        <f>G562/Instructions!$B$5</f>
        <v>0</v>
      </c>
      <c r="E562" s="2">
        <f t="shared" si="9"/>
        <v>0</v>
      </c>
      <c r="F562" s="9"/>
      <c r="G562" s="9"/>
      <c r="H562" s="2">
        <f>IF(SUM(F562:G562)&gt;Instructions!$B$5,"Error",SUM(F562:G562))</f>
        <v>0</v>
      </c>
      <c r="I562" s="8"/>
    </row>
    <row r="563" spans="1:9" ht="29.45" customHeight="1">
      <c r="A563" s="8"/>
      <c r="C563" s="2">
        <f>F563/Instructions!$B$5</f>
        <v>0</v>
      </c>
      <c r="D563" s="2">
        <f>G563/Instructions!$B$5</f>
        <v>0</v>
      </c>
      <c r="E563" s="2">
        <f t="shared" si="9"/>
        <v>0</v>
      </c>
      <c r="F563" s="9"/>
      <c r="G563" s="9"/>
      <c r="H563" s="2">
        <f>IF(SUM(F563:G563)&gt;Instructions!$B$5,"Error",SUM(F563:G563))</f>
        <v>0</v>
      </c>
      <c r="I563" s="8"/>
    </row>
    <row r="564" spans="1:9" ht="29.45" customHeight="1">
      <c r="A564" s="8"/>
      <c r="C564" s="2">
        <f>F564/Instructions!$B$5</f>
        <v>0</v>
      </c>
      <c r="D564" s="2">
        <f>G564/Instructions!$B$5</f>
        <v>0</v>
      </c>
      <c r="E564" s="2">
        <f t="shared" si="9"/>
        <v>0</v>
      </c>
      <c r="F564" s="9"/>
      <c r="G564" s="9"/>
      <c r="H564" s="2">
        <f>IF(SUM(F564:G564)&gt;Instructions!$B$5,"Error",SUM(F564:G564))</f>
        <v>0</v>
      </c>
      <c r="I564" s="8"/>
    </row>
    <row r="565" spans="1:9" ht="29.45" customHeight="1">
      <c r="A565" s="8"/>
      <c r="C565" s="2">
        <f>F565/Instructions!$B$5</f>
        <v>0</v>
      </c>
      <c r="D565" s="2">
        <f>G565/Instructions!$B$5</f>
        <v>0</v>
      </c>
      <c r="E565" s="2">
        <f t="shared" si="9"/>
        <v>0</v>
      </c>
      <c r="F565" s="9"/>
      <c r="G565" s="9"/>
      <c r="H565" s="2">
        <f>IF(SUM(F565:G565)&gt;Instructions!$B$5,"Error",SUM(F565:G565))</f>
        <v>0</v>
      </c>
      <c r="I565" s="8"/>
    </row>
    <row r="566" spans="1:9" ht="29.45" customHeight="1">
      <c r="A566" s="8"/>
      <c r="C566" s="2">
        <f>F566/Instructions!$B$5</f>
        <v>0</v>
      </c>
      <c r="D566" s="2">
        <f>G566/Instructions!$B$5</f>
        <v>0</v>
      </c>
      <c r="E566" s="2">
        <f t="shared" si="9"/>
        <v>0</v>
      </c>
      <c r="F566" s="9"/>
      <c r="G566" s="9"/>
      <c r="H566" s="2">
        <f>IF(SUM(F566:G566)&gt;Instructions!$B$5,"Error",SUM(F566:G566))</f>
        <v>0</v>
      </c>
      <c r="I566" s="8"/>
    </row>
    <row r="567" spans="1:9" ht="29.45" customHeight="1">
      <c r="A567" s="8"/>
      <c r="C567" s="2">
        <f>F567/Instructions!$B$5</f>
        <v>0</v>
      </c>
      <c r="D567" s="2">
        <f>G567/Instructions!$B$5</f>
        <v>0</v>
      </c>
      <c r="E567" s="2">
        <f t="shared" si="9"/>
        <v>0</v>
      </c>
      <c r="F567" s="9"/>
      <c r="G567" s="9"/>
      <c r="H567" s="2">
        <f>IF(SUM(F567:G567)&gt;Instructions!$B$5,"Error",SUM(F567:G567))</f>
        <v>0</v>
      </c>
      <c r="I567" s="8"/>
    </row>
    <row r="568" spans="1:9" ht="29.45" customHeight="1">
      <c r="A568" s="8"/>
      <c r="C568" s="2">
        <f>F568/Instructions!$B$5</f>
        <v>0</v>
      </c>
      <c r="D568" s="2">
        <f>G568/Instructions!$B$5</f>
        <v>0</v>
      </c>
      <c r="E568" s="2">
        <f t="shared" si="9"/>
        <v>0</v>
      </c>
      <c r="F568" s="9"/>
      <c r="G568" s="9"/>
      <c r="H568" s="2">
        <f>IF(SUM(F568:G568)&gt;Instructions!$B$5,"Error",SUM(F568:G568))</f>
        <v>0</v>
      </c>
      <c r="I568" s="8"/>
    </row>
    <row r="569" spans="1:9" ht="29.45" customHeight="1">
      <c r="A569" s="8"/>
      <c r="C569" s="2">
        <f>F569/Instructions!$B$5</f>
        <v>0</v>
      </c>
      <c r="D569" s="2">
        <f>G569/Instructions!$B$5</f>
        <v>0</v>
      </c>
      <c r="E569" s="2">
        <f t="shared" si="9"/>
        <v>0</v>
      </c>
      <c r="F569" s="9"/>
      <c r="G569" s="9"/>
      <c r="H569" s="2">
        <f>IF(SUM(F569:G569)&gt;Instructions!$B$5,"Error",SUM(F569:G569))</f>
        <v>0</v>
      </c>
      <c r="I569" s="8"/>
    </row>
    <row r="570" spans="1:9" ht="29.45" customHeight="1">
      <c r="A570" s="8"/>
      <c r="C570" s="2">
        <f>F570/Instructions!$B$5</f>
        <v>0</v>
      </c>
      <c r="D570" s="2">
        <f>G570/Instructions!$B$5</f>
        <v>0</v>
      </c>
      <c r="E570" s="2">
        <f t="shared" si="9"/>
        <v>0</v>
      </c>
      <c r="F570" s="9"/>
      <c r="G570" s="9"/>
      <c r="H570" s="2">
        <f>IF(SUM(F570:G570)&gt;Instructions!$B$5,"Error",SUM(F570:G570))</f>
        <v>0</v>
      </c>
      <c r="I570" s="8"/>
    </row>
    <row r="571" spans="1:9" ht="29.45" customHeight="1">
      <c r="A571" s="8"/>
      <c r="C571" s="2">
        <f>F571/Instructions!$B$5</f>
        <v>0</v>
      </c>
      <c r="D571" s="2">
        <f>G571/Instructions!$B$5</f>
        <v>0</v>
      </c>
      <c r="E571" s="2">
        <f t="shared" si="9"/>
        <v>0</v>
      </c>
      <c r="F571" s="9"/>
      <c r="G571" s="9"/>
      <c r="H571" s="2">
        <f>IF(SUM(F571:G571)&gt;Instructions!$B$5,"Error",SUM(F571:G571))</f>
        <v>0</v>
      </c>
      <c r="I571" s="8"/>
    </row>
    <row r="572" spans="1:9" ht="29.45" customHeight="1">
      <c r="A572" s="8"/>
      <c r="C572" s="2">
        <f>F572/Instructions!$B$5</f>
        <v>0</v>
      </c>
      <c r="D572" s="2">
        <f>G572/Instructions!$B$5</f>
        <v>0</v>
      </c>
      <c r="E572" s="2">
        <f t="shared" si="9"/>
        <v>0</v>
      </c>
      <c r="F572" s="9"/>
      <c r="G572" s="9"/>
      <c r="H572" s="2">
        <f>IF(SUM(F572:G572)&gt;Instructions!$B$5,"Error",SUM(F572:G572))</f>
        <v>0</v>
      </c>
      <c r="I572" s="8"/>
    </row>
    <row r="573" spans="1:9" ht="29.45" customHeight="1">
      <c r="A573" s="8"/>
      <c r="C573" s="2">
        <f>F573/Instructions!$B$5</f>
        <v>0</v>
      </c>
      <c r="D573" s="2">
        <f>G573/Instructions!$B$5</f>
        <v>0</v>
      </c>
      <c r="E573" s="2">
        <f t="shared" si="9"/>
        <v>0</v>
      </c>
      <c r="F573" s="9"/>
      <c r="G573" s="9"/>
      <c r="H573" s="2">
        <f>IF(SUM(F573:G573)&gt;Instructions!$B$5,"Error",SUM(F573:G573))</f>
        <v>0</v>
      </c>
      <c r="I573" s="8"/>
    </row>
    <row r="574" spans="1:9" ht="29.45" customHeight="1">
      <c r="A574" s="8"/>
      <c r="C574" s="2">
        <f>F574/Instructions!$B$5</f>
        <v>0</v>
      </c>
      <c r="D574" s="2">
        <f>G574/Instructions!$B$5</f>
        <v>0</v>
      </c>
      <c r="E574" s="2">
        <f t="shared" si="9"/>
        <v>0</v>
      </c>
      <c r="F574" s="9"/>
      <c r="G574" s="9"/>
      <c r="H574" s="2">
        <f>IF(SUM(F574:G574)&gt;Instructions!$B$5,"Error",SUM(F574:G574))</f>
        <v>0</v>
      </c>
      <c r="I574" s="8"/>
    </row>
    <row r="575" spans="1:9" ht="29.45" customHeight="1">
      <c r="A575" s="8"/>
      <c r="C575" s="2">
        <f>F575/Instructions!$B$5</f>
        <v>0</v>
      </c>
      <c r="D575" s="2">
        <f>G575/Instructions!$B$5</f>
        <v>0</v>
      </c>
      <c r="E575" s="2">
        <f t="shared" si="9"/>
        <v>0</v>
      </c>
      <c r="F575" s="9"/>
      <c r="G575" s="9"/>
      <c r="H575" s="2">
        <f>IF(SUM(F575:G575)&gt;Instructions!$B$5,"Error",SUM(F575:G575))</f>
        <v>0</v>
      </c>
      <c r="I575" s="8"/>
    </row>
    <row r="576" spans="1:9" ht="29.45" customHeight="1">
      <c r="A576" s="8"/>
      <c r="C576" s="2">
        <f>F576/Instructions!$B$5</f>
        <v>0</v>
      </c>
      <c r="D576" s="2">
        <f>G576/Instructions!$B$5</f>
        <v>0</v>
      </c>
      <c r="E576" s="2">
        <f t="shared" si="9"/>
        <v>0</v>
      </c>
      <c r="F576" s="9"/>
      <c r="G576" s="9"/>
      <c r="H576" s="2">
        <f>IF(SUM(F576:G576)&gt;Instructions!$B$5,"Error",SUM(F576:G576))</f>
        <v>0</v>
      </c>
      <c r="I576" s="8"/>
    </row>
    <row r="577" spans="1:9" ht="29.45" customHeight="1">
      <c r="A577" s="8"/>
      <c r="C577" s="2">
        <f>F577/Instructions!$B$5</f>
        <v>0</v>
      </c>
      <c r="D577" s="2">
        <f>G577/Instructions!$B$5</f>
        <v>0</v>
      </c>
      <c r="E577" s="2">
        <f t="shared" si="9"/>
        <v>0</v>
      </c>
      <c r="F577" s="9"/>
      <c r="G577" s="9"/>
      <c r="H577" s="2">
        <f>IF(SUM(F577:G577)&gt;Instructions!$B$5,"Error",SUM(F577:G577))</f>
        <v>0</v>
      </c>
      <c r="I577" s="8"/>
    </row>
    <row r="578" spans="1:9" ht="29.45" customHeight="1">
      <c r="A578" s="8"/>
      <c r="C578" s="2">
        <f>F578/Instructions!$B$5</f>
        <v>0</v>
      </c>
      <c r="D578" s="2">
        <f>G578/Instructions!$B$5</f>
        <v>0</v>
      </c>
      <c r="E578" s="2">
        <f t="shared" si="9"/>
        <v>0</v>
      </c>
      <c r="F578" s="9"/>
      <c r="G578" s="9"/>
      <c r="H578" s="2">
        <f>IF(SUM(F578:G578)&gt;Instructions!$B$5,"Error",SUM(F578:G578))</f>
        <v>0</v>
      </c>
      <c r="I578" s="8"/>
    </row>
    <row r="579" spans="1:9" ht="29.45" customHeight="1">
      <c r="A579" s="8"/>
      <c r="C579" s="2">
        <f>F579/Instructions!$B$5</f>
        <v>0</v>
      </c>
      <c r="D579" s="2">
        <f>G579/Instructions!$B$5</f>
        <v>0</v>
      </c>
      <c r="E579" s="2">
        <f t="shared" si="9"/>
        <v>0</v>
      </c>
      <c r="F579" s="9"/>
      <c r="G579" s="9"/>
      <c r="H579" s="2">
        <f>IF(SUM(F579:G579)&gt;Instructions!$B$5,"Error",SUM(F579:G579))</f>
        <v>0</v>
      </c>
      <c r="I579" s="8"/>
    </row>
    <row r="580" spans="1:9" ht="29.45" customHeight="1">
      <c r="A580" s="8"/>
      <c r="C580" s="2">
        <f>F580/Instructions!$B$5</f>
        <v>0</v>
      </c>
      <c r="D580" s="2">
        <f>G580/Instructions!$B$5</f>
        <v>0</v>
      </c>
      <c r="E580" s="2">
        <f t="shared" si="9"/>
        <v>0</v>
      </c>
      <c r="F580" s="9"/>
      <c r="G580" s="9"/>
      <c r="H580" s="2">
        <f>IF(SUM(F580:G580)&gt;Instructions!$B$5,"Error",SUM(F580:G580))</f>
        <v>0</v>
      </c>
      <c r="I580" s="8"/>
    </row>
    <row r="581" spans="1:9" ht="29.45" customHeight="1">
      <c r="A581" s="8"/>
      <c r="C581" s="2">
        <f>F581/Instructions!$B$5</f>
        <v>0</v>
      </c>
      <c r="D581" s="2">
        <f>G581/Instructions!$B$5</f>
        <v>0</v>
      </c>
      <c r="E581" s="2">
        <f t="shared" si="9"/>
        <v>0</v>
      </c>
      <c r="F581" s="9"/>
      <c r="G581" s="9"/>
      <c r="H581" s="2">
        <f>IF(SUM(F581:G581)&gt;Instructions!$B$5,"Error",SUM(F581:G581))</f>
        <v>0</v>
      </c>
      <c r="I581" s="8"/>
    </row>
    <row r="582" spans="1:9" ht="29.45" customHeight="1">
      <c r="A582" s="8"/>
      <c r="C582" s="2">
        <f>F582/Instructions!$B$5</f>
        <v>0</v>
      </c>
      <c r="D582" s="2">
        <f>G582/Instructions!$B$5</f>
        <v>0</v>
      </c>
      <c r="E582" s="2">
        <f t="shared" si="9"/>
        <v>0</v>
      </c>
      <c r="F582" s="9"/>
      <c r="G582" s="9"/>
      <c r="H582" s="2">
        <f>IF(SUM(F582:G582)&gt;Instructions!$B$5,"Error",SUM(F582:G582))</f>
        <v>0</v>
      </c>
      <c r="I582" s="8"/>
    </row>
    <row r="583" spans="1:9" ht="29.45" customHeight="1">
      <c r="A583" s="8"/>
      <c r="C583" s="2">
        <f>F583/Instructions!$B$5</f>
        <v>0</v>
      </c>
      <c r="D583" s="2">
        <f>G583/Instructions!$B$5</f>
        <v>0</v>
      </c>
      <c r="E583" s="2">
        <f t="shared" si="9"/>
        <v>0</v>
      </c>
      <c r="F583" s="9"/>
      <c r="G583" s="9"/>
      <c r="H583" s="2">
        <f>IF(SUM(F583:G583)&gt;Instructions!$B$5,"Error",SUM(F583:G583))</f>
        <v>0</v>
      </c>
      <c r="I583" s="8"/>
    </row>
    <row r="584" spans="1:9" ht="29.45" customHeight="1">
      <c r="A584" s="8"/>
      <c r="C584" s="2">
        <f>F584/Instructions!$B$5</f>
        <v>0</v>
      </c>
      <c r="D584" s="2">
        <f>G584/Instructions!$B$5</f>
        <v>0</v>
      </c>
      <c r="E584" s="2">
        <f t="shared" ref="E584:E647" si="10">IF(SUM(C584:D584)&gt;1,"Error",SUM(C584:D584))</f>
        <v>0</v>
      </c>
      <c r="F584" s="9"/>
      <c r="G584" s="9"/>
      <c r="H584" s="2">
        <f>IF(SUM(F584:G584)&gt;Instructions!$B$5,"Error",SUM(F584:G584))</f>
        <v>0</v>
      </c>
      <c r="I584" s="8"/>
    </row>
    <row r="585" spans="1:9" ht="29.45" customHeight="1">
      <c r="A585" s="8"/>
      <c r="C585" s="2">
        <f>F585/Instructions!$B$5</f>
        <v>0</v>
      </c>
      <c r="D585" s="2">
        <f>G585/Instructions!$B$5</f>
        <v>0</v>
      </c>
      <c r="E585" s="2">
        <f t="shared" si="10"/>
        <v>0</v>
      </c>
      <c r="F585" s="9"/>
      <c r="G585" s="9"/>
      <c r="H585" s="2">
        <f>IF(SUM(F585:G585)&gt;Instructions!$B$5,"Error",SUM(F585:G585))</f>
        <v>0</v>
      </c>
      <c r="I585" s="8"/>
    </row>
    <row r="586" spans="1:9" ht="29.45" customHeight="1">
      <c r="A586" s="8"/>
      <c r="C586" s="2">
        <f>F586/Instructions!$B$5</f>
        <v>0</v>
      </c>
      <c r="D586" s="2">
        <f>G586/Instructions!$B$5</f>
        <v>0</v>
      </c>
      <c r="E586" s="2">
        <f t="shared" si="10"/>
        <v>0</v>
      </c>
      <c r="F586" s="9"/>
      <c r="G586" s="9"/>
      <c r="H586" s="2">
        <f>IF(SUM(F586:G586)&gt;Instructions!$B$5,"Error",SUM(F586:G586))</f>
        <v>0</v>
      </c>
      <c r="I586" s="8"/>
    </row>
    <row r="587" spans="1:9" ht="29.45" customHeight="1">
      <c r="A587" s="8"/>
      <c r="C587" s="2">
        <f>F587/Instructions!$B$5</f>
        <v>0</v>
      </c>
      <c r="D587" s="2">
        <f>G587/Instructions!$B$5</f>
        <v>0</v>
      </c>
      <c r="E587" s="2">
        <f t="shared" si="10"/>
        <v>0</v>
      </c>
      <c r="F587" s="9"/>
      <c r="G587" s="9"/>
      <c r="H587" s="2">
        <f>IF(SUM(F587:G587)&gt;Instructions!$B$5,"Error",SUM(F587:G587))</f>
        <v>0</v>
      </c>
      <c r="I587" s="8"/>
    </row>
    <row r="588" spans="1:9" ht="29.45" customHeight="1">
      <c r="A588" s="8"/>
      <c r="C588" s="2">
        <f>F588/Instructions!$B$5</f>
        <v>0</v>
      </c>
      <c r="D588" s="2">
        <f>G588/Instructions!$B$5</f>
        <v>0</v>
      </c>
      <c r="E588" s="2">
        <f t="shared" si="10"/>
        <v>0</v>
      </c>
      <c r="F588" s="9"/>
      <c r="G588" s="9"/>
      <c r="H588" s="2">
        <f>IF(SUM(F588:G588)&gt;Instructions!$B$5,"Error",SUM(F588:G588))</f>
        <v>0</v>
      </c>
      <c r="I588" s="8"/>
    </row>
    <row r="589" spans="1:9" ht="29.45" customHeight="1">
      <c r="A589" s="8"/>
      <c r="C589" s="2">
        <f>F589/Instructions!$B$5</f>
        <v>0</v>
      </c>
      <c r="D589" s="2">
        <f>G589/Instructions!$B$5</f>
        <v>0</v>
      </c>
      <c r="E589" s="2">
        <f t="shared" si="10"/>
        <v>0</v>
      </c>
      <c r="F589" s="9"/>
      <c r="G589" s="9"/>
      <c r="H589" s="2">
        <f>IF(SUM(F589:G589)&gt;Instructions!$B$5,"Error",SUM(F589:G589))</f>
        <v>0</v>
      </c>
      <c r="I589" s="8"/>
    </row>
    <row r="590" spans="1:9" ht="29.45" customHeight="1">
      <c r="A590" s="8"/>
      <c r="C590" s="2">
        <f>F590/Instructions!$B$5</f>
        <v>0</v>
      </c>
      <c r="D590" s="2">
        <f>G590/Instructions!$B$5</f>
        <v>0</v>
      </c>
      <c r="E590" s="2">
        <f t="shared" si="10"/>
        <v>0</v>
      </c>
      <c r="F590" s="9"/>
      <c r="G590" s="9"/>
      <c r="H590" s="2">
        <f>IF(SUM(F590:G590)&gt;Instructions!$B$5,"Error",SUM(F590:G590))</f>
        <v>0</v>
      </c>
      <c r="I590" s="8"/>
    </row>
    <row r="591" spans="1:9" ht="29.45" customHeight="1">
      <c r="A591" s="8"/>
      <c r="C591" s="2">
        <f>F591/Instructions!$B$5</f>
        <v>0</v>
      </c>
      <c r="D591" s="2">
        <f>G591/Instructions!$B$5</f>
        <v>0</v>
      </c>
      <c r="E591" s="2">
        <f t="shared" si="10"/>
        <v>0</v>
      </c>
      <c r="F591" s="9"/>
      <c r="G591" s="9"/>
      <c r="H591" s="2">
        <f>IF(SUM(F591:G591)&gt;Instructions!$B$5,"Error",SUM(F591:G591))</f>
        <v>0</v>
      </c>
      <c r="I591" s="8"/>
    </row>
    <row r="592" spans="1:9" ht="29.45" customHeight="1">
      <c r="A592" s="8"/>
      <c r="C592" s="2">
        <f>F592/Instructions!$B$5</f>
        <v>0</v>
      </c>
      <c r="D592" s="2">
        <f>G592/Instructions!$B$5</f>
        <v>0</v>
      </c>
      <c r="E592" s="2">
        <f t="shared" si="10"/>
        <v>0</v>
      </c>
      <c r="F592" s="9"/>
      <c r="G592" s="9"/>
      <c r="H592" s="2">
        <f>IF(SUM(F592:G592)&gt;Instructions!$B$5,"Error",SUM(F592:G592))</f>
        <v>0</v>
      </c>
      <c r="I592" s="8"/>
    </row>
    <row r="593" spans="1:9" ht="29.45" customHeight="1">
      <c r="A593" s="8"/>
      <c r="C593" s="2">
        <f>F593/Instructions!$B$5</f>
        <v>0</v>
      </c>
      <c r="D593" s="2">
        <f>G593/Instructions!$B$5</f>
        <v>0</v>
      </c>
      <c r="E593" s="2">
        <f t="shared" si="10"/>
        <v>0</v>
      </c>
      <c r="F593" s="9"/>
      <c r="G593" s="9"/>
      <c r="H593" s="2">
        <f>IF(SUM(F593:G593)&gt;Instructions!$B$5,"Error",SUM(F593:G593))</f>
        <v>0</v>
      </c>
      <c r="I593" s="8"/>
    </row>
    <row r="594" spans="1:9" ht="29.45" customHeight="1">
      <c r="A594" s="8"/>
      <c r="C594" s="2">
        <f>F594/Instructions!$B$5</f>
        <v>0</v>
      </c>
      <c r="D594" s="2">
        <f>G594/Instructions!$B$5</f>
        <v>0</v>
      </c>
      <c r="E594" s="2">
        <f t="shared" si="10"/>
        <v>0</v>
      </c>
      <c r="F594" s="9"/>
      <c r="G594" s="9"/>
      <c r="H594" s="2">
        <f>IF(SUM(F594:G594)&gt;Instructions!$B$5,"Error",SUM(F594:G594))</f>
        <v>0</v>
      </c>
      <c r="I594" s="8"/>
    </row>
    <row r="595" spans="1:9" ht="29.45" customHeight="1">
      <c r="A595" s="8"/>
      <c r="C595" s="2">
        <f>F595/Instructions!$B$5</f>
        <v>0</v>
      </c>
      <c r="D595" s="2">
        <f>G595/Instructions!$B$5</f>
        <v>0</v>
      </c>
      <c r="E595" s="2">
        <f t="shared" si="10"/>
        <v>0</v>
      </c>
      <c r="F595" s="9"/>
      <c r="G595" s="9"/>
      <c r="H595" s="2">
        <f>IF(SUM(F595:G595)&gt;Instructions!$B$5,"Error",SUM(F595:G595))</f>
        <v>0</v>
      </c>
      <c r="I595" s="8"/>
    </row>
    <row r="596" spans="1:9" ht="29.45" customHeight="1">
      <c r="A596" s="8"/>
      <c r="C596" s="2">
        <f>F596/Instructions!$B$5</f>
        <v>0</v>
      </c>
      <c r="D596" s="2">
        <f>G596/Instructions!$B$5</f>
        <v>0</v>
      </c>
      <c r="E596" s="2">
        <f t="shared" si="10"/>
        <v>0</v>
      </c>
      <c r="F596" s="9"/>
      <c r="G596" s="9"/>
      <c r="H596" s="2">
        <f>IF(SUM(F596:G596)&gt;Instructions!$B$5,"Error",SUM(F596:G596))</f>
        <v>0</v>
      </c>
      <c r="I596" s="8"/>
    </row>
    <row r="597" spans="1:9" ht="29.45" customHeight="1">
      <c r="A597" s="8"/>
      <c r="C597" s="2">
        <f>F597/Instructions!$B$5</f>
        <v>0</v>
      </c>
      <c r="D597" s="2">
        <f>G597/Instructions!$B$5</f>
        <v>0</v>
      </c>
      <c r="E597" s="2">
        <f t="shared" si="10"/>
        <v>0</v>
      </c>
      <c r="F597" s="9"/>
      <c r="G597" s="9"/>
      <c r="H597" s="2">
        <f>IF(SUM(F597:G597)&gt;Instructions!$B$5,"Error",SUM(F597:G597))</f>
        <v>0</v>
      </c>
      <c r="I597" s="8"/>
    </row>
    <row r="598" spans="1:9" ht="29.45" customHeight="1">
      <c r="A598" s="8"/>
      <c r="C598" s="2">
        <f>F598/Instructions!$B$5</f>
        <v>0</v>
      </c>
      <c r="D598" s="2">
        <f>G598/Instructions!$B$5</f>
        <v>0</v>
      </c>
      <c r="E598" s="2">
        <f t="shared" si="10"/>
        <v>0</v>
      </c>
      <c r="F598" s="9"/>
      <c r="G598" s="9"/>
      <c r="H598" s="2">
        <f>IF(SUM(F598:G598)&gt;Instructions!$B$5,"Error",SUM(F598:G598))</f>
        <v>0</v>
      </c>
      <c r="I598" s="8"/>
    </row>
    <row r="599" spans="1:9" ht="29.45" customHeight="1">
      <c r="A599" s="8"/>
      <c r="C599" s="2">
        <f>F599/Instructions!$B$5</f>
        <v>0</v>
      </c>
      <c r="D599" s="2">
        <f>G599/Instructions!$B$5</f>
        <v>0</v>
      </c>
      <c r="E599" s="2">
        <f t="shared" si="10"/>
        <v>0</v>
      </c>
      <c r="F599" s="9"/>
      <c r="G599" s="9"/>
      <c r="H599" s="2">
        <f>IF(SUM(F599:G599)&gt;Instructions!$B$5,"Error",SUM(F599:G599))</f>
        <v>0</v>
      </c>
      <c r="I599" s="8"/>
    </row>
    <row r="600" spans="1:9" ht="29.45" customHeight="1">
      <c r="A600" s="8"/>
      <c r="C600" s="2">
        <f>F600/Instructions!$B$5</f>
        <v>0</v>
      </c>
      <c r="D600" s="2">
        <f>G600/Instructions!$B$5</f>
        <v>0</v>
      </c>
      <c r="E600" s="2">
        <f t="shared" si="10"/>
        <v>0</v>
      </c>
      <c r="F600" s="9"/>
      <c r="G600" s="9"/>
      <c r="H600" s="2">
        <f>IF(SUM(F600:G600)&gt;Instructions!$B$5,"Error",SUM(F600:G600))</f>
        <v>0</v>
      </c>
      <c r="I600" s="8"/>
    </row>
    <row r="601" spans="1:9" ht="29.45" customHeight="1">
      <c r="A601" s="8"/>
      <c r="C601" s="2">
        <f>F601/Instructions!$B$5</f>
        <v>0</v>
      </c>
      <c r="D601" s="2">
        <f>G601/Instructions!$B$5</f>
        <v>0</v>
      </c>
      <c r="E601" s="2">
        <f t="shared" si="10"/>
        <v>0</v>
      </c>
      <c r="F601" s="9"/>
      <c r="G601" s="9"/>
      <c r="H601" s="2">
        <f>IF(SUM(F601:G601)&gt;Instructions!$B$5,"Error",SUM(F601:G601))</f>
        <v>0</v>
      </c>
      <c r="I601" s="8"/>
    </row>
    <row r="602" spans="1:9" ht="29.45" customHeight="1">
      <c r="A602" s="8"/>
      <c r="C602" s="2">
        <f>F602/Instructions!$B$5</f>
        <v>0</v>
      </c>
      <c r="D602" s="2">
        <f>G602/Instructions!$B$5</f>
        <v>0</v>
      </c>
      <c r="E602" s="2">
        <f t="shared" si="10"/>
        <v>0</v>
      </c>
      <c r="F602" s="9"/>
      <c r="G602" s="9"/>
      <c r="H602" s="2">
        <f>IF(SUM(F602:G602)&gt;Instructions!$B$5,"Error",SUM(F602:G602))</f>
        <v>0</v>
      </c>
      <c r="I602" s="8"/>
    </row>
    <row r="603" spans="1:9" ht="29.45" customHeight="1">
      <c r="A603" s="8"/>
      <c r="C603" s="2">
        <f>F603/Instructions!$B$5</f>
        <v>0</v>
      </c>
      <c r="D603" s="2">
        <f>G603/Instructions!$B$5</f>
        <v>0</v>
      </c>
      <c r="E603" s="2">
        <f t="shared" si="10"/>
        <v>0</v>
      </c>
      <c r="F603" s="9"/>
      <c r="G603" s="9"/>
      <c r="H603" s="2">
        <f>IF(SUM(F603:G603)&gt;Instructions!$B$5,"Error",SUM(F603:G603))</f>
        <v>0</v>
      </c>
      <c r="I603" s="8"/>
    </row>
    <row r="604" spans="1:9" ht="29.45" customHeight="1">
      <c r="A604" s="8"/>
      <c r="C604" s="2">
        <f>F604/Instructions!$B$5</f>
        <v>0</v>
      </c>
      <c r="D604" s="2">
        <f>G604/Instructions!$B$5</f>
        <v>0</v>
      </c>
      <c r="E604" s="2">
        <f t="shared" si="10"/>
        <v>0</v>
      </c>
      <c r="F604" s="9"/>
      <c r="G604" s="9"/>
      <c r="H604" s="2">
        <f>IF(SUM(F604:G604)&gt;Instructions!$B$5,"Error",SUM(F604:G604))</f>
        <v>0</v>
      </c>
      <c r="I604" s="8"/>
    </row>
    <row r="605" spans="1:9" ht="29.45" customHeight="1">
      <c r="A605" s="8"/>
      <c r="C605" s="2">
        <f>F605/Instructions!$B$5</f>
        <v>0</v>
      </c>
      <c r="D605" s="2">
        <f>G605/Instructions!$B$5</f>
        <v>0</v>
      </c>
      <c r="E605" s="2">
        <f t="shared" si="10"/>
        <v>0</v>
      </c>
      <c r="F605" s="9"/>
      <c r="G605" s="9"/>
      <c r="H605" s="2">
        <f>IF(SUM(F605:G605)&gt;Instructions!$B$5,"Error",SUM(F605:G605))</f>
        <v>0</v>
      </c>
      <c r="I605" s="8"/>
    </row>
    <row r="606" spans="1:9" ht="29.45" customHeight="1">
      <c r="A606" s="8"/>
      <c r="C606" s="2">
        <f>F606/Instructions!$B$5</f>
        <v>0</v>
      </c>
      <c r="D606" s="2">
        <f>G606/Instructions!$B$5</f>
        <v>0</v>
      </c>
      <c r="E606" s="2">
        <f t="shared" si="10"/>
        <v>0</v>
      </c>
      <c r="F606" s="9"/>
      <c r="G606" s="9"/>
      <c r="H606" s="2">
        <f>IF(SUM(F606:G606)&gt;Instructions!$B$5,"Error",SUM(F606:G606))</f>
        <v>0</v>
      </c>
      <c r="I606" s="8"/>
    </row>
    <row r="607" spans="1:9" ht="29.45" customHeight="1">
      <c r="A607" s="8"/>
      <c r="C607" s="2">
        <f>F607/Instructions!$B$5</f>
        <v>0</v>
      </c>
      <c r="D607" s="2">
        <f>G607/Instructions!$B$5</f>
        <v>0</v>
      </c>
      <c r="E607" s="2">
        <f t="shared" si="10"/>
        <v>0</v>
      </c>
      <c r="F607" s="9"/>
      <c r="G607" s="9"/>
      <c r="H607" s="2">
        <f>IF(SUM(F607:G607)&gt;Instructions!$B$5,"Error",SUM(F607:G607))</f>
        <v>0</v>
      </c>
      <c r="I607" s="8"/>
    </row>
    <row r="608" spans="1:9" ht="29.45" customHeight="1">
      <c r="A608" s="8"/>
      <c r="C608" s="2">
        <f>F608/Instructions!$B$5</f>
        <v>0</v>
      </c>
      <c r="D608" s="2">
        <f>G608/Instructions!$B$5</f>
        <v>0</v>
      </c>
      <c r="E608" s="2">
        <f t="shared" si="10"/>
        <v>0</v>
      </c>
      <c r="F608" s="9"/>
      <c r="G608" s="9"/>
      <c r="H608" s="2">
        <f>IF(SUM(F608:G608)&gt;Instructions!$B$5,"Error",SUM(F608:G608))</f>
        <v>0</v>
      </c>
      <c r="I608" s="8"/>
    </row>
    <row r="609" spans="1:9" ht="29.45" customHeight="1">
      <c r="A609" s="8"/>
      <c r="C609" s="2">
        <f>F609/Instructions!$B$5</f>
        <v>0</v>
      </c>
      <c r="D609" s="2">
        <f>G609/Instructions!$B$5</f>
        <v>0</v>
      </c>
      <c r="E609" s="2">
        <f t="shared" si="10"/>
        <v>0</v>
      </c>
      <c r="F609" s="9"/>
      <c r="G609" s="9"/>
      <c r="H609" s="2">
        <f>IF(SUM(F609:G609)&gt;Instructions!$B$5,"Error",SUM(F609:G609))</f>
        <v>0</v>
      </c>
      <c r="I609" s="8"/>
    </row>
    <row r="610" spans="1:9" ht="29.45" customHeight="1">
      <c r="A610" s="8"/>
      <c r="C610" s="2">
        <f>F610/Instructions!$B$5</f>
        <v>0</v>
      </c>
      <c r="D610" s="2">
        <f>G610/Instructions!$B$5</f>
        <v>0</v>
      </c>
      <c r="E610" s="2">
        <f t="shared" si="10"/>
        <v>0</v>
      </c>
      <c r="F610" s="9"/>
      <c r="G610" s="9"/>
      <c r="H610" s="2">
        <f>IF(SUM(F610:G610)&gt;Instructions!$B$5,"Error",SUM(F610:G610))</f>
        <v>0</v>
      </c>
      <c r="I610" s="8"/>
    </row>
    <row r="611" spans="1:9" ht="29.45" customHeight="1">
      <c r="A611" s="8"/>
      <c r="C611" s="2">
        <f>F611/Instructions!$B$5</f>
        <v>0</v>
      </c>
      <c r="D611" s="2">
        <f>G611/Instructions!$B$5</f>
        <v>0</v>
      </c>
      <c r="E611" s="2">
        <f t="shared" si="10"/>
        <v>0</v>
      </c>
      <c r="F611" s="9"/>
      <c r="G611" s="9"/>
      <c r="H611" s="2">
        <f>IF(SUM(F611:G611)&gt;Instructions!$B$5,"Error",SUM(F611:G611))</f>
        <v>0</v>
      </c>
      <c r="I611" s="8"/>
    </row>
    <row r="612" spans="1:9" ht="29.45" customHeight="1">
      <c r="A612" s="8"/>
      <c r="C612" s="2">
        <f>F612/Instructions!$B$5</f>
        <v>0</v>
      </c>
      <c r="D612" s="2">
        <f>G612/Instructions!$B$5</f>
        <v>0</v>
      </c>
      <c r="E612" s="2">
        <f t="shared" si="10"/>
        <v>0</v>
      </c>
      <c r="F612" s="9"/>
      <c r="G612" s="9"/>
      <c r="H612" s="2">
        <f>IF(SUM(F612:G612)&gt;Instructions!$B$5,"Error",SUM(F612:G612))</f>
        <v>0</v>
      </c>
      <c r="I612" s="8"/>
    </row>
    <row r="613" spans="1:9" ht="29.45" customHeight="1">
      <c r="A613" s="8"/>
      <c r="C613" s="2">
        <f>F613/Instructions!$B$5</f>
        <v>0</v>
      </c>
      <c r="D613" s="2">
        <f>G613/Instructions!$B$5</f>
        <v>0</v>
      </c>
      <c r="E613" s="2">
        <f t="shared" si="10"/>
        <v>0</v>
      </c>
      <c r="F613" s="9"/>
      <c r="G613" s="9"/>
      <c r="H613" s="2">
        <f>IF(SUM(F613:G613)&gt;Instructions!$B$5,"Error",SUM(F613:G613))</f>
        <v>0</v>
      </c>
      <c r="I613" s="8"/>
    </row>
    <row r="614" spans="1:9" ht="29.45" customHeight="1">
      <c r="A614" s="8"/>
      <c r="C614" s="2">
        <f>F614/Instructions!$B$5</f>
        <v>0</v>
      </c>
      <c r="D614" s="2">
        <f>G614/Instructions!$B$5</f>
        <v>0</v>
      </c>
      <c r="E614" s="2">
        <f t="shared" si="10"/>
        <v>0</v>
      </c>
      <c r="F614" s="9"/>
      <c r="G614" s="9"/>
      <c r="H614" s="2">
        <f>IF(SUM(F614:G614)&gt;Instructions!$B$5,"Error",SUM(F614:G614))</f>
        <v>0</v>
      </c>
      <c r="I614" s="8"/>
    </row>
    <row r="615" spans="1:9" ht="29.45" customHeight="1">
      <c r="A615" s="8"/>
      <c r="C615" s="2">
        <f>F615/Instructions!$B$5</f>
        <v>0</v>
      </c>
      <c r="D615" s="2">
        <f>G615/Instructions!$B$5</f>
        <v>0</v>
      </c>
      <c r="E615" s="2">
        <f t="shared" si="10"/>
        <v>0</v>
      </c>
      <c r="F615" s="9"/>
      <c r="G615" s="9"/>
      <c r="H615" s="2">
        <f>IF(SUM(F615:G615)&gt;Instructions!$B$5,"Error",SUM(F615:G615))</f>
        <v>0</v>
      </c>
      <c r="I615" s="8"/>
    </row>
    <row r="616" spans="1:9" ht="29.45" customHeight="1">
      <c r="A616" s="8"/>
      <c r="C616" s="2">
        <f>F616/Instructions!$B$5</f>
        <v>0</v>
      </c>
      <c r="D616" s="2">
        <f>G616/Instructions!$B$5</f>
        <v>0</v>
      </c>
      <c r="E616" s="2">
        <f t="shared" si="10"/>
        <v>0</v>
      </c>
      <c r="F616" s="9"/>
      <c r="G616" s="9"/>
      <c r="H616" s="2">
        <f>IF(SUM(F616:G616)&gt;Instructions!$B$5,"Error",SUM(F616:G616))</f>
        <v>0</v>
      </c>
      <c r="I616" s="8"/>
    </row>
    <row r="617" spans="1:9" ht="29.45" customHeight="1">
      <c r="A617" s="8"/>
      <c r="C617" s="2">
        <f>F617/Instructions!$B$5</f>
        <v>0</v>
      </c>
      <c r="D617" s="2">
        <f>G617/Instructions!$B$5</f>
        <v>0</v>
      </c>
      <c r="E617" s="2">
        <f t="shared" si="10"/>
        <v>0</v>
      </c>
      <c r="F617" s="9"/>
      <c r="G617" s="9"/>
      <c r="H617" s="2">
        <f>IF(SUM(F617:G617)&gt;Instructions!$B$5,"Error",SUM(F617:G617))</f>
        <v>0</v>
      </c>
      <c r="I617" s="8"/>
    </row>
    <row r="618" spans="1:9" ht="29.45" customHeight="1">
      <c r="A618" s="8"/>
      <c r="C618" s="2">
        <f>F618/Instructions!$B$5</f>
        <v>0</v>
      </c>
      <c r="D618" s="2">
        <f>G618/Instructions!$B$5</f>
        <v>0</v>
      </c>
      <c r="E618" s="2">
        <f t="shared" si="10"/>
        <v>0</v>
      </c>
      <c r="F618" s="9"/>
      <c r="G618" s="9"/>
      <c r="H618" s="2">
        <f>IF(SUM(F618:G618)&gt;Instructions!$B$5,"Error",SUM(F618:G618))</f>
        <v>0</v>
      </c>
      <c r="I618" s="8"/>
    </row>
    <row r="619" spans="1:9" ht="29.45" customHeight="1">
      <c r="A619" s="8"/>
      <c r="C619" s="2">
        <f>F619/Instructions!$B$5</f>
        <v>0</v>
      </c>
      <c r="D619" s="2">
        <f>G619/Instructions!$B$5</f>
        <v>0</v>
      </c>
      <c r="E619" s="2">
        <f t="shared" si="10"/>
        <v>0</v>
      </c>
      <c r="F619" s="9"/>
      <c r="G619" s="9"/>
      <c r="H619" s="2">
        <f>IF(SUM(F619:G619)&gt;Instructions!$B$5,"Error",SUM(F619:G619))</f>
        <v>0</v>
      </c>
      <c r="I619" s="8"/>
    </row>
    <row r="620" spans="1:9" ht="29.45" customHeight="1">
      <c r="A620" s="8"/>
      <c r="C620" s="2">
        <f>F620/Instructions!$B$5</f>
        <v>0</v>
      </c>
      <c r="D620" s="2">
        <f>G620/Instructions!$B$5</f>
        <v>0</v>
      </c>
      <c r="E620" s="2">
        <f t="shared" si="10"/>
        <v>0</v>
      </c>
      <c r="F620" s="9"/>
      <c r="G620" s="9"/>
      <c r="H620" s="2">
        <f>IF(SUM(F620:G620)&gt;Instructions!$B$5,"Error",SUM(F620:G620))</f>
        <v>0</v>
      </c>
      <c r="I620" s="8"/>
    </row>
    <row r="621" spans="1:9" ht="29.45" customHeight="1">
      <c r="A621" s="8"/>
      <c r="C621" s="2">
        <f>F621/Instructions!$B$5</f>
        <v>0</v>
      </c>
      <c r="D621" s="2">
        <f>G621/Instructions!$B$5</f>
        <v>0</v>
      </c>
      <c r="E621" s="2">
        <f t="shared" si="10"/>
        <v>0</v>
      </c>
      <c r="F621" s="9"/>
      <c r="G621" s="9"/>
      <c r="H621" s="2">
        <f>IF(SUM(F621:G621)&gt;Instructions!$B$5,"Error",SUM(F621:G621))</f>
        <v>0</v>
      </c>
      <c r="I621" s="8"/>
    </row>
    <row r="622" spans="1:9" ht="29.45" customHeight="1">
      <c r="A622" s="8"/>
      <c r="C622" s="2">
        <f>F622/Instructions!$B$5</f>
        <v>0</v>
      </c>
      <c r="D622" s="2">
        <f>G622/Instructions!$B$5</f>
        <v>0</v>
      </c>
      <c r="E622" s="2">
        <f t="shared" si="10"/>
        <v>0</v>
      </c>
      <c r="F622" s="9"/>
      <c r="G622" s="9"/>
      <c r="H622" s="2">
        <f>IF(SUM(F622:G622)&gt;Instructions!$B$5,"Error",SUM(F622:G622))</f>
        <v>0</v>
      </c>
      <c r="I622" s="8"/>
    </row>
    <row r="623" spans="1:9" ht="29.45" customHeight="1">
      <c r="A623" s="8"/>
      <c r="C623" s="2">
        <f>F623/Instructions!$B$5</f>
        <v>0</v>
      </c>
      <c r="D623" s="2">
        <f>G623/Instructions!$B$5</f>
        <v>0</v>
      </c>
      <c r="E623" s="2">
        <f t="shared" si="10"/>
        <v>0</v>
      </c>
      <c r="F623" s="9"/>
      <c r="G623" s="9"/>
      <c r="H623" s="2">
        <f>IF(SUM(F623:G623)&gt;Instructions!$B$5,"Error",SUM(F623:G623))</f>
        <v>0</v>
      </c>
      <c r="I623" s="8"/>
    </row>
    <row r="624" spans="1:9" ht="29.45" customHeight="1">
      <c r="A624" s="8"/>
      <c r="C624" s="2">
        <f>F624/Instructions!$B$5</f>
        <v>0</v>
      </c>
      <c r="D624" s="2">
        <f>G624/Instructions!$B$5</f>
        <v>0</v>
      </c>
      <c r="E624" s="2">
        <f t="shared" si="10"/>
        <v>0</v>
      </c>
      <c r="F624" s="9"/>
      <c r="G624" s="9"/>
      <c r="H624" s="2">
        <f>IF(SUM(F624:G624)&gt;Instructions!$B$5,"Error",SUM(F624:G624))</f>
        <v>0</v>
      </c>
      <c r="I624" s="8"/>
    </row>
    <row r="625" spans="1:9" ht="29.45" customHeight="1">
      <c r="A625" s="8"/>
      <c r="C625" s="2">
        <f>F625/Instructions!$B$5</f>
        <v>0</v>
      </c>
      <c r="D625" s="2">
        <f>G625/Instructions!$B$5</f>
        <v>0</v>
      </c>
      <c r="E625" s="2">
        <f t="shared" si="10"/>
        <v>0</v>
      </c>
      <c r="F625" s="9"/>
      <c r="G625" s="9"/>
      <c r="H625" s="2">
        <f>IF(SUM(F625:G625)&gt;Instructions!$B$5,"Error",SUM(F625:G625))</f>
        <v>0</v>
      </c>
      <c r="I625" s="8"/>
    </row>
    <row r="626" spans="1:9" ht="29.45" customHeight="1">
      <c r="A626" s="8"/>
      <c r="C626" s="2">
        <f>F626/Instructions!$B$5</f>
        <v>0</v>
      </c>
      <c r="D626" s="2">
        <f>G626/Instructions!$B$5</f>
        <v>0</v>
      </c>
      <c r="E626" s="2">
        <f t="shared" si="10"/>
        <v>0</v>
      </c>
      <c r="F626" s="9"/>
      <c r="G626" s="9"/>
      <c r="H626" s="2">
        <f>IF(SUM(F626:G626)&gt;Instructions!$B$5,"Error",SUM(F626:G626))</f>
        <v>0</v>
      </c>
      <c r="I626" s="8"/>
    </row>
    <row r="627" spans="1:9" ht="29.45" customHeight="1">
      <c r="A627" s="8"/>
      <c r="C627" s="2">
        <f>F627/Instructions!$B$5</f>
        <v>0</v>
      </c>
      <c r="D627" s="2">
        <f>G627/Instructions!$B$5</f>
        <v>0</v>
      </c>
      <c r="E627" s="2">
        <f t="shared" si="10"/>
        <v>0</v>
      </c>
      <c r="F627" s="9"/>
      <c r="G627" s="9"/>
      <c r="H627" s="2">
        <f>IF(SUM(F627:G627)&gt;Instructions!$B$5,"Error",SUM(F627:G627))</f>
        <v>0</v>
      </c>
      <c r="I627" s="8"/>
    </row>
    <row r="628" spans="1:9" ht="29.45" customHeight="1">
      <c r="A628" s="8"/>
      <c r="C628" s="2">
        <f>F628/Instructions!$B$5</f>
        <v>0</v>
      </c>
      <c r="D628" s="2">
        <f>G628/Instructions!$B$5</f>
        <v>0</v>
      </c>
      <c r="E628" s="2">
        <f t="shared" si="10"/>
        <v>0</v>
      </c>
      <c r="F628" s="9"/>
      <c r="G628" s="9"/>
      <c r="H628" s="2">
        <f>IF(SUM(F628:G628)&gt;Instructions!$B$5,"Error",SUM(F628:G628))</f>
        <v>0</v>
      </c>
      <c r="I628" s="8"/>
    </row>
    <row r="629" spans="1:9" ht="29.45" customHeight="1">
      <c r="A629" s="8"/>
      <c r="C629" s="2">
        <f>F629/Instructions!$B$5</f>
        <v>0</v>
      </c>
      <c r="D629" s="2">
        <f>G629/Instructions!$B$5</f>
        <v>0</v>
      </c>
      <c r="E629" s="2">
        <f t="shared" si="10"/>
        <v>0</v>
      </c>
      <c r="F629" s="9"/>
      <c r="G629" s="9"/>
      <c r="H629" s="2">
        <f>IF(SUM(F629:G629)&gt;Instructions!$B$5,"Error",SUM(F629:G629))</f>
        <v>0</v>
      </c>
      <c r="I629" s="8"/>
    </row>
    <row r="630" spans="1:9" ht="29.45" customHeight="1">
      <c r="A630" s="8"/>
      <c r="C630" s="2">
        <f>F630/Instructions!$B$5</f>
        <v>0</v>
      </c>
      <c r="D630" s="2">
        <f>G630/Instructions!$B$5</f>
        <v>0</v>
      </c>
      <c r="E630" s="2">
        <f t="shared" si="10"/>
        <v>0</v>
      </c>
      <c r="F630" s="9"/>
      <c r="G630" s="9"/>
      <c r="H630" s="2">
        <f>IF(SUM(F630:G630)&gt;Instructions!$B$5,"Error",SUM(F630:G630))</f>
        <v>0</v>
      </c>
      <c r="I630" s="8"/>
    </row>
    <row r="631" spans="1:9" ht="29.45" customHeight="1">
      <c r="A631" s="8"/>
      <c r="C631" s="2">
        <f>F631/Instructions!$B$5</f>
        <v>0</v>
      </c>
      <c r="D631" s="2">
        <f>G631/Instructions!$B$5</f>
        <v>0</v>
      </c>
      <c r="E631" s="2">
        <f t="shared" si="10"/>
        <v>0</v>
      </c>
      <c r="F631" s="9"/>
      <c r="G631" s="9"/>
      <c r="H631" s="2">
        <f>IF(SUM(F631:G631)&gt;Instructions!$B$5,"Error",SUM(F631:G631))</f>
        <v>0</v>
      </c>
      <c r="I631" s="8"/>
    </row>
    <row r="632" spans="1:9" ht="29.45" customHeight="1">
      <c r="A632" s="8"/>
      <c r="C632" s="2">
        <f>F632/Instructions!$B$5</f>
        <v>0</v>
      </c>
      <c r="D632" s="2">
        <f>G632/Instructions!$B$5</f>
        <v>0</v>
      </c>
      <c r="E632" s="2">
        <f t="shared" si="10"/>
        <v>0</v>
      </c>
      <c r="F632" s="9"/>
      <c r="G632" s="9"/>
      <c r="H632" s="2">
        <f>IF(SUM(F632:G632)&gt;Instructions!$B$5,"Error",SUM(F632:G632))</f>
        <v>0</v>
      </c>
      <c r="I632" s="8"/>
    </row>
    <row r="633" spans="1:9" ht="29.45" customHeight="1">
      <c r="A633" s="8"/>
      <c r="C633" s="2">
        <f>F633/Instructions!$B$5</f>
        <v>0</v>
      </c>
      <c r="D633" s="2">
        <f>G633/Instructions!$B$5</f>
        <v>0</v>
      </c>
      <c r="E633" s="2">
        <f t="shared" si="10"/>
        <v>0</v>
      </c>
      <c r="F633" s="9"/>
      <c r="G633" s="9"/>
      <c r="H633" s="2">
        <f>IF(SUM(F633:G633)&gt;Instructions!$B$5,"Error",SUM(F633:G633))</f>
        <v>0</v>
      </c>
      <c r="I633" s="8"/>
    </row>
    <row r="634" spans="1:9" ht="29.45" customHeight="1">
      <c r="A634" s="8"/>
      <c r="C634" s="2">
        <f>F634/Instructions!$B$5</f>
        <v>0</v>
      </c>
      <c r="D634" s="2">
        <f>G634/Instructions!$B$5</f>
        <v>0</v>
      </c>
      <c r="E634" s="2">
        <f t="shared" si="10"/>
        <v>0</v>
      </c>
      <c r="F634" s="9"/>
      <c r="G634" s="9"/>
      <c r="H634" s="2">
        <f>IF(SUM(F634:G634)&gt;Instructions!$B$5,"Error",SUM(F634:G634))</f>
        <v>0</v>
      </c>
      <c r="I634" s="8"/>
    </row>
    <row r="635" spans="1:9" ht="29.45" customHeight="1">
      <c r="A635" s="8"/>
      <c r="C635" s="2">
        <f>F635/Instructions!$B$5</f>
        <v>0</v>
      </c>
      <c r="D635" s="2">
        <f>G635/Instructions!$B$5</f>
        <v>0</v>
      </c>
      <c r="E635" s="2">
        <f t="shared" si="10"/>
        <v>0</v>
      </c>
      <c r="F635" s="9"/>
      <c r="G635" s="9"/>
      <c r="H635" s="2">
        <f>IF(SUM(F635:G635)&gt;Instructions!$B$5,"Error",SUM(F635:G635))</f>
        <v>0</v>
      </c>
      <c r="I635" s="8"/>
    </row>
    <row r="636" spans="1:9" ht="29.45" customHeight="1">
      <c r="A636" s="8"/>
      <c r="C636" s="2">
        <f>F636/Instructions!$B$5</f>
        <v>0</v>
      </c>
      <c r="D636" s="2">
        <f>G636/Instructions!$B$5</f>
        <v>0</v>
      </c>
      <c r="E636" s="2">
        <f t="shared" si="10"/>
        <v>0</v>
      </c>
      <c r="F636" s="9"/>
      <c r="G636" s="9"/>
      <c r="H636" s="2">
        <f>IF(SUM(F636:G636)&gt;Instructions!$B$5,"Error",SUM(F636:G636))</f>
        <v>0</v>
      </c>
      <c r="I636" s="8"/>
    </row>
    <row r="637" spans="1:9" ht="29.45" customHeight="1">
      <c r="A637" s="8"/>
      <c r="C637" s="2">
        <f>F637/Instructions!$B$5</f>
        <v>0</v>
      </c>
      <c r="D637" s="2">
        <f>G637/Instructions!$B$5</f>
        <v>0</v>
      </c>
      <c r="E637" s="2">
        <f t="shared" si="10"/>
        <v>0</v>
      </c>
      <c r="F637" s="9"/>
      <c r="G637" s="9"/>
      <c r="H637" s="2">
        <f>IF(SUM(F637:G637)&gt;Instructions!$B$5,"Error",SUM(F637:G637))</f>
        <v>0</v>
      </c>
      <c r="I637" s="8"/>
    </row>
    <row r="638" spans="1:9" ht="29.45" customHeight="1">
      <c r="A638" s="8"/>
      <c r="C638" s="2">
        <f>F638/Instructions!$B$5</f>
        <v>0</v>
      </c>
      <c r="D638" s="2">
        <f>G638/Instructions!$B$5</f>
        <v>0</v>
      </c>
      <c r="E638" s="2">
        <f t="shared" si="10"/>
        <v>0</v>
      </c>
      <c r="F638" s="9"/>
      <c r="G638" s="9"/>
      <c r="H638" s="2">
        <f>IF(SUM(F638:G638)&gt;Instructions!$B$5,"Error",SUM(F638:G638))</f>
        <v>0</v>
      </c>
      <c r="I638" s="8"/>
    </row>
    <row r="639" spans="1:9" ht="29.45" customHeight="1">
      <c r="A639" s="8"/>
      <c r="C639" s="2">
        <f>F639/Instructions!$B$5</f>
        <v>0</v>
      </c>
      <c r="D639" s="2">
        <f>G639/Instructions!$B$5</f>
        <v>0</v>
      </c>
      <c r="E639" s="2">
        <f t="shared" si="10"/>
        <v>0</v>
      </c>
      <c r="F639" s="9"/>
      <c r="G639" s="9"/>
      <c r="H639" s="2">
        <f>IF(SUM(F639:G639)&gt;Instructions!$B$5,"Error",SUM(F639:G639))</f>
        <v>0</v>
      </c>
      <c r="I639" s="8"/>
    </row>
    <row r="640" spans="1:9" ht="29.45" customHeight="1">
      <c r="A640" s="8"/>
      <c r="C640" s="2">
        <f>F640/Instructions!$B$5</f>
        <v>0</v>
      </c>
      <c r="D640" s="2">
        <f>G640/Instructions!$B$5</f>
        <v>0</v>
      </c>
      <c r="E640" s="2">
        <f t="shared" si="10"/>
        <v>0</v>
      </c>
      <c r="F640" s="9"/>
      <c r="G640" s="9"/>
      <c r="H640" s="2">
        <f>IF(SUM(F640:G640)&gt;Instructions!$B$5,"Error",SUM(F640:G640))</f>
        <v>0</v>
      </c>
      <c r="I640" s="8"/>
    </row>
    <row r="641" spans="1:9" ht="29.45" customHeight="1">
      <c r="A641" s="8"/>
      <c r="C641" s="2">
        <f>F641/Instructions!$B$5</f>
        <v>0</v>
      </c>
      <c r="D641" s="2">
        <f>G641/Instructions!$B$5</f>
        <v>0</v>
      </c>
      <c r="E641" s="2">
        <f t="shared" si="10"/>
        <v>0</v>
      </c>
      <c r="F641" s="9"/>
      <c r="G641" s="9"/>
      <c r="H641" s="2">
        <f>IF(SUM(F641:G641)&gt;Instructions!$B$5,"Error",SUM(F641:G641))</f>
        <v>0</v>
      </c>
      <c r="I641" s="8"/>
    </row>
    <row r="642" spans="1:9" ht="29.45" customHeight="1">
      <c r="A642" s="8"/>
      <c r="C642" s="2">
        <f>F642/Instructions!$B$5</f>
        <v>0</v>
      </c>
      <c r="D642" s="2">
        <f>G642/Instructions!$B$5</f>
        <v>0</v>
      </c>
      <c r="E642" s="2">
        <f t="shared" si="10"/>
        <v>0</v>
      </c>
      <c r="F642" s="9"/>
      <c r="G642" s="9"/>
      <c r="H642" s="2">
        <f>IF(SUM(F642:G642)&gt;Instructions!$B$5,"Error",SUM(F642:G642))</f>
        <v>0</v>
      </c>
      <c r="I642" s="8"/>
    </row>
    <row r="643" spans="1:9" ht="29.45" customHeight="1">
      <c r="A643" s="8"/>
      <c r="C643" s="2">
        <f>F643/Instructions!$B$5</f>
        <v>0</v>
      </c>
      <c r="D643" s="2">
        <f>G643/Instructions!$B$5</f>
        <v>0</v>
      </c>
      <c r="E643" s="2">
        <f t="shared" si="10"/>
        <v>0</v>
      </c>
      <c r="F643" s="9"/>
      <c r="G643" s="9"/>
      <c r="H643" s="2">
        <f>IF(SUM(F643:G643)&gt;Instructions!$B$5,"Error",SUM(F643:G643))</f>
        <v>0</v>
      </c>
      <c r="I643" s="8"/>
    </row>
    <row r="644" spans="1:9" ht="29.45" customHeight="1">
      <c r="A644" s="8"/>
      <c r="C644" s="2">
        <f>F644/Instructions!$B$5</f>
        <v>0</v>
      </c>
      <c r="D644" s="2">
        <f>G644/Instructions!$B$5</f>
        <v>0</v>
      </c>
      <c r="E644" s="2">
        <f t="shared" si="10"/>
        <v>0</v>
      </c>
      <c r="F644" s="9"/>
      <c r="G644" s="9"/>
      <c r="H644" s="2">
        <f>IF(SUM(F644:G644)&gt;Instructions!$B$5,"Error",SUM(F644:G644))</f>
        <v>0</v>
      </c>
      <c r="I644" s="8"/>
    </row>
    <row r="645" spans="1:9" ht="29.45" customHeight="1">
      <c r="A645" s="8"/>
      <c r="C645" s="2">
        <f>F645/Instructions!$B$5</f>
        <v>0</v>
      </c>
      <c r="D645" s="2">
        <f>G645/Instructions!$B$5</f>
        <v>0</v>
      </c>
      <c r="E645" s="2">
        <f t="shared" si="10"/>
        <v>0</v>
      </c>
      <c r="F645" s="9"/>
      <c r="G645" s="9"/>
      <c r="H645" s="2">
        <f>IF(SUM(F645:G645)&gt;Instructions!$B$5,"Error",SUM(F645:G645))</f>
        <v>0</v>
      </c>
      <c r="I645" s="8"/>
    </row>
    <row r="646" spans="1:9" ht="29.45" customHeight="1">
      <c r="A646" s="8"/>
      <c r="C646" s="2">
        <f>F646/Instructions!$B$5</f>
        <v>0</v>
      </c>
      <c r="D646" s="2">
        <f>G646/Instructions!$B$5</f>
        <v>0</v>
      </c>
      <c r="E646" s="2">
        <f t="shared" si="10"/>
        <v>0</v>
      </c>
      <c r="F646" s="9"/>
      <c r="G646" s="9"/>
      <c r="H646" s="2">
        <f>IF(SUM(F646:G646)&gt;Instructions!$B$5,"Error",SUM(F646:G646))</f>
        <v>0</v>
      </c>
      <c r="I646" s="8"/>
    </row>
    <row r="647" spans="1:9" ht="29.45" customHeight="1">
      <c r="A647" s="8"/>
      <c r="C647" s="2">
        <f>F647/Instructions!$B$5</f>
        <v>0</v>
      </c>
      <c r="D647" s="2">
        <f>G647/Instructions!$B$5</f>
        <v>0</v>
      </c>
      <c r="E647" s="2">
        <f t="shared" si="10"/>
        <v>0</v>
      </c>
      <c r="F647" s="9"/>
      <c r="G647" s="9"/>
      <c r="H647" s="2">
        <f>IF(SUM(F647:G647)&gt;Instructions!$B$5,"Error",SUM(F647:G647))</f>
        <v>0</v>
      </c>
      <c r="I647" s="8"/>
    </row>
    <row r="648" spans="1:9" ht="29.45" customHeight="1">
      <c r="A648" s="8"/>
      <c r="C648" s="2">
        <f>F648/Instructions!$B$5</f>
        <v>0</v>
      </c>
      <c r="D648" s="2">
        <f>G648/Instructions!$B$5</f>
        <v>0</v>
      </c>
      <c r="E648" s="2">
        <f t="shared" ref="E648:E711" si="11">IF(SUM(C648:D648)&gt;1,"Error",SUM(C648:D648))</f>
        <v>0</v>
      </c>
      <c r="F648" s="9"/>
      <c r="G648" s="9"/>
      <c r="H648" s="2">
        <f>IF(SUM(F648:G648)&gt;Instructions!$B$5,"Error",SUM(F648:G648))</f>
        <v>0</v>
      </c>
      <c r="I648" s="8"/>
    </row>
    <row r="649" spans="1:9" ht="29.45" customHeight="1">
      <c r="A649" s="8"/>
      <c r="C649" s="2">
        <f>F649/Instructions!$B$5</f>
        <v>0</v>
      </c>
      <c r="D649" s="2">
        <f>G649/Instructions!$B$5</f>
        <v>0</v>
      </c>
      <c r="E649" s="2">
        <f t="shared" si="11"/>
        <v>0</v>
      </c>
      <c r="F649" s="9"/>
      <c r="G649" s="9"/>
      <c r="H649" s="2">
        <f>IF(SUM(F649:G649)&gt;Instructions!$B$5,"Error",SUM(F649:G649))</f>
        <v>0</v>
      </c>
      <c r="I649" s="8"/>
    </row>
    <row r="650" spans="1:9" ht="29.45" customHeight="1">
      <c r="A650" s="8"/>
      <c r="C650" s="2">
        <f>F650/Instructions!$B$5</f>
        <v>0</v>
      </c>
      <c r="D650" s="2">
        <f>G650/Instructions!$B$5</f>
        <v>0</v>
      </c>
      <c r="E650" s="2">
        <f t="shared" si="11"/>
        <v>0</v>
      </c>
      <c r="F650" s="9"/>
      <c r="G650" s="9"/>
      <c r="H650" s="2">
        <f>IF(SUM(F650:G650)&gt;Instructions!$B$5,"Error",SUM(F650:G650))</f>
        <v>0</v>
      </c>
      <c r="I650" s="8"/>
    </row>
    <row r="651" spans="1:9" ht="29.45" customHeight="1">
      <c r="A651" s="8"/>
      <c r="C651" s="2">
        <f>F651/Instructions!$B$5</f>
        <v>0</v>
      </c>
      <c r="D651" s="2">
        <f>G651/Instructions!$B$5</f>
        <v>0</v>
      </c>
      <c r="E651" s="2">
        <f t="shared" si="11"/>
        <v>0</v>
      </c>
      <c r="F651" s="9"/>
      <c r="G651" s="9"/>
      <c r="H651" s="2">
        <f>IF(SUM(F651:G651)&gt;Instructions!$B$5,"Error",SUM(F651:G651))</f>
        <v>0</v>
      </c>
      <c r="I651" s="8"/>
    </row>
    <row r="652" spans="1:9" ht="29.45" customHeight="1">
      <c r="A652" s="8"/>
      <c r="C652" s="2">
        <f>F652/Instructions!$B$5</f>
        <v>0</v>
      </c>
      <c r="D652" s="2">
        <f>G652/Instructions!$B$5</f>
        <v>0</v>
      </c>
      <c r="E652" s="2">
        <f t="shared" si="11"/>
        <v>0</v>
      </c>
      <c r="F652" s="9"/>
      <c r="G652" s="9"/>
      <c r="H652" s="2">
        <f>IF(SUM(F652:G652)&gt;Instructions!$B$5,"Error",SUM(F652:G652))</f>
        <v>0</v>
      </c>
      <c r="I652" s="8"/>
    </row>
    <row r="653" spans="1:9" ht="29.45" customHeight="1">
      <c r="A653" s="8"/>
      <c r="C653" s="2">
        <f>F653/Instructions!$B$5</f>
        <v>0</v>
      </c>
      <c r="D653" s="2">
        <f>G653/Instructions!$B$5</f>
        <v>0</v>
      </c>
      <c r="E653" s="2">
        <f t="shared" si="11"/>
        <v>0</v>
      </c>
      <c r="F653" s="9"/>
      <c r="G653" s="9"/>
      <c r="H653" s="2">
        <f>IF(SUM(F653:G653)&gt;Instructions!$B$5,"Error",SUM(F653:G653))</f>
        <v>0</v>
      </c>
      <c r="I653" s="8"/>
    </row>
    <row r="654" spans="1:9" ht="29.45" customHeight="1">
      <c r="A654" s="8"/>
      <c r="C654" s="2">
        <f>F654/Instructions!$B$5</f>
        <v>0</v>
      </c>
      <c r="D654" s="2">
        <f>G654/Instructions!$B$5</f>
        <v>0</v>
      </c>
      <c r="E654" s="2">
        <f t="shared" si="11"/>
        <v>0</v>
      </c>
      <c r="F654" s="9"/>
      <c r="G654" s="9"/>
      <c r="H654" s="2">
        <f>IF(SUM(F654:G654)&gt;Instructions!$B$5,"Error",SUM(F654:G654))</f>
        <v>0</v>
      </c>
      <c r="I654" s="8"/>
    </row>
    <row r="655" spans="1:9" ht="29.45" customHeight="1">
      <c r="A655" s="8"/>
      <c r="C655" s="2">
        <f>F655/Instructions!$B$5</f>
        <v>0</v>
      </c>
      <c r="D655" s="2">
        <f>G655/Instructions!$B$5</f>
        <v>0</v>
      </c>
      <c r="E655" s="2">
        <f t="shared" si="11"/>
        <v>0</v>
      </c>
      <c r="F655" s="9"/>
      <c r="G655" s="9"/>
      <c r="H655" s="2">
        <f>IF(SUM(F655:G655)&gt;Instructions!$B$5,"Error",SUM(F655:G655))</f>
        <v>0</v>
      </c>
      <c r="I655" s="8"/>
    </row>
    <row r="656" spans="1:9" ht="29.45" customHeight="1">
      <c r="A656" s="8"/>
      <c r="C656" s="2">
        <f>F656/Instructions!$B$5</f>
        <v>0</v>
      </c>
      <c r="D656" s="2">
        <f>G656/Instructions!$B$5</f>
        <v>0</v>
      </c>
      <c r="E656" s="2">
        <f t="shared" si="11"/>
        <v>0</v>
      </c>
      <c r="F656" s="9"/>
      <c r="G656" s="9"/>
      <c r="H656" s="2">
        <f>IF(SUM(F656:G656)&gt;Instructions!$B$5,"Error",SUM(F656:G656))</f>
        <v>0</v>
      </c>
      <c r="I656" s="8"/>
    </row>
    <row r="657" spans="1:9" ht="29.45" customHeight="1">
      <c r="A657" s="8"/>
      <c r="C657" s="2">
        <f>F657/Instructions!$B$5</f>
        <v>0</v>
      </c>
      <c r="D657" s="2">
        <f>G657/Instructions!$B$5</f>
        <v>0</v>
      </c>
      <c r="E657" s="2">
        <f t="shared" si="11"/>
        <v>0</v>
      </c>
      <c r="F657" s="9"/>
      <c r="G657" s="9"/>
      <c r="H657" s="2">
        <f>IF(SUM(F657:G657)&gt;Instructions!$B$5,"Error",SUM(F657:G657))</f>
        <v>0</v>
      </c>
      <c r="I657" s="8"/>
    </row>
    <row r="658" spans="1:9" ht="29.45" customHeight="1">
      <c r="A658" s="8"/>
      <c r="C658" s="2">
        <f>F658/Instructions!$B$5</f>
        <v>0</v>
      </c>
      <c r="D658" s="2">
        <f>G658/Instructions!$B$5</f>
        <v>0</v>
      </c>
      <c r="E658" s="2">
        <f t="shared" si="11"/>
        <v>0</v>
      </c>
      <c r="F658" s="9"/>
      <c r="G658" s="9"/>
      <c r="H658" s="2">
        <f>IF(SUM(F658:G658)&gt;Instructions!$B$5,"Error",SUM(F658:G658))</f>
        <v>0</v>
      </c>
      <c r="I658" s="8"/>
    </row>
    <row r="659" spans="1:9" ht="29.45" customHeight="1">
      <c r="A659" s="8"/>
      <c r="C659" s="2">
        <f>F659/Instructions!$B$5</f>
        <v>0</v>
      </c>
      <c r="D659" s="2">
        <f>G659/Instructions!$B$5</f>
        <v>0</v>
      </c>
      <c r="E659" s="2">
        <f t="shared" si="11"/>
        <v>0</v>
      </c>
      <c r="F659" s="9"/>
      <c r="G659" s="9"/>
      <c r="H659" s="2">
        <f>IF(SUM(F659:G659)&gt;Instructions!$B$5,"Error",SUM(F659:G659))</f>
        <v>0</v>
      </c>
      <c r="I659" s="8"/>
    </row>
    <row r="660" spans="1:9" ht="29.45" customHeight="1">
      <c r="A660" s="8"/>
      <c r="C660" s="2">
        <f>F660/Instructions!$B$5</f>
        <v>0</v>
      </c>
      <c r="D660" s="2">
        <f>G660/Instructions!$B$5</f>
        <v>0</v>
      </c>
      <c r="E660" s="2">
        <f t="shared" si="11"/>
        <v>0</v>
      </c>
      <c r="F660" s="9"/>
      <c r="G660" s="9"/>
      <c r="H660" s="2">
        <f>IF(SUM(F660:G660)&gt;Instructions!$B$5,"Error",SUM(F660:G660))</f>
        <v>0</v>
      </c>
      <c r="I660" s="8"/>
    </row>
    <row r="661" spans="1:9" ht="29.45" customHeight="1">
      <c r="A661" s="8"/>
      <c r="C661" s="2">
        <f>F661/Instructions!$B$5</f>
        <v>0</v>
      </c>
      <c r="D661" s="2">
        <f>G661/Instructions!$B$5</f>
        <v>0</v>
      </c>
      <c r="E661" s="2">
        <f t="shared" si="11"/>
        <v>0</v>
      </c>
      <c r="F661" s="9"/>
      <c r="G661" s="9"/>
      <c r="H661" s="2">
        <f>IF(SUM(F661:G661)&gt;Instructions!$B$5,"Error",SUM(F661:G661))</f>
        <v>0</v>
      </c>
      <c r="I661" s="8"/>
    </row>
    <row r="662" spans="1:9" ht="29.45" customHeight="1">
      <c r="A662" s="8"/>
      <c r="C662" s="2">
        <f>F662/Instructions!$B$5</f>
        <v>0</v>
      </c>
      <c r="D662" s="2">
        <f>G662/Instructions!$B$5</f>
        <v>0</v>
      </c>
      <c r="E662" s="2">
        <f t="shared" si="11"/>
        <v>0</v>
      </c>
      <c r="F662" s="9"/>
      <c r="G662" s="9"/>
      <c r="H662" s="2">
        <f>IF(SUM(F662:G662)&gt;Instructions!$B$5,"Error",SUM(F662:G662))</f>
        <v>0</v>
      </c>
      <c r="I662" s="8"/>
    </row>
    <row r="663" spans="1:9" ht="29.45" customHeight="1">
      <c r="A663" s="8"/>
      <c r="C663" s="2">
        <f>F663/Instructions!$B$5</f>
        <v>0</v>
      </c>
      <c r="D663" s="2">
        <f>G663/Instructions!$B$5</f>
        <v>0</v>
      </c>
      <c r="E663" s="2">
        <f t="shared" si="11"/>
        <v>0</v>
      </c>
      <c r="F663" s="9"/>
      <c r="G663" s="9"/>
      <c r="H663" s="2">
        <f>IF(SUM(F663:G663)&gt;Instructions!$B$5,"Error",SUM(F663:G663))</f>
        <v>0</v>
      </c>
      <c r="I663" s="8"/>
    </row>
    <row r="664" spans="1:9" ht="29.45" customHeight="1">
      <c r="A664" s="8"/>
      <c r="C664" s="2">
        <f>F664/Instructions!$B$5</f>
        <v>0</v>
      </c>
      <c r="D664" s="2">
        <f>G664/Instructions!$B$5</f>
        <v>0</v>
      </c>
      <c r="E664" s="2">
        <f t="shared" si="11"/>
        <v>0</v>
      </c>
      <c r="F664" s="9"/>
      <c r="G664" s="9"/>
      <c r="H664" s="2">
        <f>IF(SUM(F664:G664)&gt;Instructions!$B$5,"Error",SUM(F664:G664))</f>
        <v>0</v>
      </c>
      <c r="I664" s="8"/>
    </row>
    <row r="665" spans="1:9" ht="29.45" customHeight="1">
      <c r="A665" s="8"/>
      <c r="C665" s="2">
        <f>F665/Instructions!$B$5</f>
        <v>0</v>
      </c>
      <c r="D665" s="2">
        <f>G665/Instructions!$B$5</f>
        <v>0</v>
      </c>
      <c r="E665" s="2">
        <f t="shared" si="11"/>
        <v>0</v>
      </c>
      <c r="F665" s="9"/>
      <c r="G665" s="9"/>
      <c r="H665" s="2">
        <f>IF(SUM(F665:G665)&gt;Instructions!$B$5,"Error",SUM(F665:G665))</f>
        <v>0</v>
      </c>
      <c r="I665" s="8"/>
    </row>
    <row r="666" spans="1:9" ht="29.45" customHeight="1">
      <c r="A666" s="8"/>
      <c r="C666" s="2">
        <f>F666/Instructions!$B$5</f>
        <v>0</v>
      </c>
      <c r="D666" s="2">
        <f>G666/Instructions!$B$5</f>
        <v>0</v>
      </c>
      <c r="E666" s="2">
        <f t="shared" si="11"/>
        <v>0</v>
      </c>
      <c r="F666" s="9"/>
      <c r="G666" s="9"/>
      <c r="H666" s="2">
        <f>IF(SUM(F666:G666)&gt;Instructions!$B$5,"Error",SUM(F666:G666))</f>
        <v>0</v>
      </c>
      <c r="I666" s="8"/>
    </row>
    <row r="667" spans="1:9" ht="29.45" customHeight="1">
      <c r="A667" s="8"/>
      <c r="C667" s="2">
        <f>F667/Instructions!$B$5</f>
        <v>0</v>
      </c>
      <c r="D667" s="2">
        <f>G667/Instructions!$B$5</f>
        <v>0</v>
      </c>
      <c r="E667" s="2">
        <f t="shared" si="11"/>
        <v>0</v>
      </c>
      <c r="F667" s="9"/>
      <c r="G667" s="9"/>
      <c r="H667" s="2">
        <f>IF(SUM(F667:G667)&gt;Instructions!$B$5,"Error",SUM(F667:G667))</f>
        <v>0</v>
      </c>
      <c r="I667" s="8"/>
    </row>
    <row r="668" spans="1:9" ht="29.45" customHeight="1">
      <c r="A668" s="8"/>
      <c r="C668" s="2">
        <f>F668/Instructions!$B$5</f>
        <v>0</v>
      </c>
      <c r="D668" s="2">
        <f>G668/Instructions!$B$5</f>
        <v>0</v>
      </c>
      <c r="E668" s="2">
        <f t="shared" si="11"/>
        <v>0</v>
      </c>
      <c r="F668" s="9"/>
      <c r="G668" s="9"/>
      <c r="H668" s="2">
        <f>IF(SUM(F668:G668)&gt;Instructions!$B$5,"Error",SUM(F668:G668))</f>
        <v>0</v>
      </c>
      <c r="I668" s="8"/>
    </row>
    <row r="669" spans="1:9" ht="29.45" customHeight="1">
      <c r="A669" s="8"/>
      <c r="C669" s="2">
        <f>F669/Instructions!$B$5</f>
        <v>0</v>
      </c>
      <c r="D669" s="2">
        <f>G669/Instructions!$B$5</f>
        <v>0</v>
      </c>
      <c r="E669" s="2">
        <f t="shared" si="11"/>
        <v>0</v>
      </c>
      <c r="F669" s="9"/>
      <c r="G669" s="9"/>
      <c r="H669" s="2">
        <f>IF(SUM(F669:G669)&gt;Instructions!$B$5,"Error",SUM(F669:G669))</f>
        <v>0</v>
      </c>
      <c r="I669" s="8"/>
    </row>
    <row r="670" spans="1:9" ht="29.45" customHeight="1">
      <c r="A670" s="8"/>
      <c r="C670" s="2">
        <f>F670/Instructions!$B$5</f>
        <v>0</v>
      </c>
      <c r="D670" s="2">
        <f>G670/Instructions!$B$5</f>
        <v>0</v>
      </c>
      <c r="E670" s="2">
        <f t="shared" si="11"/>
        <v>0</v>
      </c>
      <c r="F670" s="9"/>
      <c r="G670" s="9"/>
      <c r="H670" s="2">
        <f>IF(SUM(F670:G670)&gt;Instructions!$B$5,"Error",SUM(F670:G670))</f>
        <v>0</v>
      </c>
      <c r="I670" s="8"/>
    </row>
    <row r="671" spans="1:9" ht="29.45" customHeight="1">
      <c r="A671" s="8"/>
      <c r="C671" s="2">
        <f>F671/Instructions!$B$5</f>
        <v>0</v>
      </c>
      <c r="D671" s="2">
        <f>G671/Instructions!$B$5</f>
        <v>0</v>
      </c>
      <c r="E671" s="2">
        <f t="shared" si="11"/>
        <v>0</v>
      </c>
      <c r="F671" s="9"/>
      <c r="G671" s="9"/>
      <c r="H671" s="2">
        <f>IF(SUM(F671:G671)&gt;Instructions!$B$5,"Error",SUM(F671:G671))</f>
        <v>0</v>
      </c>
      <c r="I671" s="8"/>
    </row>
    <row r="672" spans="1:9" ht="29.45" customHeight="1">
      <c r="A672" s="8"/>
      <c r="C672" s="2">
        <f>F672/Instructions!$B$5</f>
        <v>0</v>
      </c>
      <c r="D672" s="2">
        <f>G672/Instructions!$B$5</f>
        <v>0</v>
      </c>
      <c r="E672" s="2">
        <f t="shared" si="11"/>
        <v>0</v>
      </c>
      <c r="F672" s="9"/>
      <c r="G672" s="9"/>
      <c r="H672" s="2">
        <f>IF(SUM(F672:G672)&gt;Instructions!$B$5,"Error",SUM(F672:G672))</f>
        <v>0</v>
      </c>
      <c r="I672" s="8"/>
    </row>
    <row r="673" spans="1:9" ht="29.45" customHeight="1">
      <c r="A673" s="8"/>
      <c r="C673" s="2">
        <f>F673/Instructions!$B$5</f>
        <v>0</v>
      </c>
      <c r="D673" s="2">
        <f>G673/Instructions!$B$5</f>
        <v>0</v>
      </c>
      <c r="E673" s="2">
        <f t="shared" si="11"/>
        <v>0</v>
      </c>
      <c r="F673" s="9"/>
      <c r="G673" s="9"/>
      <c r="H673" s="2">
        <f>IF(SUM(F673:G673)&gt;Instructions!$B$5,"Error",SUM(F673:G673))</f>
        <v>0</v>
      </c>
      <c r="I673" s="8"/>
    </row>
    <row r="674" spans="1:9">
      <c r="A674" s="8"/>
      <c r="C674" s="2">
        <f>F674/Instructions!$B$5</f>
        <v>0</v>
      </c>
      <c r="D674" s="2">
        <f>G674/Instructions!$B$5</f>
        <v>0</v>
      </c>
      <c r="E674" s="2">
        <f t="shared" si="11"/>
        <v>0</v>
      </c>
      <c r="F674" s="9"/>
      <c r="G674" s="9"/>
      <c r="H674" s="2">
        <f>IF(SUM(F674:G674)&gt;Instructions!$B$5,"Error",SUM(F674:G674))</f>
        <v>0</v>
      </c>
      <c r="I674" s="8"/>
    </row>
    <row r="675" spans="1:9">
      <c r="A675" s="8"/>
      <c r="C675" s="2">
        <f>F675/Instructions!$B$5</f>
        <v>0</v>
      </c>
      <c r="D675" s="2">
        <f>G675/Instructions!$B$5</f>
        <v>0</v>
      </c>
      <c r="E675" s="2">
        <f t="shared" si="11"/>
        <v>0</v>
      </c>
      <c r="F675" s="9"/>
      <c r="G675" s="9"/>
      <c r="H675" s="2">
        <f>IF(SUM(F675:G675)&gt;Instructions!$B$5,"Error",SUM(F675:G675))</f>
        <v>0</v>
      </c>
      <c r="I675" s="8"/>
    </row>
    <row r="676" spans="1:9">
      <c r="A676" s="8"/>
      <c r="C676" s="2">
        <f>F676/Instructions!$B$5</f>
        <v>0</v>
      </c>
      <c r="D676" s="2">
        <f>G676/Instructions!$B$5</f>
        <v>0</v>
      </c>
      <c r="E676" s="2">
        <f t="shared" si="11"/>
        <v>0</v>
      </c>
      <c r="F676" s="9"/>
      <c r="G676" s="9"/>
      <c r="H676" s="2">
        <f>IF(SUM(F676:G676)&gt;Instructions!$B$5,"Error",SUM(F676:G676))</f>
        <v>0</v>
      </c>
      <c r="I676" s="8"/>
    </row>
    <row r="677" spans="1:9">
      <c r="A677" s="8"/>
      <c r="C677" s="2">
        <f>F677/Instructions!$B$5</f>
        <v>0</v>
      </c>
      <c r="D677" s="2">
        <f>G677/Instructions!$B$5</f>
        <v>0</v>
      </c>
      <c r="E677" s="2">
        <f t="shared" si="11"/>
        <v>0</v>
      </c>
      <c r="F677" s="9"/>
      <c r="G677" s="9"/>
      <c r="H677" s="2">
        <f>IF(SUM(F677:G677)&gt;Instructions!$B$5,"Error",SUM(F677:G677))</f>
        <v>0</v>
      </c>
      <c r="I677" s="8"/>
    </row>
    <row r="678" spans="1:9">
      <c r="A678" s="8"/>
      <c r="C678" s="2">
        <f>F678/Instructions!$B$5</f>
        <v>0</v>
      </c>
      <c r="D678" s="2">
        <f>G678/Instructions!$B$5</f>
        <v>0</v>
      </c>
      <c r="E678" s="2">
        <f t="shared" si="11"/>
        <v>0</v>
      </c>
      <c r="F678" s="9"/>
      <c r="G678" s="9"/>
      <c r="H678" s="2">
        <f>IF(SUM(F678:G678)&gt;Instructions!$B$5,"Error",SUM(F678:G678))</f>
        <v>0</v>
      </c>
      <c r="I678" s="8"/>
    </row>
    <row r="679" spans="1:9">
      <c r="A679" s="8"/>
      <c r="C679" s="2">
        <f>F679/Instructions!$B$5</f>
        <v>0</v>
      </c>
      <c r="D679" s="2">
        <f>G679/Instructions!$B$5</f>
        <v>0</v>
      </c>
      <c r="E679" s="2">
        <f t="shared" si="11"/>
        <v>0</v>
      </c>
      <c r="F679" s="9"/>
      <c r="G679" s="9"/>
      <c r="H679" s="2">
        <f>IF(SUM(F679:G679)&gt;Instructions!$B$5,"Error",SUM(F679:G679))</f>
        <v>0</v>
      </c>
      <c r="I679" s="8"/>
    </row>
    <row r="680" spans="1:9">
      <c r="A680" s="8"/>
      <c r="C680" s="2">
        <f>F680/Instructions!$B$5</f>
        <v>0</v>
      </c>
      <c r="D680" s="2">
        <f>G680/Instructions!$B$5</f>
        <v>0</v>
      </c>
      <c r="E680" s="2">
        <f t="shared" si="11"/>
        <v>0</v>
      </c>
      <c r="F680" s="9"/>
      <c r="G680" s="9"/>
      <c r="H680" s="2">
        <f>IF(SUM(F680:G680)&gt;Instructions!$B$5,"Error",SUM(F680:G680))</f>
        <v>0</v>
      </c>
      <c r="I680" s="8"/>
    </row>
    <row r="681" spans="1:9">
      <c r="A681" s="8"/>
      <c r="C681" s="2">
        <f>F681/Instructions!$B$5</f>
        <v>0</v>
      </c>
      <c r="D681" s="2">
        <f>G681/Instructions!$B$5</f>
        <v>0</v>
      </c>
      <c r="E681" s="2">
        <f t="shared" si="11"/>
        <v>0</v>
      </c>
      <c r="F681" s="9"/>
      <c r="G681" s="9"/>
      <c r="H681" s="2">
        <f>IF(SUM(F681:G681)&gt;Instructions!$B$5,"Error",SUM(F681:G681))</f>
        <v>0</v>
      </c>
      <c r="I681" s="8"/>
    </row>
    <row r="682" spans="1:9">
      <c r="A682" s="8"/>
      <c r="C682" s="2">
        <f>F682/Instructions!$B$5</f>
        <v>0</v>
      </c>
      <c r="D682" s="2">
        <f>G682/Instructions!$B$5</f>
        <v>0</v>
      </c>
      <c r="E682" s="2">
        <f t="shared" si="11"/>
        <v>0</v>
      </c>
      <c r="F682" s="9"/>
      <c r="G682" s="9"/>
      <c r="H682" s="2">
        <f>IF(SUM(F682:G682)&gt;Instructions!$B$5,"Error",SUM(F682:G682))</f>
        <v>0</v>
      </c>
      <c r="I682" s="8"/>
    </row>
    <row r="683" spans="1:9">
      <c r="A683" s="8"/>
      <c r="C683" s="2">
        <f>F683/Instructions!$B$5</f>
        <v>0</v>
      </c>
      <c r="D683" s="2">
        <f>G683/Instructions!$B$5</f>
        <v>0</v>
      </c>
      <c r="E683" s="2">
        <f t="shared" si="11"/>
        <v>0</v>
      </c>
      <c r="F683" s="9"/>
      <c r="G683" s="9"/>
      <c r="H683" s="2">
        <f>IF(SUM(F683:G683)&gt;Instructions!$B$5,"Error",SUM(F683:G683))</f>
        <v>0</v>
      </c>
      <c r="I683" s="8"/>
    </row>
    <row r="684" spans="1:9">
      <c r="A684" s="8"/>
      <c r="C684" s="2">
        <f>F684/Instructions!$B$5</f>
        <v>0</v>
      </c>
      <c r="D684" s="2">
        <f>G684/Instructions!$B$5</f>
        <v>0</v>
      </c>
      <c r="E684" s="2">
        <f t="shared" si="11"/>
        <v>0</v>
      </c>
      <c r="F684" s="9"/>
      <c r="G684" s="9"/>
      <c r="H684" s="2">
        <f>IF(SUM(F684:G684)&gt;Instructions!$B$5,"Error",SUM(F684:G684))</f>
        <v>0</v>
      </c>
      <c r="I684" s="8"/>
    </row>
    <row r="685" spans="1:9">
      <c r="A685" s="8"/>
      <c r="C685" s="2">
        <f>F685/Instructions!$B$5</f>
        <v>0</v>
      </c>
      <c r="D685" s="2">
        <f>G685/Instructions!$B$5</f>
        <v>0</v>
      </c>
      <c r="E685" s="2">
        <f t="shared" si="11"/>
        <v>0</v>
      </c>
      <c r="F685" s="9"/>
      <c r="G685" s="9"/>
      <c r="H685" s="2">
        <f>IF(SUM(F685:G685)&gt;Instructions!$B$5,"Error",SUM(F685:G685))</f>
        <v>0</v>
      </c>
      <c r="I685" s="8"/>
    </row>
    <row r="686" spans="1:9">
      <c r="A686" s="8"/>
      <c r="C686" s="2">
        <f>F686/Instructions!$B$5</f>
        <v>0</v>
      </c>
      <c r="D686" s="2">
        <f>G686/Instructions!$B$5</f>
        <v>0</v>
      </c>
      <c r="E686" s="2">
        <f t="shared" si="11"/>
        <v>0</v>
      </c>
      <c r="F686" s="9"/>
      <c r="G686" s="9"/>
      <c r="H686" s="2">
        <f>IF(SUM(F686:G686)&gt;Instructions!$B$5,"Error",SUM(F686:G686))</f>
        <v>0</v>
      </c>
      <c r="I686" s="8"/>
    </row>
    <row r="687" spans="1:9">
      <c r="A687" s="8"/>
      <c r="C687" s="2">
        <f>F687/Instructions!$B$5</f>
        <v>0</v>
      </c>
      <c r="D687" s="2">
        <f>G687/Instructions!$B$5</f>
        <v>0</v>
      </c>
      <c r="E687" s="2">
        <f t="shared" si="11"/>
        <v>0</v>
      </c>
      <c r="F687" s="9"/>
      <c r="G687" s="9"/>
      <c r="H687" s="2">
        <f>IF(SUM(F687:G687)&gt;Instructions!$B$5,"Error",SUM(F687:G687))</f>
        <v>0</v>
      </c>
      <c r="I687" s="8"/>
    </row>
    <row r="688" spans="1:9">
      <c r="A688" s="8"/>
      <c r="C688" s="2">
        <f>F688/Instructions!$B$5</f>
        <v>0</v>
      </c>
      <c r="D688" s="2">
        <f>G688/Instructions!$B$5</f>
        <v>0</v>
      </c>
      <c r="E688" s="2">
        <f t="shared" si="11"/>
        <v>0</v>
      </c>
      <c r="F688" s="9"/>
      <c r="G688" s="9"/>
      <c r="H688" s="2">
        <f>IF(SUM(F688:G688)&gt;Instructions!$B$5,"Error",SUM(F688:G688))</f>
        <v>0</v>
      </c>
      <c r="I688" s="8"/>
    </row>
    <row r="689" spans="1:9">
      <c r="A689" s="8"/>
      <c r="C689" s="2">
        <f>F689/Instructions!$B$5</f>
        <v>0</v>
      </c>
      <c r="D689" s="2">
        <f>G689/Instructions!$B$5</f>
        <v>0</v>
      </c>
      <c r="E689" s="2">
        <f t="shared" si="11"/>
        <v>0</v>
      </c>
      <c r="F689" s="9"/>
      <c r="G689" s="9"/>
      <c r="H689" s="2">
        <f>IF(SUM(F689:G689)&gt;Instructions!$B$5,"Error",SUM(F689:G689))</f>
        <v>0</v>
      </c>
      <c r="I689" s="8"/>
    </row>
    <row r="690" spans="1:9">
      <c r="A690" s="8"/>
      <c r="C690" s="2">
        <f>F690/Instructions!$B$5</f>
        <v>0</v>
      </c>
      <c r="D690" s="2">
        <f>G690/Instructions!$B$5</f>
        <v>0</v>
      </c>
      <c r="E690" s="2">
        <f t="shared" si="11"/>
        <v>0</v>
      </c>
      <c r="F690" s="9"/>
      <c r="G690" s="9"/>
      <c r="H690" s="2">
        <f>IF(SUM(F690:G690)&gt;Instructions!$B$5,"Error",SUM(F690:G690))</f>
        <v>0</v>
      </c>
      <c r="I690" s="8"/>
    </row>
    <row r="691" spans="1:9">
      <c r="A691" s="8"/>
      <c r="C691" s="2">
        <f>F691/Instructions!$B$5</f>
        <v>0</v>
      </c>
      <c r="D691" s="2">
        <f>G691/Instructions!$B$5</f>
        <v>0</v>
      </c>
      <c r="E691" s="2">
        <f t="shared" si="11"/>
        <v>0</v>
      </c>
      <c r="F691" s="9"/>
      <c r="G691" s="9"/>
      <c r="H691" s="2">
        <f>IF(SUM(F691:G691)&gt;Instructions!$B$5,"Error",SUM(F691:G691))</f>
        <v>0</v>
      </c>
      <c r="I691" s="8"/>
    </row>
    <row r="692" spans="1:9">
      <c r="A692" s="8"/>
      <c r="C692" s="2">
        <f>F692/Instructions!$B$5</f>
        <v>0</v>
      </c>
      <c r="D692" s="2">
        <f>G692/Instructions!$B$5</f>
        <v>0</v>
      </c>
      <c r="E692" s="2">
        <f t="shared" si="11"/>
        <v>0</v>
      </c>
      <c r="F692" s="9"/>
      <c r="G692" s="9"/>
      <c r="H692" s="2">
        <f>IF(SUM(F692:G692)&gt;Instructions!$B$5,"Error",SUM(F692:G692))</f>
        <v>0</v>
      </c>
      <c r="I692" s="8"/>
    </row>
    <row r="693" spans="1:9">
      <c r="A693" s="8"/>
      <c r="C693" s="2">
        <f>F693/Instructions!$B$5</f>
        <v>0</v>
      </c>
      <c r="D693" s="2">
        <f>G693/Instructions!$B$5</f>
        <v>0</v>
      </c>
      <c r="E693" s="2">
        <f t="shared" si="11"/>
        <v>0</v>
      </c>
      <c r="F693" s="9"/>
      <c r="G693" s="9"/>
      <c r="H693" s="2">
        <f>IF(SUM(F693:G693)&gt;Instructions!$B$5,"Error",SUM(F693:G693))</f>
        <v>0</v>
      </c>
      <c r="I693" s="8"/>
    </row>
    <row r="694" spans="1:9">
      <c r="A694" s="8"/>
      <c r="C694" s="2">
        <f>F694/Instructions!$B$5</f>
        <v>0</v>
      </c>
      <c r="D694" s="2">
        <f>G694/Instructions!$B$5</f>
        <v>0</v>
      </c>
      <c r="E694" s="2">
        <f t="shared" si="11"/>
        <v>0</v>
      </c>
      <c r="F694" s="9"/>
      <c r="G694" s="9"/>
      <c r="H694" s="2">
        <f>IF(SUM(F694:G694)&gt;Instructions!$B$5,"Error",SUM(F694:G694))</f>
        <v>0</v>
      </c>
      <c r="I694" s="8"/>
    </row>
    <row r="695" spans="1:9">
      <c r="A695" s="8"/>
      <c r="C695" s="2">
        <f>F695/Instructions!$B$5</f>
        <v>0</v>
      </c>
      <c r="D695" s="2">
        <f>G695/Instructions!$B$5</f>
        <v>0</v>
      </c>
      <c r="E695" s="2">
        <f t="shared" si="11"/>
        <v>0</v>
      </c>
      <c r="F695" s="9"/>
      <c r="G695" s="9"/>
      <c r="H695" s="2">
        <f>IF(SUM(F695:G695)&gt;Instructions!$B$5,"Error",SUM(F695:G695))</f>
        <v>0</v>
      </c>
      <c r="I695" s="8"/>
    </row>
    <row r="696" spans="1:9">
      <c r="A696" s="8"/>
      <c r="C696" s="2">
        <f>F696/Instructions!$B$5</f>
        <v>0</v>
      </c>
      <c r="D696" s="2">
        <f>G696/Instructions!$B$5</f>
        <v>0</v>
      </c>
      <c r="E696" s="2">
        <f t="shared" si="11"/>
        <v>0</v>
      </c>
      <c r="F696" s="9"/>
      <c r="G696" s="9"/>
      <c r="H696" s="2">
        <f>IF(SUM(F696:G696)&gt;Instructions!$B$5,"Error",SUM(F696:G696))</f>
        <v>0</v>
      </c>
      <c r="I696" s="8"/>
    </row>
    <row r="697" spans="1:9">
      <c r="A697" s="8"/>
      <c r="C697" s="2">
        <f>F697/Instructions!$B$5</f>
        <v>0</v>
      </c>
      <c r="D697" s="2">
        <f>G697/Instructions!$B$5</f>
        <v>0</v>
      </c>
      <c r="E697" s="2">
        <f t="shared" si="11"/>
        <v>0</v>
      </c>
      <c r="F697" s="9"/>
      <c r="G697" s="9"/>
      <c r="H697" s="2">
        <f>IF(SUM(F697:G697)&gt;Instructions!$B$5,"Error",SUM(F697:G697))</f>
        <v>0</v>
      </c>
      <c r="I697" s="8"/>
    </row>
    <row r="698" spans="1:9">
      <c r="A698" s="8"/>
      <c r="C698" s="2">
        <f>F698/Instructions!$B$5</f>
        <v>0</v>
      </c>
      <c r="D698" s="2">
        <f>G698/Instructions!$B$5</f>
        <v>0</v>
      </c>
      <c r="E698" s="2">
        <f t="shared" si="11"/>
        <v>0</v>
      </c>
      <c r="F698" s="9"/>
      <c r="G698" s="9"/>
      <c r="H698" s="2">
        <f>IF(SUM(F698:G698)&gt;Instructions!$B$5,"Error",SUM(F698:G698))</f>
        <v>0</v>
      </c>
      <c r="I698" s="8"/>
    </row>
    <row r="699" spans="1:9">
      <c r="A699" s="8"/>
      <c r="C699" s="2">
        <f>F699/Instructions!$B$5</f>
        <v>0</v>
      </c>
      <c r="D699" s="2">
        <f>G699/Instructions!$B$5</f>
        <v>0</v>
      </c>
      <c r="E699" s="2">
        <f t="shared" si="11"/>
        <v>0</v>
      </c>
      <c r="F699" s="9"/>
      <c r="G699" s="9"/>
      <c r="H699" s="2">
        <f>IF(SUM(F699:G699)&gt;Instructions!$B$5,"Error",SUM(F699:G699))</f>
        <v>0</v>
      </c>
      <c r="I699" s="8"/>
    </row>
    <row r="700" spans="1:9">
      <c r="A700" s="8"/>
      <c r="C700" s="2">
        <f>F700/Instructions!$B$5</f>
        <v>0</v>
      </c>
      <c r="D700" s="2">
        <f>G700/Instructions!$B$5</f>
        <v>0</v>
      </c>
      <c r="E700" s="2">
        <f t="shared" si="11"/>
        <v>0</v>
      </c>
      <c r="F700" s="9"/>
      <c r="G700" s="9"/>
      <c r="H700" s="2">
        <f>IF(SUM(F700:G700)&gt;Instructions!$B$5,"Error",SUM(F700:G700))</f>
        <v>0</v>
      </c>
      <c r="I700" s="8"/>
    </row>
    <row r="701" spans="1:9">
      <c r="A701" s="8"/>
      <c r="C701" s="2">
        <f>F701/Instructions!$B$5</f>
        <v>0</v>
      </c>
      <c r="D701" s="2">
        <f>G701/Instructions!$B$5</f>
        <v>0</v>
      </c>
      <c r="E701" s="2">
        <f t="shared" si="11"/>
        <v>0</v>
      </c>
      <c r="F701" s="9"/>
      <c r="G701" s="9"/>
      <c r="H701" s="2">
        <f>IF(SUM(F701:G701)&gt;Instructions!$B$5,"Error",SUM(F701:G701))</f>
        <v>0</v>
      </c>
      <c r="I701" s="8"/>
    </row>
    <row r="702" spans="1:9">
      <c r="A702" s="8"/>
      <c r="C702" s="2">
        <f>F702/Instructions!$B$5</f>
        <v>0</v>
      </c>
      <c r="D702" s="2">
        <f>G702/Instructions!$B$5</f>
        <v>0</v>
      </c>
      <c r="E702" s="2">
        <f t="shared" si="11"/>
        <v>0</v>
      </c>
      <c r="F702" s="9"/>
      <c r="G702" s="9"/>
      <c r="H702" s="2">
        <f>IF(SUM(F702:G702)&gt;Instructions!$B$5,"Error",SUM(F702:G702))</f>
        <v>0</v>
      </c>
      <c r="I702" s="8"/>
    </row>
    <row r="703" spans="1:9">
      <c r="A703" s="8"/>
      <c r="C703" s="2">
        <f>F703/Instructions!$B$5</f>
        <v>0</v>
      </c>
      <c r="D703" s="2">
        <f>G703/Instructions!$B$5</f>
        <v>0</v>
      </c>
      <c r="E703" s="2">
        <f t="shared" si="11"/>
        <v>0</v>
      </c>
      <c r="F703" s="9"/>
      <c r="G703" s="9"/>
      <c r="H703" s="2">
        <f>IF(SUM(F703:G703)&gt;Instructions!$B$5,"Error",SUM(F703:G703))</f>
        <v>0</v>
      </c>
      <c r="I703" s="8"/>
    </row>
    <row r="704" spans="1:9">
      <c r="A704" s="8"/>
      <c r="C704" s="2">
        <f>F704/Instructions!$B$5</f>
        <v>0</v>
      </c>
      <c r="D704" s="2">
        <f>G704/Instructions!$B$5</f>
        <v>0</v>
      </c>
      <c r="E704" s="2">
        <f t="shared" si="11"/>
        <v>0</v>
      </c>
      <c r="F704" s="9"/>
      <c r="G704" s="9"/>
      <c r="H704" s="2">
        <f>IF(SUM(F704:G704)&gt;Instructions!$B$5,"Error",SUM(F704:G704))</f>
        <v>0</v>
      </c>
      <c r="I704" s="8"/>
    </row>
    <row r="705" spans="1:9">
      <c r="A705" s="8"/>
      <c r="C705" s="2">
        <f>F705/Instructions!$B$5</f>
        <v>0</v>
      </c>
      <c r="D705" s="2">
        <f>G705/Instructions!$B$5</f>
        <v>0</v>
      </c>
      <c r="E705" s="2">
        <f t="shared" si="11"/>
        <v>0</v>
      </c>
      <c r="F705" s="9"/>
      <c r="G705" s="9"/>
      <c r="H705" s="2">
        <f>IF(SUM(F705:G705)&gt;Instructions!$B$5,"Error",SUM(F705:G705))</f>
        <v>0</v>
      </c>
      <c r="I705" s="8"/>
    </row>
    <row r="706" spans="1:9">
      <c r="A706" s="8"/>
      <c r="C706" s="2">
        <f>F706/Instructions!$B$5</f>
        <v>0</v>
      </c>
      <c r="D706" s="2">
        <f>G706/Instructions!$B$5</f>
        <v>0</v>
      </c>
      <c r="E706" s="2">
        <f t="shared" si="11"/>
        <v>0</v>
      </c>
      <c r="F706" s="9"/>
      <c r="G706" s="9"/>
      <c r="H706" s="2">
        <f>IF(SUM(F706:G706)&gt;Instructions!$B$5,"Error",SUM(F706:G706))</f>
        <v>0</v>
      </c>
      <c r="I706" s="8"/>
    </row>
    <row r="707" spans="1:9">
      <c r="A707" s="8"/>
      <c r="C707" s="2">
        <f>F707/Instructions!$B$5</f>
        <v>0</v>
      </c>
      <c r="D707" s="2">
        <f>G707/Instructions!$B$5</f>
        <v>0</v>
      </c>
      <c r="E707" s="2">
        <f t="shared" si="11"/>
        <v>0</v>
      </c>
      <c r="F707" s="9"/>
      <c r="G707" s="9"/>
      <c r="H707" s="2">
        <f>IF(SUM(F707:G707)&gt;Instructions!$B$5,"Error",SUM(F707:G707))</f>
        <v>0</v>
      </c>
      <c r="I707" s="8"/>
    </row>
    <row r="708" spans="1:9">
      <c r="A708" s="8"/>
      <c r="C708" s="2">
        <f>F708/Instructions!$B$5</f>
        <v>0</v>
      </c>
      <c r="D708" s="2">
        <f>G708/Instructions!$B$5</f>
        <v>0</v>
      </c>
      <c r="E708" s="2">
        <f t="shared" si="11"/>
        <v>0</v>
      </c>
      <c r="F708" s="9"/>
      <c r="G708" s="9"/>
      <c r="H708" s="2">
        <f>IF(SUM(F708:G708)&gt;Instructions!$B$5,"Error",SUM(F708:G708))</f>
        <v>0</v>
      </c>
      <c r="I708" s="8"/>
    </row>
    <row r="709" spans="1:9">
      <c r="A709" s="8"/>
      <c r="C709" s="2">
        <f>F709/Instructions!$B$5</f>
        <v>0</v>
      </c>
      <c r="D709" s="2">
        <f>G709/Instructions!$B$5</f>
        <v>0</v>
      </c>
      <c r="E709" s="2">
        <f t="shared" si="11"/>
        <v>0</v>
      </c>
      <c r="F709" s="9"/>
      <c r="G709" s="9"/>
      <c r="H709" s="2">
        <f>IF(SUM(F709:G709)&gt;Instructions!$B$5,"Error",SUM(F709:G709))</f>
        <v>0</v>
      </c>
      <c r="I709" s="8"/>
    </row>
    <row r="710" spans="1:9">
      <c r="A710" s="8"/>
      <c r="C710" s="2">
        <f>F710/Instructions!$B$5</f>
        <v>0</v>
      </c>
      <c r="D710" s="2">
        <f>G710/Instructions!$B$5</f>
        <v>0</v>
      </c>
      <c r="E710" s="2">
        <f t="shared" si="11"/>
        <v>0</v>
      </c>
      <c r="F710" s="9"/>
      <c r="G710" s="9"/>
      <c r="H710" s="2">
        <f>IF(SUM(F710:G710)&gt;Instructions!$B$5,"Error",SUM(F710:G710))</f>
        <v>0</v>
      </c>
      <c r="I710" s="8"/>
    </row>
    <row r="711" spans="1:9">
      <c r="A711" s="8"/>
      <c r="C711" s="2">
        <f>F711/Instructions!$B$5</f>
        <v>0</v>
      </c>
      <c r="D711" s="2">
        <f>G711/Instructions!$B$5</f>
        <v>0</v>
      </c>
      <c r="E711" s="2">
        <f t="shared" si="11"/>
        <v>0</v>
      </c>
      <c r="F711" s="9"/>
      <c r="G711" s="9"/>
      <c r="H711" s="2">
        <f>IF(SUM(F711:G711)&gt;Instructions!$B$5,"Error",SUM(F711:G711))</f>
        <v>0</v>
      </c>
      <c r="I711" s="8"/>
    </row>
    <row r="712" spans="1:9">
      <c r="A712" s="8"/>
      <c r="C712" s="2">
        <f>F712/Instructions!$B$5</f>
        <v>0</v>
      </c>
      <c r="D712" s="2">
        <f>G712/Instructions!$B$5</f>
        <v>0</v>
      </c>
      <c r="E712" s="2">
        <f t="shared" ref="E712:E775" si="12">IF(SUM(C712:D712)&gt;1,"Error",SUM(C712:D712))</f>
        <v>0</v>
      </c>
      <c r="F712" s="9"/>
      <c r="G712" s="9"/>
      <c r="H712" s="2">
        <f>IF(SUM(F712:G712)&gt;Instructions!$B$5,"Error",SUM(F712:G712))</f>
        <v>0</v>
      </c>
      <c r="I712" s="8"/>
    </row>
    <row r="713" spans="1:9">
      <c r="A713" s="8"/>
      <c r="C713" s="2">
        <f>F713/Instructions!$B$5</f>
        <v>0</v>
      </c>
      <c r="D713" s="2">
        <f>G713/Instructions!$B$5</f>
        <v>0</v>
      </c>
      <c r="E713" s="2">
        <f t="shared" si="12"/>
        <v>0</v>
      </c>
      <c r="F713" s="9"/>
      <c r="G713" s="9"/>
      <c r="H713" s="2">
        <f>IF(SUM(F713:G713)&gt;Instructions!$B$5,"Error",SUM(F713:G713))</f>
        <v>0</v>
      </c>
      <c r="I713" s="8"/>
    </row>
    <row r="714" spans="1:9">
      <c r="A714" s="8"/>
      <c r="C714" s="2">
        <f>F714/Instructions!$B$5</f>
        <v>0</v>
      </c>
      <c r="D714" s="2">
        <f>G714/Instructions!$B$5</f>
        <v>0</v>
      </c>
      <c r="E714" s="2">
        <f t="shared" si="12"/>
        <v>0</v>
      </c>
      <c r="F714" s="9"/>
      <c r="G714" s="9"/>
      <c r="H714" s="2">
        <f>IF(SUM(F714:G714)&gt;Instructions!$B$5,"Error",SUM(F714:G714))</f>
        <v>0</v>
      </c>
      <c r="I714" s="8"/>
    </row>
    <row r="715" spans="1:9">
      <c r="A715" s="8"/>
      <c r="C715" s="2">
        <f>F715/Instructions!$B$5</f>
        <v>0</v>
      </c>
      <c r="D715" s="2">
        <f>G715/Instructions!$B$5</f>
        <v>0</v>
      </c>
      <c r="E715" s="2">
        <f t="shared" si="12"/>
        <v>0</v>
      </c>
      <c r="F715" s="9"/>
      <c r="G715" s="9"/>
      <c r="H715" s="2">
        <f>IF(SUM(F715:G715)&gt;Instructions!$B$5,"Error",SUM(F715:G715))</f>
        <v>0</v>
      </c>
      <c r="I715" s="8"/>
    </row>
    <row r="716" spans="1:9">
      <c r="A716" s="8"/>
      <c r="C716" s="2">
        <f>F716/Instructions!$B$5</f>
        <v>0</v>
      </c>
      <c r="D716" s="2">
        <f>G716/Instructions!$B$5</f>
        <v>0</v>
      </c>
      <c r="E716" s="2">
        <f t="shared" si="12"/>
        <v>0</v>
      </c>
      <c r="F716" s="9"/>
      <c r="G716" s="9"/>
      <c r="H716" s="2">
        <f>IF(SUM(F716:G716)&gt;Instructions!$B$5,"Error",SUM(F716:G716))</f>
        <v>0</v>
      </c>
      <c r="I716" s="8"/>
    </row>
    <row r="717" spans="1:9">
      <c r="A717" s="8"/>
      <c r="C717" s="2">
        <f>F717/Instructions!$B$5</f>
        <v>0</v>
      </c>
      <c r="D717" s="2">
        <f>G717/Instructions!$B$5</f>
        <v>0</v>
      </c>
      <c r="E717" s="2">
        <f t="shared" si="12"/>
        <v>0</v>
      </c>
      <c r="F717" s="9"/>
      <c r="G717" s="9"/>
      <c r="H717" s="2">
        <f>IF(SUM(F717:G717)&gt;Instructions!$B$5,"Error",SUM(F717:G717))</f>
        <v>0</v>
      </c>
      <c r="I717" s="8"/>
    </row>
    <row r="718" spans="1:9">
      <c r="A718" s="8"/>
      <c r="C718" s="2">
        <f>F718/Instructions!$B$5</f>
        <v>0</v>
      </c>
      <c r="D718" s="2">
        <f>G718/Instructions!$B$5</f>
        <v>0</v>
      </c>
      <c r="E718" s="2">
        <f t="shared" si="12"/>
        <v>0</v>
      </c>
      <c r="F718" s="9"/>
      <c r="G718" s="9"/>
      <c r="H718" s="2">
        <f>IF(SUM(F718:G718)&gt;Instructions!$B$5,"Error",SUM(F718:G718))</f>
        <v>0</v>
      </c>
      <c r="I718" s="8"/>
    </row>
    <row r="719" spans="1:9">
      <c r="A719" s="8"/>
      <c r="C719" s="2">
        <f>F719/Instructions!$B$5</f>
        <v>0</v>
      </c>
      <c r="D719" s="2">
        <f>G719/Instructions!$B$5</f>
        <v>0</v>
      </c>
      <c r="E719" s="2">
        <f t="shared" si="12"/>
        <v>0</v>
      </c>
      <c r="F719" s="9"/>
      <c r="G719" s="9"/>
      <c r="H719" s="2">
        <f>IF(SUM(F719:G719)&gt;Instructions!$B$5,"Error",SUM(F719:G719))</f>
        <v>0</v>
      </c>
      <c r="I719" s="8"/>
    </row>
    <row r="720" spans="1:9">
      <c r="A720" s="8"/>
      <c r="C720" s="2">
        <f>F720/Instructions!$B$5</f>
        <v>0</v>
      </c>
      <c r="D720" s="2">
        <f>G720/Instructions!$B$5</f>
        <v>0</v>
      </c>
      <c r="E720" s="2">
        <f t="shared" si="12"/>
        <v>0</v>
      </c>
      <c r="F720" s="9"/>
      <c r="G720" s="9"/>
      <c r="H720" s="2">
        <f>IF(SUM(F720:G720)&gt;Instructions!$B$5,"Error",SUM(F720:G720))</f>
        <v>0</v>
      </c>
      <c r="I720" s="8"/>
    </row>
    <row r="721" spans="1:9">
      <c r="A721" s="8"/>
      <c r="C721" s="2">
        <f>F721/Instructions!$B$5</f>
        <v>0</v>
      </c>
      <c r="D721" s="2">
        <f>G721/Instructions!$B$5</f>
        <v>0</v>
      </c>
      <c r="E721" s="2">
        <f t="shared" si="12"/>
        <v>0</v>
      </c>
      <c r="F721" s="9"/>
      <c r="G721" s="9"/>
      <c r="H721" s="2">
        <f>IF(SUM(F721:G721)&gt;Instructions!$B$5,"Error",SUM(F721:G721))</f>
        <v>0</v>
      </c>
      <c r="I721" s="8"/>
    </row>
    <row r="722" spans="1:9">
      <c r="A722" s="8"/>
      <c r="C722" s="2">
        <f>F722/Instructions!$B$5</f>
        <v>0</v>
      </c>
      <c r="D722" s="2">
        <f>G722/Instructions!$B$5</f>
        <v>0</v>
      </c>
      <c r="E722" s="2">
        <f t="shared" si="12"/>
        <v>0</v>
      </c>
      <c r="F722" s="9"/>
      <c r="G722" s="9"/>
      <c r="H722" s="2">
        <f>IF(SUM(F722:G722)&gt;Instructions!$B$5,"Error",SUM(F722:G722))</f>
        <v>0</v>
      </c>
      <c r="I722" s="8"/>
    </row>
    <row r="723" spans="1:9">
      <c r="A723" s="8"/>
      <c r="C723" s="2">
        <f>F723/Instructions!$B$5</f>
        <v>0</v>
      </c>
      <c r="D723" s="2">
        <f>G723/Instructions!$B$5</f>
        <v>0</v>
      </c>
      <c r="E723" s="2">
        <f t="shared" si="12"/>
        <v>0</v>
      </c>
      <c r="F723" s="9"/>
      <c r="G723" s="9"/>
      <c r="H723" s="2">
        <f>IF(SUM(F723:G723)&gt;Instructions!$B$5,"Error",SUM(F723:G723))</f>
        <v>0</v>
      </c>
      <c r="I723" s="8"/>
    </row>
    <row r="724" spans="1:9">
      <c r="A724" s="8"/>
      <c r="C724" s="2">
        <f>F724/Instructions!$B$5</f>
        <v>0</v>
      </c>
      <c r="D724" s="2">
        <f>G724/Instructions!$B$5</f>
        <v>0</v>
      </c>
      <c r="E724" s="2">
        <f t="shared" si="12"/>
        <v>0</v>
      </c>
      <c r="F724" s="9"/>
      <c r="G724" s="9"/>
      <c r="H724" s="2">
        <f>IF(SUM(F724:G724)&gt;Instructions!$B$5,"Error",SUM(F724:G724))</f>
        <v>0</v>
      </c>
      <c r="I724" s="8"/>
    </row>
    <row r="725" spans="1:9">
      <c r="A725" s="8"/>
      <c r="C725" s="2">
        <f>F725/Instructions!$B$5</f>
        <v>0</v>
      </c>
      <c r="D725" s="2">
        <f>G725/Instructions!$B$5</f>
        <v>0</v>
      </c>
      <c r="E725" s="2">
        <f t="shared" si="12"/>
        <v>0</v>
      </c>
      <c r="F725" s="9"/>
      <c r="G725" s="9"/>
      <c r="H725" s="2">
        <f>IF(SUM(F725:G725)&gt;Instructions!$B$5,"Error",SUM(F725:G725))</f>
        <v>0</v>
      </c>
      <c r="I725" s="8"/>
    </row>
    <row r="726" spans="1:9">
      <c r="A726" s="8"/>
      <c r="C726" s="2">
        <f>F726/Instructions!$B$5</f>
        <v>0</v>
      </c>
      <c r="D726" s="2">
        <f>G726/Instructions!$B$5</f>
        <v>0</v>
      </c>
      <c r="E726" s="2">
        <f t="shared" si="12"/>
        <v>0</v>
      </c>
      <c r="F726" s="9"/>
      <c r="G726" s="9"/>
      <c r="H726" s="2">
        <f>IF(SUM(F726:G726)&gt;Instructions!$B$5,"Error",SUM(F726:G726))</f>
        <v>0</v>
      </c>
      <c r="I726" s="8"/>
    </row>
    <row r="727" spans="1:9">
      <c r="A727" s="8"/>
      <c r="C727" s="2">
        <f>F727/Instructions!$B$5</f>
        <v>0</v>
      </c>
      <c r="D727" s="2">
        <f>G727/Instructions!$B$5</f>
        <v>0</v>
      </c>
      <c r="E727" s="2">
        <f t="shared" si="12"/>
        <v>0</v>
      </c>
      <c r="F727" s="9"/>
      <c r="G727" s="9"/>
      <c r="H727" s="2">
        <f>IF(SUM(F727:G727)&gt;Instructions!$B$5,"Error",SUM(F727:G727))</f>
        <v>0</v>
      </c>
      <c r="I727" s="8"/>
    </row>
    <row r="728" spans="1:9">
      <c r="A728" s="8"/>
      <c r="C728" s="2">
        <f>F728/Instructions!$B$5</f>
        <v>0</v>
      </c>
      <c r="D728" s="2">
        <f>G728/Instructions!$B$5</f>
        <v>0</v>
      </c>
      <c r="E728" s="2">
        <f t="shared" si="12"/>
        <v>0</v>
      </c>
      <c r="F728" s="9"/>
      <c r="G728" s="9"/>
      <c r="H728" s="2">
        <f>IF(SUM(F728:G728)&gt;Instructions!$B$5,"Error",SUM(F728:G728))</f>
        <v>0</v>
      </c>
      <c r="I728" s="8"/>
    </row>
    <row r="729" spans="1:9">
      <c r="A729" s="8"/>
      <c r="C729" s="2">
        <f>F729/Instructions!$B$5</f>
        <v>0</v>
      </c>
      <c r="D729" s="2">
        <f>G729/Instructions!$B$5</f>
        <v>0</v>
      </c>
      <c r="E729" s="2">
        <f t="shared" si="12"/>
        <v>0</v>
      </c>
      <c r="F729" s="9"/>
      <c r="G729" s="9"/>
      <c r="H729" s="2">
        <f>IF(SUM(F729:G729)&gt;Instructions!$B$5,"Error",SUM(F729:G729))</f>
        <v>0</v>
      </c>
      <c r="I729" s="8"/>
    </row>
    <row r="730" spans="1:9">
      <c r="A730" s="8"/>
      <c r="C730" s="2">
        <f>F730/Instructions!$B$5</f>
        <v>0</v>
      </c>
      <c r="D730" s="2">
        <f>G730/Instructions!$B$5</f>
        <v>0</v>
      </c>
      <c r="E730" s="2">
        <f t="shared" si="12"/>
        <v>0</v>
      </c>
      <c r="F730" s="9"/>
      <c r="G730" s="9"/>
      <c r="H730" s="2">
        <f>IF(SUM(F730:G730)&gt;Instructions!$B$5,"Error",SUM(F730:G730))</f>
        <v>0</v>
      </c>
      <c r="I730" s="8"/>
    </row>
    <row r="731" spans="1:9">
      <c r="A731" s="8"/>
      <c r="C731" s="2">
        <f>F731/Instructions!$B$5</f>
        <v>0</v>
      </c>
      <c r="D731" s="2">
        <f>G731/Instructions!$B$5</f>
        <v>0</v>
      </c>
      <c r="E731" s="2">
        <f t="shared" si="12"/>
        <v>0</v>
      </c>
      <c r="F731" s="9"/>
      <c r="G731" s="9"/>
      <c r="H731" s="2">
        <f>IF(SUM(F731:G731)&gt;Instructions!$B$5,"Error",SUM(F731:G731))</f>
        <v>0</v>
      </c>
      <c r="I731" s="8"/>
    </row>
    <row r="732" spans="1:9">
      <c r="A732" s="8"/>
      <c r="C732" s="2">
        <f>F732/Instructions!$B$5</f>
        <v>0</v>
      </c>
      <c r="D732" s="2">
        <f>G732/Instructions!$B$5</f>
        <v>0</v>
      </c>
      <c r="E732" s="2">
        <f t="shared" si="12"/>
        <v>0</v>
      </c>
      <c r="F732" s="9"/>
      <c r="G732" s="9"/>
      <c r="H732" s="2">
        <f>IF(SUM(F732:G732)&gt;Instructions!$B$5,"Error",SUM(F732:G732))</f>
        <v>0</v>
      </c>
      <c r="I732" s="8"/>
    </row>
    <row r="733" spans="1:9">
      <c r="A733" s="8"/>
      <c r="C733" s="2">
        <f>F733/Instructions!$B$5</f>
        <v>0</v>
      </c>
      <c r="D733" s="2">
        <f>G733/Instructions!$B$5</f>
        <v>0</v>
      </c>
      <c r="E733" s="2">
        <f t="shared" si="12"/>
        <v>0</v>
      </c>
      <c r="F733" s="9"/>
      <c r="G733" s="9"/>
      <c r="H733" s="2">
        <f>IF(SUM(F733:G733)&gt;Instructions!$B$5,"Error",SUM(F733:G733))</f>
        <v>0</v>
      </c>
      <c r="I733" s="8"/>
    </row>
    <row r="734" spans="1:9">
      <c r="A734" s="8"/>
      <c r="C734" s="2">
        <f>F734/Instructions!$B$5</f>
        <v>0</v>
      </c>
      <c r="D734" s="2">
        <f>G734/Instructions!$B$5</f>
        <v>0</v>
      </c>
      <c r="E734" s="2">
        <f t="shared" si="12"/>
        <v>0</v>
      </c>
      <c r="F734" s="9"/>
      <c r="G734" s="9"/>
      <c r="H734" s="2">
        <f>IF(SUM(F734:G734)&gt;Instructions!$B$5,"Error",SUM(F734:G734))</f>
        <v>0</v>
      </c>
      <c r="I734" s="8"/>
    </row>
    <row r="735" spans="1:9">
      <c r="A735" s="8"/>
      <c r="C735" s="2">
        <f>F735/Instructions!$B$5</f>
        <v>0</v>
      </c>
      <c r="D735" s="2">
        <f>G735/Instructions!$B$5</f>
        <v>0</v>
      </c>
      <c r="E735" s="2">
        <f t="shared" si="12"/>
        <v>0</v>
      </c>
      <c r="F735" s="9"/>
      <c r="G735" s="9"/>
      <c r="H735" s="2">
        <f>IF(SUM(F735:G735)&gt;Instructions!$B$5,"Error",SUM(F735:G735))</f>
        <v>0</v>
      </c>
      <c r="I735" s="8"/>
    </row>
    <row r="736" spans="1:9">
      <c r="A736" s="8"/>
      <c r="C736" s="2">
        <f>F736/Instructions!$B$5</f>
        <v>0</v>
      </c>
      <c r="D736" s="2">
        <f>G736/Instructions!$B$5</f>
        <v>0</v>
      </c>
      <c r="E736" s="2">
        <f t="shared" si="12"/>
        <v>0</v>
      </c>
      <c r="F736" s="9"/>
      <c r="G736" s="9"/>
      <c r="H736" s="2">
        <f>IF(SUM(F736:G736)&gt;Instructions!$B$5,"Error",SUM(F736:G736))</f>
        <v>0</v>
      </c>
      <c r="I736" s="8"/>
    </row>
    <row r="737" spans="1:9">
      <c r="A737" s="8"/>
      <c r="C737" s="2">
        <f>F737/Instructions!$B$5</f>
        <v>0</v>
      </c>
      <c r="D737" s="2">
        <f>G737/Instructions!$B$5</f>
        <v>0</v>
      </c>
      <c r="E737" s="2">
        <f t="shared" si="12"/>
        <v>0</v>
      </c>
      <c r="F737" s="9"/>
      <c r="G737" s="9"/>
      <c r="H737" s="2">
        <f>IF(SUM(F737:G737)&gt;Instructions!$B$5,"Error",SUM(F737:G737))</f>
        <v>0</v>
      </c>
      <c r="I737" s="8"/>
    </row>
    <row r="738" spans="1:9">
      <c r="A738" s="8"/>
      <c r="C738" s="2">
        <f>F738/Instructions!$B$5</f>
        <v>0</v>
      </c>
      <c r="D738" s="2">
        <f>G738/Instructions!$B$5</f>
        <v>0</v>
      </c>
      <c r="E738" s="2">
        <f t="shared" si="12"/>
        <v>0</v>
      </c>
      <c r="F738" s="9"/>
      <c r="G738" s="9"/>
      <c r="H738" s="2">
        <f>IF(SUM(F738:G738)&gt;Instructions!$B$5,"Error",SUM(F738:G738))</f>
        <v>0</v>
      </c>
      <c r="I738" s="8"/>
    </row>
    <row r="739" spans="1:9">
      <c r="A739" s="8"/>
      <c r="C739" s="2">
        <f>F739/Instructions!$B$5</f>
        <v>0</v>
      </c>
      <c r="D739" s="2">
        <f>G739/Instructions!$B$5</f>
        <v>0</v>
      </c>
      <c r="E739" s="2">
        <f t="shared" si="12"/>
        <v>0</v>
      </c>
      <c r="F739" s="9"/>
      <c r="G739" s="9"/>
      <c r="H739" s="2">
        <f>IF(SUM(F739:G739)&gt;Instructions!$B$5,"Error",SUM(F739:G739))</f>
        <v>0</v>
      </c>
      <c r="I739" s="8"/>
    </row>
    <row r="740" spans="1:9">
      <c r="A740" s="8"/>
      <c r="C740" s="2">
        <f>F740/Instructions!$B$5</f>
        <v>0</v>
      </c>
      <c r="D740" s="2">
        <f>G740/Instructions!$B$5</f>
        <v>0</v>
      </c>
      <c r="E740" s="2">
        <f t="shared" si="12"/>
        <v>0</v>
      </c>
      <c r="F740" s="9"/>
      <c r="G740" s="9"/>
      <c r="H740" s="2">
        <f>IF(SUM(F740:G740)&gt;Instructions!$B$5,"Error",SUM(F740:G740))</f>
        <v>0</v>
      </c>
      <c r="I740" s="8"/>
    </row>
    <row r="741" spans="1:9">
      <c r="A741" s="8"/>
      <c r="C741" s="2">
        <f>F741/Instructions!$B$5</f>
        <v>0</v>
      </c>
      <c r="D741" s="2">
        <f>G741/Instructions!$B$5</f>
        <v>0</v>
      </c>
      <c r="E741" s="2">
        <f t="shared" si="12"/>
        <v>0</v>
      </c>
      <c r="F741" s="9"/>
      <c r="G741" s="9"/>
      <c r="H741" s="2">
        <f>IF(SUM(F741:G741)&gt;Instructions!$B$5,"Error",SUM(F741:G741))</f>
        <v>0</v>
      </c>
      <c r="I741" s="8"/>
    </row>
    <row r="742" spans="1:9">
      <c r="A742" s="8"/>
      <c r="C742" s="2">
        <f>F742/Instructions!$B$5</f>
        <v>0</v>
      </c>
      <c r="D742" s="2">
        <f>G742/Instructions!$B$5</f>
        <v>0</v>
      </c>
      <c r="E742" s="2">
        <f t="shared" si="12"/>
        <v>0</v>
      </c>
      <c r="F742" s="9"/>
      <c r="G742" s="9"/>
      <c r="H742" s="2">
        <f>IF(SUM(F742:G742)&gt;Instructions!$B$5,"Error",SUM(F742:G742))</f>
        <v>0</v>
      </c>
      <c r="I742" s="8"/>
    </row>
    <row r="743" spans="1:9">
      <c r="A743" s="8"/>
      <c r="C743" s="2">
        <f>F743/Instructions!$B$5</f>
        <v>0</v>
      </c>
      <c r="D743" s="2">
        <f>G743/Instructions!$B$5</f>
        <v>0</v>
      </c>
      <c r="E743" s="2">
        <f t="shared" si="12"/>
        <v>0</v>
      </c>
      <c r="F743" s="9"/>
      <c r="G743" s="9"/>
      <c r="H743" s="2">
        <f>IF(SUM(F743:G743)&gt;Instructions!$B$5,"Error",SUM(F743:G743))</f>
        <v>0</v>
      </c>
      <c r="I743" s="8"/>
    </row>
    <row r="744" spans="1:9">
      <c r="A744" s="8"/>
      <c r="C744" s="2">
        <f>F744/Instructions!$B$5</f>
        <v>0</v>
      </c>
      <c r="D744" s="2">
        <f>G744/Instructions!$B$5</f>
        <v>0</v>
      </c>
      <c r="E744" s="2">
        <f t="shared" si="12"/>
        <v>0</v>
      </c>
      <c r="F744" s="9"/>
      <c r="G744" s="9"/>
      <c r="H744" s="2">
        <f>IF(SUM(F744:G744)&gt;Instructions!$B$5,"Error",SUM(F744:G744))</f>
        <v>0</v>
      </c>
      <c r="I744" s="8"/>
    </row>
    <row r="745" spans="1:9">
      <c r="A745" s="8"/>
      <c r="C745" s="2">
        <f>F745/Instructions!$B$5</f>
        <v>0</v>
      </c>
      <c r="D745" s="2">
        <f>G745/Instructions!$B$5</f>
        <v>0</v>
      </c>
      <c r="E745" s="2">
        <f t="shared" si="12"/>
        <v>0</v>
      </c>
      <c r="F745" s="9"/>
      <c r="G745" s="9"/>
      <c r="H745" s="2">
        <f>IF(SUM(F745:G745)&gt;Instructions!$B$5,"Error",SUM(F745:G745))</f>
        <v>0</v>
      </c>
      <c r="I745" s="8"/>
    </row>
    <row r="746" spans="1:9">
      <c r="A746" s="8"/>
      <c r="C746" s="2">
        <f>F746/Instructions!$B$5</f>
        <v>0</v>
      </c>
      <c r="D746" s="2">
        <f>G746/Instructions!$B$5</f>
        <v>0</v>
      </c>
      <c r="E746" s="2">
        <f t="shared" si="12"/>
        <v>0</v>
      </c>
      <c r="F746" s="9"/>
      <c r="G746" s="9"/>
      <c r="H746" s="2">
        <f>IF(SUM(F746:G746)&gt;Instructions!$B$5,"Error",SUM(F746:G746))</f>
        <v>0</v>
      </c>
      <c r="I746" s="8"/>
    </row>
    <row r="747" spans="1:9">
      <c r="A747" s="8"/>
      <c r="C747" s="2">
        <f>F747/Instructions!$B$5</f>
        <v>0</v>
      </c>
      <c r="D747" s="2">
        <f>G747/Instructions!$B$5</f>
        <v>0</v>
      </c>
      <c r="E747" s="2">
        <f t="shared" si="12"/>
        <v>0</v>
      </c>
      <c r="F747" s="9"/>
      <c r="G747" s="9"/>
      <c r="H747" s="2">
        <f>IF(SUM(F747:G747)&gt;Instructions!$B$5,"Error",SUM(F747:G747))</f>
        <v>0</v>
      </c>
      <c r="I747" s="8"/>
    </row>
    <row r="748" spans="1:9">
      <c r="A748" s="8"/>
      <c r="C748" s="2">
        <f>F748/Instructions!$B$5</f>
        <v>0</v>
      </c>
      <c r="D748" s="2">
        <f>G748/Instructions!$B$5</f>
        <v>0</v>
      </c>
      <c r="E748" s="2">
        <f t="shared" si="12"/>
        <v>0</v>
      </c>
      <c r="F748" s="9"/>
      <c r="G748" s="9"/>
      <c r="H748" s="2">
        <f>IF(SUM(F748:G748)&gt;Instructions!$B$5,"Error",SUM(F748:G748))</f>
        <v>0</v>
      </c>
      <c r="I748" s="8"/>
    </row>
    <row r="749" spans="1:9">
      <c r="A749" s="8"/>
      <c r="C749" s="2">
        <f>F749/Instructions!$B$5</f>
        <v>0</v>
      </c>
      <c r="D749" s="2">
        <f>G749/Instructions!$B$5</f>
        <v>0</v>
      </c>
      <c r="E749" s="2">
        <f t="shared" si="12"/>
        <v>0</v>
      </c>
      <c r="F749" s="9"/>
      <c r="G749" s="9"/>
      <c r="H749" s="2">
        <f>IF(SUM(F749:G749)&gt;Instructions!$B$5,"Error",SUM(F749:G749))</f>
        <v>0</v>
      </c>
      <c r="I749" s="8"/>
    </row>
    <row r="750" spans="1:9">
      <c r="A750" s="8"/>
      <c r="C750" s="2">
        <f>F750/Instructions!$B$5</f>
        <v>0</v>
      </c>
      <c r="D750" s="2">
        <f>G750/Instructions!$B$5</f>
        <v>0</v>
      </c>
      <c r="E750" s="2">
        <f t="shared" si="12"/>
        <v>0</v>
      </c>
      <c r="F750" s="9"/>
      <c r="G750" s="9"/>
      <c r="H750" s="2">
        <f>IF(SUM(F750:G750)&gt;Instructions!$B$5,"Error",SUM(F750:G750))</f>
        <v>0</v>
      </c>
      <c r="I750" s="8"/>
    </row>
    <row r="751" spans="1:9">
      <c r="A751" s="8"/>
      <c r="C751" s="2">
        <f>F751/Instructions!$B$5</f>
        <v>0</v>
      </c>
      <c r="D751" s="2">
        <f>G751/Instructions!$B$5</f>
        <v>0</v>
      </c>
      <c r="E751" s="2">
        <f t="shared" si="12"/>
        <v>0</v>
      </c>
      <c r="F751" s="9"/>
      <c r="G751" s="9"/>
      <c r="H751" s="2">
        <f>IF(SUM(F751:G751)&gt;Instructions!$B$5,"Error",SUM(F751:G751))</f>
        <v>0</v>
      </c>
      <c r="I751" s="8"/>
    </row>
    <row r="752" spans="1:9">
      <c r="A752" s="8"/>
      <c r="C752" s="2">
        <f>F752/Instructions!$B$5</f>
        <v>0</v>
      </c>
      <c r="D752" s="2">
        <f>G752/Instructions!$B$5</f>
        <v>0</v>
      </c>
      <c r="E752" s="2">
        <f t="shared" si="12"/>
        <v>0</v>
      </c>
      <c r="F752" s="9"/>
      <c r="G752" s="9"/>
      <c r="H752" s="2">
        <f>IF(SUM(F752:G752)&gt;Instructions!$B$5,"Error",SUM(F752:G752))</f>
        <v>0</v>
      </c>
      <c r="I752" s="8"/>
    </row>
    <row r="753" spans="1:9">
      <c r="A753" s="8"/>
      <c r="C753" s="2">
        <f>F753/Instructions!$B$5</f>
        <v>0</v>
      </c>
      <c r="D753" s="2">
        <f>G753/Instructions!$B$5</f>
        <v>0</v>
      </c>
      <c r="E753" s="2">
        <f t="shared" si="12"/>
        <v>0</v>
      </c>
      <c r="F753" s="9"/>
      <c r="G753" s="9"/>
      <c r="H753" s="2">
        <f>IF(SUM(F753:G753)&gt;Instructions!$B$5,"Error",SUM(F753:G753))</f>
        <v>0</v>
      </c>
      <c r="I753" s="8"/>
    </row>
    <row r="754" spans="1:9">
      <c r="A754" s="8"/>
      <c r="C754" s="2">
        <f>F754/Instructions!$B$5</f>
        <v>0</v>
      </c>
      <c r="D754" s="2">
        <f>G754/Instructions!$B$5</f>
        <v>0</v>
      </c>
      <c r="E754" s="2">
        <f t="shared" si="12"/>
        <v>0</v>
      </c>
      <c r="F754" s="9"/>
      <c r="G754" s="9"/>
      <c r="H754" s="2">
        <f>IF(SUM(F754:G754)&gt;Instructions!$B$5,"Error",SUM(F754:G754))</f>
        <v>0</v>
      </c>
      <c r="I754" s="8"/>
    </row>
    <row r="755" spans="1:9">
      <c r="A755" s="8"/>
      <c r="C755" s="2">
        <f>F755/Instructions!$B$5</f>
        <v>0</v>
      </c>
      <c r="D755" s="2">
        <f>G755/Instructions!$B$5</f>
        <v>0</v>
      </c>
      <c r="E755" s="2">
        <f t="shared" si="12"/>
        <v>0</v>
      </c>
      <c r="F755" s="9"/>
      <c r="G755" s="9"/>
      <c r="H755" s="2">
        <f>IF(SUM(F755:G755)&gt;Instructions!$B$5,"Error",SUM(F755:G755))</f>
        <v>0</v>
      </c>
      <c r="I755" s="8"/>
    </row>
    <row r="756" spans="1:9">
      <c r="A756" s="8"/>
      <c r="C756" s="2">
        <f>F756/Instructions!$B$5</f>
        <v>0</v>
      </c>
      <c r="D756" s="2">
        <f>G756/Instructions!$B$5</f>
        <v>0</v>
      </c>
      <c r="E756" s="2">
        <f t="shared" si="12"/>
        <v>0</v>
      </c>
      <c r="F756" s="9"/>
      <c r="G756" s="9"/>
      <c r="H756" s="2">
        <f>IF(SUM(F756:G756)&gt;Instructions!$B$5,"Error",SUM(F756:G756))</f>
        <v>0</v>
      </c>
      <c r="I756" s="8"/>
    </row>
    <row r="757" spans="1:9">
      <c r="A757" s="8"/>
      <c r="C757" s="2">
        <f>F757/Instructions!$B$5</f>
        <v>0</v>
      </c>
      <c r="D757" s="2">
        <f>G757/Instructions!$B$5</f>
        <v>0</v>
      </c>
      <c r="E757" s="2">
        <f t="shared" si="12"/>
        <v>0</v>
      </c>
      <c r="F757" s="9"/>
      <c r="G757" s="9"/>
      <c r="H757" s="2">
        <f>IF(SUM(F757:G757)&gt;Instructions!$B$5,"Error",SUM(F757:G757))</f>
        <v>0</v>
      </c>
      <c r="I757" s="8"/>
    </row>
    <row r="758" spans="1:9">
      <c r="A758" s="8"/>
      <c r="C758" s="2">
        <f>F758/Instructions!$B$5</f>
        <v>0</v>
      </c>
      <c r="D758" s="2">
        <f>G758/Instructions!$B$5</f>
        <v>0</v>
      </c>
      <c r="E758" s="2">
        <f t="shared" si="12"/>
        <v>0</v>
      </c>
      <c r="F758" s="9"/>
      <c r="G758" s="9"/>
      <c r="H758" s="2">
        <f>IF(SUM(F758:G758)&gt;Instructions!$B$5,"Error",SUM(F758:G758))</f>
        <v>0</v>
      </c>
      <c r="I758" s="8"/>
    </row>
    <row r="759" spans="1:9">
      <c r="A759" s="8"/>
      <c r="C759" s="2">
        <f>F759/Instructions!$B$5</f>
        <v>0</v>
      </c>
      <c r="D759" s="2">
        <f>G759/Instructions!$B$5</f>
        <v>0</v>
      </c>
      <c r="E759" s="2">
        <f t="shared" si="12"/>
        <v>0</v>
      </c>
      <c r="F759" s="9"/>
      <c r="G759" s="9"/>
      <c r="H759" s="2">
        <f>IF(SUM(F759:G759)&gt;Instructions!$B$5,"Error",SUM(F759:G759))</f>
        <v>0</v>
      </c>
      <c r="I759" s="8"/>
    </row>
    <row r="760" spans="1:9">
      <c r="A760" s="8"/>
      <c r="C760" s="2">
        <f>F760/Instructions!$B$5</f>
        <v>0</v>
      </c>
      <c r="D760" s="2">
        <f>G760/Instructions!$B$5</f>
        <v>0</v>
      </c>
      <c r="E760" s="2">
        <f t="shared" si="12"/>
        <v>0</v>
      </c>
      <c r="F760" s="9"/>
      <c r="G760" s="9"/>
      <c r="H760" s="2">
        <f>IF(SUM(F760:G760)&gt;Instructions!$B$5,"Error",SUM(F760:G760))</f>
        <v>0</v>
      </c>
      <c r="I760" s="8"/>
    </row>
    <row r="761" spans="1:9">
      <c r="A761" s="8"/>
      <c r="C761" s="2">
        <f>F761/Instructions!$B$5</f>
        <v>0</v>
      </c>
      <c r="D761" s="2">
        <f>G761/Instructions!$B$5</f>
        <v>0</v>
      </c>
      <c r="E761" s="2">
        <f t="shared" si="12"/>
        <v>0</v>
      </c>
      <c r="F761" s="9"/>
      <c r="G761" s="9"/>
      <c r="H761" s="2">
        <f>IF(SUM(F761:G761)&gt;Instructions!$B$5,"Error",SUM(F761:G761))</f>
        <v>0</v>
      </c>
      <c r="I761" s="8"/>
    </row>
    <row r="762" spans="1:9">
      <c r="A762" s="8"/>
      <c r="C762" s="2">
        <f>F762/Instructions!$B$5</f>
        <v>0</v>
      </c>
      <c r="D762" s="2">
        <f>G762/Instructions!$B$5</f>
        <v>0</v>
      </c>
      <c r="E762" s="2">
        <f t="shared" si="12"/>
        <v>0</v>
      </c>
      <c r="F762" s="9"/>
      <c r="G762" s="9"/>
      <c r="H762" s="2">
        <f>IF(SUM(F762:G762)&gt;Instructions!$B$5,"Error",SUM(F762:G762))</f>
        <v>0</v>
      </c>
      <c r="I762" s="8"/>
    </row>
    <row r="763" spans="1:9">
      <c r="A763" s="8"/>
      <c r="C763" s="2">
        <f>F763/Instructions!$B$5</f>
        <v>0</v>
      </c>
      <c r="D763" s="2">
        <f>G763/Instructions!$B$5</f>
        <v>0</v>
      </c>
      <c r="E763" s="2">
        <f t="shared" si="12"/>
        <v>0</v>
      </c>
      <c r="F763" s="9"/>
      <c r="G763" s="9"/>
      <c r="H763" s="2">
        <f>IF(SUM(F763:G763)&gt;Instructions!$B$5,"Error",SUM(F763:G763))</f>
        <v>0</v>
      </c>
      <c r="I763" s="8"/>
    </row>
    <row r="764" spans="1:9">
      <c r="A764" s="8"/>
      <c r="C764" s="2">
        <f>F764/Instructions!$B$5</f>
        <v>0</v>
      </c>
      <c r="D764" s="2">
        <f>G764/Instructions!$B$5</f>
        <v>0</v>
      </c>
      <c r="E764" s="2">
        <f t="shared" si="12"/>
        <v>0</v>
      </c>
      <c r="F764" s="9"/>
      <c r="G764" s="9"/>
      <c r="H764" s="2">
        <f>IF(SUM(F764:G764)&gt;Instructions!$B$5,"Error",SUM(F764:G764))</f>
        <v>0</v>
      </c>
      <c r="I764" s="8"/>
    </row>
    <row r="765" spans="1:9">
      <c r="A765" s="8"/>
      <c r="C765" s="2">
        <f>F765/Instructions!$B$5</f>
        <v>0</v>
      </c>
      <c r="D765" s="2">
        <f>G765/Instructions!$B$5</f>
        <v>0</v>
      </c>
      <c r="E765" s="2">
        <f t="shared" si="12"/>
        <v>0</v>
      </c>
      <c r="F765" s="9"/>
      <c r="G765" s="9"/>
      <c r="H765" s="2">
        <f>IF(SUM(F765:G765)&gt;Instructions!$B$5,"Error",SUM(F765:G765))</f>
        <v>0</v>
      </c>
      <c r="I765" s="8"/>
    </row>
    <row r="766" spans="1:9">
      <c r="A766" s="8"/>
      <c r="C766" s="2">
        <f>F766/Instructions!$B$5</f>
        <v>0</v>
      </c>
      <c r="D766" s="2">
        <f>G766/Instructions!$B$5</f>
        <v>0</v>
      </c>
      <c r="E766" s="2">
        <f t="shared" si="12"/>
        <v>0</v>
      </c>
      <c r="F766" s="9"/>
      <c r="G766" s="9"/>
      <c r="H766" s="2">
        <f>IF(SUM(F766:G766)&gt;Instructions!$B$5,"Error",SUM(F766:G766))</f>
        <v>0</v>
      </c>
      <c r="I766" s="8"/>
    </row>
    <row r="767" spans="1:9">
      <c r="A767" s="8"/>
      <c r="C767" s="2">
        <f>F767/Instructions!$B$5</f>
        <v>0</v>
      </c>
      <c r="D767" s="2">
        <f>G767/Instructions!$B$5</f>
        <v>0</v>
      </c>
      <c r="E767" s="2">
        <f t="shared" si="12"/>
        <v>0</v>
      </c>
      <c r="F767" s="9"/>
      <c r="G767" s="9"/>
      <c r="H767" s="2">
        <f>IF(SUM(F767:G767)&gt;Instructions!$B$5,"Error",SUM(F767:G767))</f>
        <v>0</v>
      </c>
      <c r="I767" s="8"/>
    </row>
    <row r="768" spans="1:9">
      <c r="A768" s="8"/>
      <c r="C768" s="2">
        <f>F768/Instructions!$B$5</f>
        <v>0</v>
      </c>
      <c r="D768" s="2">
        <f>G768/Instructions!$B$5</f>
        <v>0</v>
      </c>
      <c r="E768" s="2">
        <f t="shared" si="12"/>
        <v>0</v>
      </c>
      <c r="F768" s="9"/>
      <c r="G768" s="9"/>
      <c r="H768" s="2">
        <f>IF(SUM(F768:G768)&gt;Instructions!$B$5,"Error",SUM(F768:G768))</f>
        <v>0</v>
      </c>
      <c r="I768" s="8"/>
    </row>
    <row r="769" spans="1:9">
      <c r="A769" s="8"/>
      <c r="C769" s="2">
        <f>F769/Instructions!$B$5</f>
        <v>0</v>
      </c>
      <c r="D769" s="2">
        <f>G769/Instructions!$B$5</f>
        <v>0</v>
      </c>
      <c r="E769" s="2">
        <f t="shared" si="12"/>
        <v>0</v>
      </c>
      <c r="F769" s="9"/>
      <c r="G769" s="9"/>
      <c r="H769" s="2">
        <f>IF(SUM(F769:G769)&gt;Instructions!$B$5,"Error",SUM(F769:G769))</f>
        <v>0</v>
      </c>
      <c r="I769" s="8"/>
    </row>
    <row r="770" spans="1:9">
      <c r="A770" s="8"/>
      <c r="C770" s="2">
        <f>F770/Instructions!$B$5</f>
        <v>0</v>
      </c>
      <c r="D770" s="2">
        <f>G770/Instructions!$B$5</f>
        <v>0</v>
      </c>
      <c r="E770" s="2">
        <f t="shared" si="12"/>
        <v>0</v>
      </c>
      <c r="F770" s="9"/>
      <c r="G770" s="9"/>
      <c r="H770" s="2">
        <f>IF(SUM(F770:G770)&gt;Instructions!$B$5,"Error",SUM(F770:G770))</f>
        <v>0</v>
      </c>
      <c r="I770" s="8"/>
    </row>
    <row r="771" spans="1:9">
      <c r="A771" s="8"/>
      <c r="C771" s="2">
        <f>F771/Instructions!$B$5</f>
        <v>0</v>
      </c>
      <c r="D771" s="2">
        <f>G771/Instructions!$B$5</f>
        <v>0</v>
      </c>
      <c r="E771" s="2">
        <f t="shared" si="12"/>
        <v>0</v>
      </c>
      <c r="F771" s="9"/>
      <c r="G771" s="9"/>
      <c r="H771" s="2">
        <f>IF(SUM(F771:G771)&gt;Instructions!$B$5,"Error",SUM(F771:G771))</f>
        <v>0</v>
      </c>
      <c r="I771" s="8"/>
    </row>
    <row r="772" spans="1:9">
      <c r="A772" s="8"/>
      <c r="C772" s="2">
        <f>F772/Instructions!$B$5</f>
        <v>0</v>
      </c>
      <c r="D772" s="2">
        <f>G772/Instructions!$B$5</f>
        <v>0</v>
      </c>
      <c r="E772" s="2">
        <f t="shared" si="12"/>
        <v>0</v>
      </c>
      <c r="F772" s="9"/>
      <c r="G772" s="9"/>
      <c r="H772" s="2">
        <f>IF(SUM(F772:G772)&gt;Instructions!$B$5,"Error",SUM(F772:G772))</f>
        <v>0</v>
      </c>
      <c r="I772" s="8"/>
    </row>
    <row r="773" spans="1:9">
      <c r="A773" s="8"/>
      <c r="C773" s="2">
        <f>F773/Instructions!$B$5</f>
        <v>0</v>
      </c>
      <c r="D773" s="2">
        <f>G773/Instructions!$B$5</f>
        <v>0</v>
      </c>
      <c r="E773" s="2">
        <f t="shared" si="12"/>
        <v>0</v>
      </c>
      <c r="F773" s="9"/>
      <c r="G773" s="9"/>
      <c r="H773" s="2">
        <f>IF(SUM(F773:G773)&gt;Instructions!$B$5,"Error",SUM(F773:G773))</f>
        <v>0</v>
      </c>
      <c r="I773" s="8"/>
    </row>
    <row r="774" spans="1:9">
      <c r="A774" s="8"/>
      <c r="C774" s="2">
        <f>F774/Instructions!$B$5</f>
        <v>0</v>
      </c>
      <c r="D774" s="2">
        <f>G774/Instructions!$B$5</f>
        <v>0</v>
      </c>
      <c r="E774" s="2">
        <f t="shared" si="12"/>
        <v>0</v>
      </c>
      <c r="F774" s="9"/>
      <c r="G774" s="9"/>
      <c r="H774" s="2">
        <f>IF(SUM(F774:G774)&gt;Instructions!$B$5,"Error",SUM(F774:G774))</f>
        <v>0</v>
      </c>
      <c r="I774" s="8"/>
    </row>
    <row r="775" spans="1:9">
      <c r="A775" s="8"/>
      <c r="C775" s="2">
        <f>F775/Instructions!$B$5</f>
        <v>0</v>
      </c>
      <c r="D775" s="2">
        <f>G775/Instructions!$B$5</f>
        <v>0</v>
      </c>
      <c r="E775" s="2">
        <f t="shared" si="12"/>
        <v>0</v>
      </c>
      <c r="F775" s="9"/>
      <c r="G775" s="9"/>
      <c r="H775" s="2">
        <f>IF(SUM(F775:G775)&gt;Instructions!$B$5,"Error",SUM(F775:G775))</f>
        <v>0</v>
      </c>
      <c r="I775" s="8"/>
    </row>
    <row r="776" spans="1:9">
      <c r="A776" s="8"/>
      <c r="C776" s="2">
        <f>F776/Instructions!$B$5</f>
        <v>0</v>
      </c>
      <c r="D776" s="2">
        <f>G776/Instructions!$B$5</f>
        <v>0</v>
      </c>
      <c r="E776" s="2">
        <f t="shared" ref="E776:E839" si="13">IF(SUM(C776:D776)&gt;1,"Error",SUM(C776:D776))</f>
        <v>0</v>
      </c>
      <c r="F776" s="9"/>
      <c r="G776" s="9"/>
      <c r="H776" s="2">
        <f>IF(SUM(F776:G776)&gt;Instructions!$B$5,"Error",SUM(F776:G776))</f>
        <v>0</v>
      </c>
      <c r="I776" s="8"/>
    </row>
    <row r="777" spans="1:9">
      <c r="A777" s="8"/>
      <c r="C777" s="2">
        <f>F777/Instructions!$B$5</f>
        <v>0</v>
      </c>
      <c r="D777" s="2">
        <f>G777/Instructions!$B$5</f>
        <v>0</v>
      </c>
      <c r="E777" s="2">
        <f t="shared" si="13"/>
        <v>0</v>
      </c>
      <c r="F777" s="9"/>
      <c r="G777" s="9"/>
      <c r="H777" s="2">
        <f>IF(SUM(F777:G777)&gt;Instructions!$B$5,"Error",SUM(F777:G777))</f>
        <v>0</v>
      </c>
      <c r="I777" s="8"/>
    </row>
    <row r="778" spans="1:9">
      <c r="A778" s="8"/>
      <c r="C778" s="2">
        <f>F778/Instructions!$B$5</f>
        <v>0</v>
      </c>
      <c r="D778" s="2">
        <f>G778/Instructions!$B$5</f>
        <v>0</v>
      </c>
      <c r="E778" s="2">
        <f t="shared" si="13"/>
        <v>0</v>
      </c>
      <c r="F778" s="9"/>
      <c r="G778" s="9"/>
      <c r="H778" s="2">
        <f>IF(SUM(F778:G778)&gt;Instructions!$B$5,"Error",SUM(F778:G778))</f>
        <v>0</v>
      </c>
      <c r="I778" s="8"/>
    </row>
    <row r="779" spans="1:9">
      <c r="A779" s="8"/>
      <c r="C779" s="2">
        <f>F779/Instructions!$B$5</f>
        <v>0</v>
      </c>
      <c r="D779" s="2">
        <f>G779/Instructions!$B$5</f>
        <v>0</v>
      </c>
      <c r="E779" s="2">
        <f t="shared" si="13"/>
        <v>0</v>
      </c>
      <c r="F779" s="9"/>
      <c r="G779" s="9"/>
      <c r="H779" s="2">
        <f>IF(SUM(F779:G779)&gt;Instructions!$B$5,"Error",SUM(F779:G779))</f>
        <v>0</v>
      </c>
      <c r="I779" s="8"/>
    </row>
    <row r="780" spans="1:9">
      <c r="A780" s="8"/>
      <c r="C780" s="2">
        <f>F780/Instructions!$B$5</f>
        <v>0</v>
      </c>
      <c r="D780" s="2">
        <f>G780/Instructions!$B$5</f>
        <v>0</v>
      </c>
      <c r="E780" s="2">
        <f t="shared" si="13"/>
        <v>0</v>
      </c>
      <c r="F780" s="9"/>
      <c r="G780" s="9"/>
      <c r="H780" s="2">
        <f>IF(SUM(F780:G780)&gt;Instructions!$B$5,"Error",SUM(F780:G780))</f>
        <v>0</v>
      </c>
      <c r="I780" s="8"/>
    </row>
    <row r="781" spans="1:9">
      <c r="A781" s="8"/>
      <c r="C781" s="2">
        <f>F781/Instructions!$B$5</f>
        <v>0</v>
      </c>
      <c r="D781" s="2">
        <f>G781/Instructions!$B$5</f>
        <v>0</v>
      </c>
      <c r="E781" s="2">
        <f t="shared" si="13"/>
        <v>0</v>
      </c>
      <c r="F781" s="9"/>
      <c r="G781" s="9"/>
      <c r="H781" s="2">
        <f>IF(SUM(F781:G781)&gt;Instructions!$B$5,"Error",SUM(F781:G781))</f>
        <v>0</v>
      </c>
      <c r="I781" s="8"/>
    </row>
    <row r="782" spans="1:9">
      <c r="A782" s="8"/>
      <c r="C782" s="2">
        <f>F782/Instructions!$B$5</f>
        <v>0</v>
      </c>
      <c r="D782" s="2">
        <f>G782/Instructions!$B$5</f>
        <v>0</v>
      </c>
      <c r="E782" s="2">
        <f t="shared" si="13"/>
        <v>0</v>
      </c>
      <c r="F782" s="9"/>
      <c r="G782" s="9"/>
      <c r="H782" s="2">
        <f>IF(SUM(F782:G782)&gt;Instructions!$B$5,"Error",SUM(F782:G782))</f>
        <v>0</v>
      </c>
      <c r="I782" s="8"/>
    </row>
    <row r="783" spans="1:9">
      <c r="A783" s="8"/>
      <c r="C783" s="2">
        <f>F783/Instructions!$B$5</f>
        <v>0</v>
      </c>
      <c r="D783" s="2">
        <f>G783/Instructions!$B$5</f>
        <v>0</v>
      </c>
      <c r="E783" s="2">
        <f t="shared" si="13"/>
        <v>0</v>
      </c>
      <c r="F783" s="9"/>
      <c r="G783" s="9"/>
      <c r="H783" s="2">
        <f>IF(SUM(F783:G783)&gt;Instructions!$B$5,"Error",SUM(F783:G783))</f>
        <v>0</v>
      </c>
      <c r="I783" s="8"/>
    </row>
    <row r="784" spans="1:9">
      <c r="A784" s="8"/>
      <c r="C784" s="2">
        <f>F784/Instructions!$B$5</f>
        <v>0</v>
      </c>
      <c r="D784" s="2">
        <f>G784/Instructions!$B$5</f>
        <v>0</v>
      </c>
      <c r="E784" s="2">
        <f t="shared" si="13"/>
        <v>0</v>
      </c>
      <c r="F784" s="9"/>
      <c r="G784" s="9"/>
      <c r="H784" s="2">
        <f>IF(SUM(F784:G784)&gt;Instructions!$B$5,"Error",SUM(F784:G784))</f>
        <v>0</v>
      </c>
      <c r="I784" s="8"/>
    </row>
    <row r="785" spans="1:9">
      <c r="A785" s="8"/>
      <c r="C785" s="2">
        <f>F785/Instructions!$B$5</f>
        <v>0</v>
      </c>
      <c r="D785" s="2">
        <f>G785/Instructions!$B$5</f>
        <v>0</v>
      </c>
      <c r="E785" s="2">
        <f t="shared" si="13"/>
        <v>0</v>
      </c>
      <c r="F785" s="9"/>
      <c r="G785" s="9"/>
      <c r="H785" s="2">
        <f>IF(SUM(F785:G785)&gt;Instructions!$B$5,"Error",SUM(F785:G785))</f>
        <v>0</v>
      </c>
      <c r="I785" s="8"/>
    </row>
    <row r="786" spans="1:9">
      <c r="A786" s="8"/>
      <c r="C786" s="2">
        <f>F786/Instructions!$B$5</f>
        <v>0</v>
      </c>
      <c r="D786" s="2">
        <f>G786/Instructions!$B$5</f>
        <v>0</v>
      </c>
      <c r="E786" s="2">
        <f t="shared" si="13"/>
        <v>0</v>
      </c>
      <c r="F786" s="9"/>
      <c r="G786" s="9"/>
      <c r="H786" s="2">
        <f>IF(SUM(F786:G786)&gt;Instructions!$B$5,"Error",SUM(F786:G786))</f>
        <v>0</v>
      </c>
      <c r="I786" s="8"/>
    </row>
    <row r="787" spans="1:9">
      <c r="A787" s="8"/>
      <c r="C787" s="2">
        <f>F787/Instructions!$B$5</f>
        <v>0</v>
      </c>
      <c r="D787" s="2">
        <f>G787/Instructions!$B$5</f>
        <v>0</v>
      </c>
      <c r="E787" s="2">
        <f t="shared" si="13"/>
        <v>0</v>
      </c>
      <c r="F787" s="9"/>
      <c r="G787" s="9"/>
      <c r="H787" s="2">
        <f>IF(SUM(F787:G787)&gt;Instructions!$B$5,"Error",SUM(F787:G787))</f>
        <v>0</v>
      </c>
      <c r="I787" s="8"/>
    </row>
    <row r="788" spans="1:9">
      <c r="A788" s="8"/>
      <c r="C788" s="2">
        <f>F788/Instructions!$B$5</f>
        <v>0</v>
      </c>
      <c r="D788" s="2">
        <f>G788/Instructions!$B$5</f>
        <v>0</v>
      </c>
      <c r="E788" s="2">
        <f t="shared" si="13"/>
        <v>0</v>
      </c>
      <c r="F788" s="9"/>
      <c r="G788" s="9"/>
      <c r="H788" s="2">
        <f>IF(SUM(F788:G788)&gt;Instructions!$B$5,"Error",SUM(F788:G788))</f>
        <v>0</v>
      </c>
      <c r="I788" s="8"/>
    </row>
    <row r="789" spans="1:9">
      <c r="A789" s="8"/>
      <c r="C789" s="2">
        <f>F789/Instructions!$B$5</f>
        <v>0</v>
      </c>
      <c r="D789" s="2">
        <f>G789/Instructions!$B$5</f>
        <v>0</v>
      </c>
      <c r="E789" s="2">
        <f t="shared" si="13"/>
        <v>0</v>
      </c>
      <c r="F789" s="9"/>
      <c r="G789" s="9"/>
      <c r="H789" s="2">
        <f>IF(SUM(F789:G789)&gt;Instructions!$B$5,"Error",SUM(F789:G789))</f>
        <v>0</v>
      </c>
      <c r="I789" s="8"/>
    </row>
    <row r="790" spans="1:9">
      <c r="A790" s="8"/>
      <c r="C790" s="2">
        <f>F790/Instructions!$B$5</f>
        <v>0</v>
      </c>
      <c r="D790" s="2">
        <f>G790/Instructions!$B$5</f>
        <v>0</v>
      </c>
      <c r="E790" s="2">
        <f t="shared" si="13"/>
        <v>0</v>
      </c>
      <c r="F790" s="9"/>
      <c r="G790" s="9"/>
      <c r="H790" s="2">
        <f>IF(SUM(F790:G790)&gt;Instructions!$B$5,"Error",SUM(F790:G790))</f>
        <v>0</v>
      </c>
      <c r="I790" s="8"/>
    </row>
    <row r="791" spans="1:9">
      <c r="A791" s="8"/>
      <c r="C791" s="2">
        <f>F791/Instructions!$B$5</f>
        <v>0</v>
      </c>
      <c r="D791" s="2">
        <f>G791/Instructions!$B$5</f>
        <v>0</v>
      </c>
      <c r="E791" s="2">
        <f t="shared" si="13"/>
        <v>0</v>
      </c>
      <c r="F791" s="9"/>
      <c r="G791" s="9"/>
      <c r="H791" s="2">
        <f>IF(SUM(F791:G791)&gt;Instructions!$B$5,"Error",SUM(F791:G791))</f>
        <v>0</v>
      </c>
      <c r="I791" s="8"/>
    </row>
    <row r="792" spans="1:9">
      <c r="A792" s="8"/>
      <c r="C792" s="2">
        <f>F792/Instructions!$B$5</f>
        <v>0</v>
      </c>
      <c r="D792" s="2">
        <f>G792/Instructions!$B$5</f>
        <v>0</v>
      </c>
      <c r="E792" s="2">
        <f t="shared" si="13"/>
        <v>0</v>
      </c>
      <c r="F792" s="9"/>
      <c r="G792" s="9"/>
      <c r="H792" s="2">
        <f>IF(SUM(F792:G792)&gt;Instructions!$B$5,"Error",SUM(F792:G792))</f>
        <v>0</v>
      </c>
      <c r="I792" s="8"/>
    </row>
    <row r="793" spans="1:9">
      <c r="A793" s="8"/>
      <c r="C793" s="2">
        <f>F793/Instructions!$B$5</f>
        <v>0</v>
      </c>
      <c r="D793" s="2">
        <f>G793/Instructions!$B$5</f>
        <v>0</v>
      </c>
      <c r="E793" s="2">
        <f t="shared" si="13"/>
        <v>0</v>
      </c>
      <c r="F793" s="9"/>
      <c r="G793" s="9"/>
      <c r="H793" s="2">
        <f>IF(SUM(F793:G793)&gt;Instructions!$B$5,"Error",SUM(F793:G793))</f>
        <v>0</v>
      </c>
      <c r="I793" s="8"/>
    </row>
    <row r="794" spans="1:9">
      <c r="A794" s="8"/>
      <c r="C794" s="2">
        <f>F794/Instructions!$B$5</f>
        <v>0</v>
      </c>
      <c r="D794" s="2">
        <f>G794/Instructions!$B$5</f>
        <v>0</v>
      </c>
      <c r="E794" s="2">
        <f t="shared" si="13"/>
        <v>0</v>
      </c>
      <c r="F794" s="9"/>
      <c r="G794" s="9"/>
      <c r="H794" s="2">
        <f>IF(SUM(F794:G794)&gt;Instructions!$B$5,"Error",SUM(F794:G794))</f>
        <v>0</v>
      </c>
      <c r="I794" s="8"/>
    </row>
    <row r="795" spans="1:9">
      <c r="A795" s="8"/>
      <c r="C795" s="2">
        <f>F795/Instructions!$B$5</f>
        <v>0</v>
      </c>
      <c r="D795" s="2">
        <f>G795/Instructions!$B$5</f>
        <v>0</v>
      </c>
      <c r="E795" s="2">
        <f t="shared" si="13"/>
        <v>0</v>
      </c>
      <c r="F795" s="9"/>
      <c r="G795" s="9"/>
      <c r="H795" s="2">
        <f>IF(SUM(F795:G795)&gt;Instructions!$B$5,"Error",SUM(F795:G795))</f>
        <v>0</v>
      </c>
      <c r="I795" s="8"/>
    </row>
    <row r="796" spans="1:9">
      <c r="A796" s="8"/>
      <c r="C796" s="2">
        <f>F796/Instructions!$B$5</f>
        <v>0</v>
      </c>
      <c r="D796" s="2">
        <f>G796/Instructions!$B$5</f>
        <v>0</v>
      </c>
      <c r="E796" s="2">
        <f t="shared" si="13"/>
        <v>0</v>
      </c>
      <c r="F796" s="9"/>
      <c r="G796" s="9"/>
      <c r="H796" s="2">
        <f>IF(SUM(F796:G796)&gt;Instructions!$B$5,"Error",SUM(F796:G796))</f>
        <v>0</v>
      </c>
      <c r="I796" s="8"/>
    </row>
    <row r="797" spans="1:9">
      <c r="A797" s="8"/>
      <c r="C797" s="2">
        <f>F797/Instructions!$B$5</f>
        <v>0</v>
      </c>
      <c r="D797" s="2">
        <f>G797/Instructions!$B$5</f>
        <v>0</v>
      </c>
      <c r="E797" s="2">
        <f t="shared" si="13"/>
        <v>0</v>
      </c>
      <c r="F797" s="9"/>
      <c r="G797" s="9"/>
      <c r="H797" s="2">
        <f>IF(SUM(F797:G797)&gt;Instructions!$B$5,"Error",SUM(F797:G797))</f>
        <v>0</v>
      </c>
      <c r="I797" s="8"/>
    </row>
    <row r="798" spans="1:9">
      <c r="A798" s="8"/>
      <c r="C798" s="2">
        <f>F798/Instructions!$B$5</f>
        <v>0</v>
      </c>
      <c r="D798" s="2">
        <f>G798/Instructions!$B$5</f>
        <v>0</v>
      </c>
      <c r="E798" s="2">
        <f t="shared" si="13"/>
        <v>0</v>
      </c>
      <c r="F798" s="9"/>
      <c r="G798" s="9"/>
      <c r="H798" s="2">
        <f>IF(SUM(F798:G798)&gt;Instructions!$B$5,"Error",SUM(F798:G798))</f>
        <v>0</v>
      </c>
      <c r="I798" s="8"/>
    </row>
    <row r="799" spans="1:9">
      <c r="A799" s="8"/>
      <c r="C799" s="2">
        <f>F799/Instructions!$B$5</f>
        <v>0</v>
      </c>
      <c r="D799" s="2">
        <f>G799/Instructions!$B$5</f>
        <v>0</v>
      </c>
      <c r="E799" s="2">
        <f t="shared" si="13"/>
        <v>0</v>
      </c>
      <c r="F799" s="9"/>
      <c r="G799" s="9"/>
      <c r="H799" s="2">
        <f>IF(SUM(F799:G799)&gt;Instructions!$B$5,"Error",SUM(F799:G799))</f>
        <v>0</v>
      </c>
      <c r="I799" s="8"/>
    </row>
    <row r="800" spans="1:9">
      <c r="A800" s="8"/>
      <c r="C800" s="2">
        <f>F800/Instructions!$B$5</f>
        <v>0</v>
      </c>
      <c r="D800" s="2">
        <f>G800/Instructions!$B$5</f>
        <v>0</v>
      </c>
      <c r="E800" s="2">
        <f t="shared" si="13"/>
        <v>0</v>
      </c>
      <c r="F800" s="9"/>
      <c r="G800" s="9"/>
      <c r="H800" s="2">
        <f>IF(SUM(F800:G800)&gt;Instructions!$B$5,"Error",SUM(F800:G800))</f>
        <v>0</v>
      </c>
      <c r="I800" s="8"/>
    </row>
    <row r="801" spans="1:9">
      <c r="A801" s="8"/>
      <c r="C801" s="2">
        <f>F801/Instructions!$B$5</f>
        <v>0</v>
      </c>
      <c r="D801" s="2">
        <f>G801/Instructions!$B$5</f>
        <v>0</v>
      </c>
      <c r="E801" s="2">
        <f t="shared" si="13"/>
        <v>0</v>
      </c>
      <c r="F801" s="9"/>
      <c r="G801" s="9"/>
      <c r="H801" s="2">
        <f>IF(SUM(F801:G801)&gt;Instructions!$B$5,"Error",SUM(F801:G801))</f>
        <v>0</v>
      </c>
      <c r="I801" s="8"/>
    </row>
    <row r="802" spans="1:9">
      <c r="A802" s="8"/>
      <c r="C802" s="2">
        <f>F802/Instructions!$B$5</f>
        <v>0</v>
      </c>
      <c r="D802" s="2">
        <f>G802/Instructions!$B$5</f>
        <v>0</v>
      </c>
      <c r="E802" s="2">
        <f t="shared" si="13"/>
        <v>0</v>
      </c>
      <c r="F802" s="9"/>
      <c r="G802" s="9"/>
      <c r="H802" s="2">
        <f>IF(SUM(F802:G802)&gt;Instructions!$B$5,"Error",SUM(F802:G802))</f>
        <v>0</v>
      </c>
      <c r="I802" s="8"/>
    </row>
    <row r="803" spans="1:9">
      <c r="A803" s="8"/>
      <c r="C803" s="2">
        <f>F803/Instructions!$B$5</f>
        <v>0</v>
      </c>
      <c r="D803" s="2">
        <f>G803/Instructions!$B$5</f>
        <v>0</v>
      </c>
      <c r="E803" s="2">
        <f t="shared" si="13"/>
        <v>0</v>
      </c>
      <c r="F803" s="9"/>
      <c r="G803" s="9"/>
      <c r="H803" s="2">
        <f>IF(SUM(F803:G803)&gt;Instructions!$B$5,"Error",SUM(F803:G803))</f>
        <v>0</v>
      </c>
      <c r="I803" s="8"/>
    </row>
    <row r="804" spans="1:9">
      <c r="A804" s="8"/>
      <c r="C804" s="2">
        <f>F804/Instructions!$B$5</f>
        <v>0</v>
      </c>
      <c r="D804" s="2">
        <f>G804/Instructions!$B$5</f>
        <v>0</v>
      </c>
      <c r="E804" s="2">
        <f t="shared" si="13"/>
        <v>0</v>
      </c>
      <c r="F804" s="9"/>
      <c r="G804" s="9"/>
      <c r="H804" s="2">
        <f>IF(SUM(F804:G804)&gt;Instructions!$B$5,"Error",SUM(F804:G804))</f>
        <v>0</v>
      </c>
      <c r="I804" s="8"/>
    </row>
    <row r="805" spans="1:9">
      <c r="A805" s="8"/>
      <c r="C805" s="2">
        <f>F805/Instructions!$B$5</f>
        <v>0</v>
      </c>
      <c r="D805" s="2">
        <f>G805/Instructions!$B$5</f>
        <v>0</v>
      </c>
      <c r="E805" s="2">
        <f t="shared" si="13"/>
        <v>0</v>
      </c>
      <c r="F805" s="9"/>
      <c r="G805" s="9"/>
      <c r="H805" s="2">
        <f>IF(SUM(F805:G805)&gt;Instructions!$B$5,"Error",SUM(F805:G805))</f>
        <v>0</v>
      </c>
      <c r="I805" s="8"/>
    </row>
    <row r="806" spans="1:9">
      <c r="A806" s="8"/>
      <c r="C806" s="2">
        <f>F806/Instructions!$B$5</f>
        <v>0</v>
      </c>
      <c r="D806" s="2">
        <f>G806/Instructions!$B$5</f>
        <v>0</v>
      </c>
      <c r="E806" s="2">
        <f t="shared" si="13"/>
        <v>0</v>
      </c>
      <c r="F806" s="9"/>
      <c r="G806" s="9"/>
      <c r="H806" s="2">
        <f>IF(SUM(F806:G806)&gt;Instructions!$B$5,"Error",SUM(F806:G806))</f>
        <v>0</v>
      </c>
      <c r="I806" s="8"/>
    </row>
    <row r="807" spans="1:9">
      <c r="A807" s="8"/>
      <c r="C807" s="2">
        <f>F807/Instructions!$B$5</f>
        <v>0</v>
      </c>
      <c r="D807" s="2">
        <f>G807/Instructions!$B$5</f>
        <v>0</v>
      </c>
      <c r="E807" s="2">
        <f t="shared" si="13"/>
        <v>0</v>
      </c>
      <c r="F807" s="9"/>
      <c r="G807" s="9"/>
      <c r="H807" s="2">
        <f>IF(SUM(F807:G807)&gt;Instructions!$B$5,"Error",SUM(F807:G807))</f>
        <v>0</v>
      </c>
      <c r="I807" s="8"/>
    </row>
    <row r="808" spans="1:9">
      <c r="A808" s="8"/>
      <c r="C808" s="2">
        <f>F808/Instructions!$B$5</f>
        <v>0</v>
      </c>
      <c r="D808" s="2">
        <f>G808/Instructions!$B$5</f>
        <v>0</v>
      </c>
      <c r="E808" s="2">
        <f t="shared" si="13"/>
        <v>0</v>
      </c>
      <c r="F808" s="9"/>
      <c r="G808" s="9"/>
      <c r="H808" s="2">
        <f>IF(SUM(F808:G808)&gt;Instructions!$B$5,"Error",SUM(F808:G808))</f>
        <v>0</v>
      </c>
      <c r="I808" s="8"/>
    </row>
    <row r="809" spans="1:9">
      <c r="A809" s="8"/>
      <c r="C809" s="2">
        <f>F809/Instructions!$B$5</f>
        <v>0</v>
      </c>
      <c r="D809" s="2">
        <f>G809/Instructions!$B$5</f>
        <v>0</v>
      </c>
      <c r="E809" s="2">
        <f t="shared" si="13"/>
        <v>0</v>
      </c>
      <c r="F809" s="9"/>
      <c r="G809" s="9"/>
      <c r="H809" s="2">
        <f>IF(SUM(F809:G809)&gt;Instructions!$B$5,"Error",SUM(F809:G809))</f>
        <v>0</v>
      </c>
      <c r="I809" s="8"/>
    </row>
    <row r="810" spans="1:9">
      <c r="A810" s="8"/>
      <c r="C810" s="2">
        <f>F810/Instructions!$B$5</f>
        <v>0</v>
      </c>
      <c r="D810" s="2">
        <f>G810/Instructions!$B$5</f>
        <v>0</v>
      </c>
      <c r="E810" s="2">
        <f t="shared" si="13"/>
        <v>0</v>
      </c>
      <c r="F810" s="9"/>
      <c r="G810" s="9"/>
      <c r="H810" s="2">
        <f>IF(SUM(F810:G810)&gt;Instructions!$B$5,"Error",SUM(F810:G810))</f>
        <v>0</v>
      </c>
      <c r="I810" s="8"/>
    </row>
    <row r="811" spans="1:9">
      <c r="A811" s="8"/>
      <c r="C811" s="2">
        <f>F811/Instructions!$B$5</f>
        <v>0</v>
      </c>
      <c r="D811" s="2">
        <f>G811/Instructions!$B$5</f>
        <v>0</v>
      </c>
      <c r="E811" s="2">
        <f t="shared" si="13"/>
        <v>0</v>
      </c>
      <c r="F811" s="9"/>
      <c r="G811" s="9"/>
      <c r="H811" s="2">
        <f>IF(SUM(F811:G811)&gt;Instructions!$B$5,"Error",SUM(F811:G811))</f>
        <v>0</v>
      </c>
      <c r="I811" s="8"/>
    </row>
    <row r="812" spans="1:9">
      <c r="A812" s="8"/>
      <c r="C812" s="2">
        <f>F812/Instructions!$B$5</f>
        <v>0</v>
      </c>
      <c r="D812" s="2">
        <f>G812/Instructions!$B$5</f>
        <v>0</v>
      </c>
      <c r="E812" s="2">
        <f t="shared" si="13"/>
        <v>0</v>
      </c>
      <c r="F812" s="9"/>
      <c r="G812" s="9"/>
      <c r="H812" s="2">
        <f>IF(SUM(F812:G812)&gt;Instructions!$B$5,"Error",SUM(F812:G812))</f>
        <v>0</v>
      </c>
      <c r="I812" s="8"/>
    </row>
    <row r="813" spans="1:9">
      <c r="A813" s="8"/>
      <c r="C813" s="2">
        <f>F813/Instructions!$B$5</f>
        <v>0</v>
      </c>
      <c r="D813" s="2">
        <f>G813/Instructions!$B$5</f>
        <v>0</v>
      </c>
      <c r="E813" s="2">
        <f t="shared" si="13"/>
        <v>0</v>
      </c>
      <c r="F813" s="9"/>
      <c r="G813" s="9"/>
      <c r="H813" s="2">
        <f>IF(SUM(F813:G813)&gt;Instructions!$B$5,"Error",SUM(F813:G813))</f>
        <v>0</v>
      </c>
      <c r="I813" s="8"/>
    </row>
    <row r="814" spans="1:9">
      <c r="A814" s="8"/>
      <c r="C814" s="2">
        <f>F814/Instructions!$B$5</f>
        <v>0</v>
      </c>
      <c r="D814" s="2">
        <f>G814/Instructions!$B$5</f>
        <v>0</v>
      </c>
      <c r="E814" s="2">
        <f t="shared" si="13"/>
        <v>0</v>
      </c>
      <c r="F814" s="9"/>
      <c r="G814" s="9"/>
      <c r="H814" s="2">
        <f>IF(SUM(F814:G814)&gt;Instructions!$B$5,"Error",SUM(F814:G814))</f>
        <v>0</v>
      </c>
      <c r="I814" s="8"/>
    </row>
    <row r="815" spans="1:9">
      <c r="A815" s="8"/>
      <c r="C815" s="2">
        <f>F815/Instructions!$B$5</f>
        <v>0</v>
      </c>
      <c r="D815" s="2">
        <f>G815/Instructions!$B$5</f>
        <v>0</v>
      </c>
      <c r="E815" s="2">
        <f t="shared" si="13"/>
        <v>0</v>
      </c>
      <c r="F815" s="9"/>
      <c r="G815" s="9"/>
      <c r="H815" s="2">
        <f>IF(SUM(F815:G815)&gt;Instructions!$B$5,"Error",SUM(F815:G815))</f>
        <v>0</v>
      </c>
      <c r="I815" s="8"/>
    </row>
    <row r="816" spans="1:9">
      <c r="A816" s="8"/>
      <c r="C816" s="2">
        <f>F816/Instructions!$B$5</f>
        <v>0</v>
      </c>
      <c r="D816" s="2">
        <f>G816/Instructions!$B$5</f>
        <v>0</v>
      </c>
      <c r="E816" s="2">
        <f t="shared" si="13"/>
        <v>0</v>
      </c>
      <c r="F816" s="9"/>
      <c r="G816" s="9"/>
      <c r="H816" s="2">
        <f>IF(SUM(F816:G816)&gt;Instructions!$B$5,"Error",SUM(F816:G816))</f>
        <v>0</v>
      </c>
      <c r="I816" s="8"/>
    </row>
    <row r="817" spans="1:9">
      <c r="A817" s="8"/>
      <c r="C817" s="2">
        <f>F817/Instructions!$B$5</f>
        <v>0</v>
      </c>
      <c r="D817" s="2">
        <f>G817/Instructions!$B$5</f>
        <v>0</v>
      </c>
      <c r="E817" s="2">
        <f t="shared" si="13"/>
        <v>0</v>
      </c>
      <c r="F817" s="9"/>
      <c r="G817" s="9"/>
      <c r="H817" s="2">
        <f>IF(SUM(F817:G817)&gt;Instructions!$B$5,"Error",SUM(F817:G817))</f>
        <v>0</v>
      </c>
      <c r="I817" s="8"/>
    </row>
    <row r="818" spans="1:9">
      <c r="A818" s="8"/>
      <c r="C818" s="2">
        <f>F818/Instructions!$B$5</f>
        <v>0</v>
      </c>
      <c r="D818" s="2">
        <f>G818/Instructions!$B$5</f>
        <v>0</v>
      </c>
      <c r="E818" s="2">
        <f t="shared" si="13"/>
        <v>0</v>
      </c>
      <c r="F818" s="9"/>
      <c r="G818" s="9"/>
      <c r="H818" s="2">
        <f>IF(SUM(F818:G818)&gt;Instructions!$B$5,"Error",SUM(F818:G818))</f>
        <v>0</v>
      </c>
      <c r="I818" s="8"/>
    </row>
    <row r="819" spans="1:9">
      <c r="A819" s="8"/>
      <c r="C819" s="2">
        <f>F819/Instructions!$B$5</f>
        <v>0</v>
      </c>
      <c r="D819" s="2">
        <f>G819/Instructions!$B$5</f>
        <v>0</v>
      </c>
      <c r="E819" s="2">
        <f t="shared" si="13"/>
        <v>0</v>
      </c>
      <c r="F819" s="9"/>
      <c r="G819" s="9"/>
      <c r="H819" s="2">
        <f>IF(SUM(F819:G819)&gt;Instructions!$B$5,"Error",SUM(F819:G819))</f>
        <v>0</v>
      </c>
      <c r="I819" s="8"/>
    </row>
    <row r="820" spans="1:9">
      <c r="A820" s="8"/>
      <c r="C820" s="2">
        <f>F820/Instructions!$B$5</f>
        <v>0</v>
      </c>
      <c r="D820" s="2">
        <f>G820/Instructions!$B$5</f>
        <v>0</v>
      </c>
      <c r="E820" s="2">
        <f t="shared" si="13"/>
        <v>0</v>
      </c>
      <c r="F820" s="9"/>
      <c r="G820" s="9"/>
      <c r="H820" s="2">
        <f>IF(SUM(F820:G820)&gt;Instructions!$B$5,"Error",SUM(F820:G820))</f>
        <v>0</v>
      </c>
      <c r="I820" s="8"/>
    </row>
    <row r="821" spans="1:9">
      <c r="A821" s="8"/>
      <c r="C821" s="2">
        <f>F821/Instructions!$B$5</f>
        <v>0</v>
      </c>
      <c r="D821" s="2">
        <f>G821/Instructions!$B$5</f>
        <v>0</v>
      </c>
      <c r="E821" s="2">
        <f t="shared" si="13"/>
        <v>0</v>
      </c>
      <c r="F821" s="9"/>
      <c r="G821" s="9"/>
      <c r="H821" s="2">
        <f>IF(SUM(F821:G821)&gt;Instructions!$B$5,"Error",SUM(F821:G821))</f>
        <v>0</v>
      </c>
      <c r="I821" s="8"/>
    </row>
    <row r="822" spans="1:9">
      <c r="A822" s="8"/>
      <c r="C822" s="2">
        <f>F822/Instructions!$B$5</f>
        <v>0</v>
      </c>
      <c r="D822" s="2">
        <f>G822/Instructions!$B$5</f>
        <v>0</v>
      </c>
      <c r="E822" s="2">
        <f t="shared" si="13"/>
        <v>0</v>
      </c>
      <c r="F822" s="9"/>
      <c r="G822" s="9"/>
      <c r="H822" s="2">
        <f>IF(SUM(F822:G822)&gt;Instructions!$B$5,"Error",SUM(F822:G822))</f>
        <v>0</v>
      </c>
      <c r="I822" s="8"/>
    </row>
    <row r="823" spans="1:9">
      <c r="A823" s="8"/>
      <c r="C823" s="2">
        <f>F823/Instructions!$B$5</f>
        <v>0</v>
      </c>
      <c r="D823" s="2">
        <f>G823/Instructions!$B$5</f>
        <v>0</v>
      </c>
      <c r="E823" s="2">
        <f t="shared" si="13"/>
        <v>0</v>
      </c>
      <c r="F823" s="9"/>
      <c r="G823" s="9"/>
      <c r="H823" s="2">
        <f>IF(SUM(F823:G823)&gt;Instructions!$B$5,"Error",SUM(F823:G823))</f>
        <v>0</v>
      </c>
      <c r="I823" s="8"/>
    </row>
    <row r="824" spans="1:9">
      <c r="A824" s="8"/>
      <c r="C824" s="2">
        <f>F824/Instructions!$B$5</f>
        <v>0</v>
      </c>
      <c r="D824" s="2">
        <f>G824/Instructions!$B$5</f>
        <v>0</v>
      </c>
      <c r="E824" s="2">
        <f t="shared" si="13"/>
        <v>0</v>
      </c>
      <c r="F824" s="9"/>
      <c r="G824" s="9"/>
      <c r="H824" s="2">
        <f>IF(SUM(F824:G824)&gt;Instructions!$B$5,"Error",SUM(F824:G824))</f>
        <v>0</v>
      </c>
      <c r="I824" s="8"/>
    </row>
    <row r="825" spans="1:9">
      <c r="A825" s="8"/>
      <c r="C825" s="2">
        <f>F825/Instructions!$B$5</f>
        <v>0</v>
      </c>
      <c r="D825" s="2">
        <f>G825/Instructions!$B$5</f>
        <v>0</v>
      </c>
      <c r="E825" s="2">
        <f t="shared" si="13"/>
        <v>0</v>
      </c>
      <c r="F825" s="9"/>
      <c r="G825" s="9"/>
      <c r="H825" s="2">
        <f>IF(SUM(F825:G825)&gt;Instructions!$B$5,"Error",SUM(F825:G825))</f>
        <v>0</v>
      </c>
      <c r="I825" s="8"/>
    </row>
    <row r="826" spans="1:9">
      <c r="A826" s="8"/>
      <c r="C826" s="2">
        <f>F826/Instructions!$B$5</f>
        <v>0</v>
      </c>
      <c r="D826" s="2">
        <f>G826/Instructions!$B$5</f>
        <v>0</v>
      </c>
      <c r="E826" s="2">
        <f t="shared" si="13"/>
        <v>0</v>
      </c>
      <c r="F826" s="9"/>
      <c r="G826" s="9"/>
      <c r="H826" s="2">
        <f>IF(SUM(F826:G826)&gt;Instructions!$B$5,"Error",SUM(F826:G826))</f>
        <v>0</v>
      </c>
      <c r="I826" s="8"/>
    </row>
    <row r="827" spans="1:9">
      <c r="A827" s="8"/>
      <c r="C827" s="2">
        <f>F827/Instructions!$B$5</f>
        <v>0</v>
      </c>
      <c r="D827" s="2">
        <f>G827/Instructions!$B$5</f>
        <v>0</v>
      </c>
      <c r="E827" s="2">
        <f t="shared" si="13"/>
        <v>0</v>
      </c>
      <c r="F827" s="9"/>
      <c r="G827" s="9"/>
      <c r="H827" s="2">
        <f>IF(SUM(F827:G827)&gt;Instructions!$B$5,"Error",SUM(F827:G827))</f>
        <v>0</v>
      </c>
      <c r="I827" s="8"/>
    </row>
    <row r="828" spans="1:9">
      <c r="A828" s="8"/>
      <c r="C828" s="2">
        <f>F828/Instructions!$B$5</f>
        <v>0</v>
      </c>
      <c r="D828" s="2">
        <f>G828/Instructions!$B$5</f>
        <v>0</v>
      </c>
      <c r="E828" s="2">
        <f t="shared" si="13"/>
        <v>0</v>
      </c>
      <c r="F828" s="9"/>
      <c r="G828" s="9"/>
      <c r="H828" s="2">
        <f>IF(SUM(F828:G828)&gt;Instructions!$B$5,"Error",SUM(F828:G828))</f>
        <v>0</v>
      </c>
      <c r="I828" s="8"/>
    </row>
    <row r="829" spans="1:9">
      <c r="A829" s="8"/>
      <c r="C829" s="2">
        <f>F829/Instructions!$B$5</f>
        <v>0</v>
      </c>
      <c r="D829" s="2">
        <f>G829/Instructions!$B$5</f>
        <v>0</v>
      </c>
      <c r="E829" s="2">
        <f t="shared" si="13"/>
        <v>0</v>
      </c>
      <c r="F829" s="9"/>
      <c r="G829" s="9"/>
      <c r="H829" s="2">
        <f>IF(SUM(F829:G829)&gt;Instructions!$B$5,"Error",SUM(F829:G829))</f>
        <v>0</v>
      </c>
      <c r="I829" s="8"/>
    </row>
    <row r="830" spans="1:9">
      <c r="A830" s="8"/>
      <c r="C830" s="2">
        <f>F830/Instructions!$B$5</f>
        <v>0</v>
      </c>
      <c r="D830" s="2">
        <f>G830/Instructions!$B$5</f>
        <v>0</v>
      </c>
      <c r="E830" s="2">
        <f t="shared" si="13"/>
        <v>0</v>
      </c>
      <c r="F830" s="9"/>
      <c r="G830" s="9"/>
      <c r="H830" s="2">
        <f>IF(SUM(F830:G830)&gt;Instructions!$B$5,"Error",SUM(F830:G830))</f>
        <v>0</v>
      </c>
      <c r="I830" s="8"/>
    </row>
    <row r="831" spans="1:9">
      <c r="A831" s="8"/>
      <c r="C831" s="2">
        <f>F831/Instructions!$B$5</f>
        <v>0</v>
      </c>
      <c r="D831" s="2">
        <f>G831/Instructions!$B$5</f>
        <v>0</v>
      </c>
      <c r="E831" s="2">
        <f t="shared" si="13"/>
        <v>0</v>
      </c>
      <c r="F831" s="9"/>
      <c r="G831" s="9"/>
      <c r="H831" s="2">
        <f>IF(SUM(F831:G831)&gt;Instructions!$B$5,"Error",SUM(F831:G831))</f>
        <v>0</v>
      </c>
      <c r="I831" s="8"/>
    </row>
    <row r="832" spans="1:9">
      <c r="A832" s="8"/>
      <c r="C832" s="2">
        <f>F832/Instructions!$B$5</f>
        <v>0</v>
      </c>
      <c r="D832" s="2">
        <f>G832/Instructions!$B$5</f>
        <v>0</v>
      </c>
      <c r="E832" s="2">
        <f t="shared" si="13"/>
        <v>0</v>
      </c>
      <c r="F832" s="9"/>
      <c r="G832" s="9"/>
      <c r="H832" s="2">
        <f>IF(SUM(F832:G832)&gt;Instructions!$B$5,"Error",SUM(F832:G832))</f>
        <v>0</v>
      </c>
      <c r="I832" s="8"/>
    </row>
    <row r="833" spans="1:9">
      <c r="A833" s="8"/>
      <c r="C833" s="2">
        <f>F833/Instructions!$B$5</f>
        <v>0</v>
      </c>
      <c r="D833" s="2">
        <f>G833/Instructions!$B$5</f>
        <v>0</v>
      </c>
      <c r="E833" s="2">
        <f t="shared" si="13"/>
        <v>0</v>
      </c>
      <c r="F833" s="9"/>
      <c r="G833" s="9"/>
      <c r="H833" s="2">
        <f>IF(SUM(F833:G833)&gt;Instructions!$B$5,"Error",SUM(F833:G833))</f>
        <v>0</v>
      </c>
      <c r="I833" s="8"/>
    </row>
    <row r="834" spans="1:9">
      <c r="A834" s="8"/>
      <c r="C834" s="2">
        <f>F834/Instructions!$B$5</f>
        <v>0</v>
      </c>
      <c r="D834" s="2">
        <f>G834/Instructions!$B$5</f>
        <v>0</v>
      </c>
      <c r="E834" s="2">
        <f t="shared" si="13"/>
        <v>0</v>
      </c>
      <c r="F834" s="9"/>
      <c r="G834" s="9"/>
      <c r="H834" s="2">
        <f>IF(SUM(F834:G834)&gt;Instructions!$B$5,"Error",SUM(F834:G834))</f>
        <v>0</v>
      </c>
      <c r="I834" s="8"/>
    </row>
    <row r="835" spans="1:9">
      <c r="A835" s="8"/>
      <c r="C835" s="2">
        <f>F835/Instructions!$B$5</f>
        <v>0</v>
      </c>
      <c r="D835" s="2">
        <f>G835/Instructions!$B$5</f>
        <v>0</v>
      </c>
      <c r="E835" s="2">
        <f t="shared" si="13"/>
        <v>0</v>
      </c>
      <c r="F835" s="9"/>
      <c r="G835" s="9"/>
      <c r="H835" s="2">
        <f>IF(SUM(F835:G835)&gt;Instructions!$B$5,"Error",SUM(F835:G835))</f>
        <v>0</v>
      </c>
      <c r="I835" s="8"/>
    </row>
    <row r="836" spans="1:9">
      <c r="A836" s="8"/>
      <c r="C836" s="2">
        <f>F836/Instructions!$B$5</f>
        <v>0</v>
      </c>
      <c r="D836" s="2">
        <f>G836/Instructions!$B$5</f>
        <v>0</v>
      </c>
      <c r="E836" s="2">
        <f t="shared" si="13"/>
        <v>0</v>
      </c>
      <c r="F836" s="9"/>
      <c r="G836" s="9"/>
      <c r="H836" s="2">
        <f>IF(SUM(F836:G836)&gt;Instructions!$B$5,"Error",SUM(F836:G836))</f>
        <v>0</v>
      </c>
      <c r="I836" s="8"/>
    </row>
    <row r="837" spans="1:9">
      <c r="A837" s="8"/>
      <c r="C837" s="2">
        <f>F837/Instructions!$B$5</f>
        <v>0</v>
      </c>
      <c r="D837" s="2">
        <f>G837/Instructions!$B$5</f>
        <v>0</v>
      </c>
      <c r="E837" s="2">
        <f t="shared" si="13"/>
        <v>0</v>
      </c>
      <c r="F837" s="9"/>
      <c r="G837" s="9"/>
      <c r="H837" s="2">
        <f>IF(SUM(F837:G837)&gt;Instructions!$B$5,"Error",SUM(F837:G837))</f>
        <v>0</v>
      </c>
      <c r="I837" s="8"/>
    </row>
    <row r="838" spans="1:9">
      <c r="A838" s="8"/>
      <c r="C838" s="2">
        <f>F838/Instructions!$B$5</f>
        <v>0</v>
      </c>
      <c r="D838" s="2">
        <f>G838/Instructions!$B$5</f>
        <v>0</v>
      </c>
      <c r="E838" s="2">
        <f t="shared" si="13"/>
        <v>0</v>
      </c>
      <c r="F838" s="9"/>
      <c r="G838" s="9"/>
      <c r="H838" s="2">
        <f>IF(SUM(F838:G838)&gt;Instructions!$B$5,"Error",SUM(F838:G838))</f>
        <v>0</v>
      </c>
      <c r="I838" s="8"/>
    </row>
    <row r="839" spans="1:9">
      <c r="A839" s="8"/>
      <c r="C839" s="2">
        <f>F839/Instructions!$B$5</f>
        <v>0</v>
      </c>
      <c r="D839" s="2">
        <f>G839/Instructions!$B$5</f>
        <v>0</v>
      </c>
      <c r="E839" s="2">
        <f t="shared" si="13"/>
        <v>0</v>
      </c>
      <c r="F839" s="9"/>
      <c r="G839" s="9"/>
      <c r="H839" s="2">
        <f>IF(SUM(F839:G839)&gt;Instructions!$B$5,"Error",SUM(F839:G839))</f>
        <v>0</v>
      </c>
      <c r="I839" s="8"/>
    </row>
    <row r="840" spans="1:9">
      <c r="A840" s="8"/>
      <c r="C840" s="2">
        <f>F840/Instructions!$B$5</f>
        <v>0</v>
      </c>
      <c r="D840" s="2">
        <f>G840/Instructions!$B$5</f>
        <v>0</v>
      </c>
      <c r="E840" s="2">
        <f t="shared" ref="E840:E903" si="14">IF(SUM(C840:D840)&gt;1,"Error",SUM(C840:D840))</f>
        <v>0</v>
      </c>
      <c r="F840" s="9"/>
      <c r="G840" s="9"/>
      <c r="H840" s="2">
        <f>IF(SUM(F840:G840)&gt;Instructions!$B$5,"Error",SUM(F840:G840))</f>
        <v>0</v>
      </c>
      <c r="I840" s="8"/>
    </row>
    <row r="841" spans="1:9">
      <c r="A841" s="8"/>
      <c r="C841" s="2">
        <f>F841/Instructions!$B$5</f>
        <v>0</v>
      </c>
      <c r="D841" s="2">
        <f>G841/Instructions!$B$5</f>
        <v>0</v>
      </c>
      <c r="E841" s="2">
        <f t="shared" si="14"/>
        <v>0</v>
      </c>
      <c r="F841" s="9"/>
      <c r="G841" s="9"/>
      <c r="H841" s="2">
        <f>IF(SUM(F841:G841)&gt;Instructions!$B$5,"Error",SUM(F841:G841))</f>
        <v>0</v>
      </c>
      <c r="I841" s="8"/>
    </row>
    <row r="842" spans="1:9">
      <c r="A842" s="8"/>
      <c r="C842" s="2">
        <f>F842/Instructions!$B$5</f>
        <v>0</v>
      </c>
      <c r="D842" s="2">
        <f>G842/Instructions!$B$5</f>
        <v>0</v>
      </c>
      <c r="E842" s="2">
        <f t="shared" si="14"/>
        <v>0</v>
      </c>
      <c r="F842" s="9"/>
      <c r="G842" s="9"/>
      <c r="H842" s="2">
        <f>IF(SUM(F842:G842)&gt;Instructions!$B$5,"Error",SUM(F842:G842))</f>
        <v>0</v>
      </c>
      <c r="I842" s="8"/>
    </row>
    <row r="843" spans="1:9">
      <c r="A843" s="8"/>
      <c r="C843" s="2">
        <f>F843/Instructions!$B$5</f>
        <v>0</v>
      </c>
      <c r="D843" s="2">
        <f>G843/Instructions!$B$5</f>
        <v>0</v>
      </c>
      <c r="E843" s="2">
        <f t="shared" si="14"/>
        <v>0</v>
      </c>
      <c r="F843" s="9"/>
      <c r="G843" s="9"/>
      <c r="H843" s="2">
        <f>IF(SUM(F843:G843)&gt;Instructions!$B$5,"Error",SUM(F843:G843))</f>
        <v>0</v>
      </c>
      <c r="I843" s="8"/>
    </row>
    <row r="844" spans="1:9">
      <c r="A844" s="8"/>
      <c r="C844" s="2">
        <f>F844/Instructions!$B$5</f>
        <v>0</v>
      </c>
      <c r="D844" s="2">
        <f>G844/Instructions!$B$5</f>
        <v>0</v>
      </c>
      <c r="E844" s="2">
        <f t="shared" si="14"/>
        <v>0</v>
      </c>
      <c r="F844" s="9"/>
      <c r="G844" s="9"/>
      <c r="H844" s="2">
        <f>IF(SUM(F844:G844)&gt;Instructions!$B$5,"Error",SUM(F844:G844))</f>
        <v>0</v>
      </c>
      <c r="I844" s="8"/>
    </row>
    <row r="845" spans="1:9">
      <c r="A845" s="8"/>
      <c r="C845" s="2">
        <f>F845/Instructions!$B$5</f>
        <v>0</v>
      </c>
      <c r="D845" s="2">
        <f>G845/Instructions!$B$5</f>
        <v>0</v>
      </c>
      <c r="E845" s="2">
        <f t="shared" si="14"/>
        <v>0</v>
      </c>
      <c r="F845" s="9"/>
      <c r="G845" s="9"/>
      <c r="H845" s="2">
        <f>IF(SUM(F845:G845)&gt;Instructions!$B$5,"Error",SUM(F845:G845))</f>
        <v>0</v>
      </c>
      <c r="I845" s="8"/>
    </row>
    <row r="846" spans="1:9">
      <c r="A846" s="8"/>
      <c r="C846" s="2">
        <f>F846/Instructions!$B$5</f>
        <v>0</v>
      </c>
      <c r="D846" s="2">
        <f>G846/Instructions!$B$5</f>
        <v>0</v>
      </c>
      <c r="E846" s="2">
        <f t="shared" si="14"/>
        <v>0</v>
      </c>
      <c r="F846" s="9"/>
      <c r="G846" s="9"/>
      <c r="H846" s="2">
        <f>IF(SUM(F846:G846)&gt;Instructions!$B$5,"Error",SUM(F846:G846))</f>
        <v>0</v>
      </c>
      <c r="I846" s="8"/>
    </row>
    <row r="847" spans="1:9">
      <c r="A847" s="8"/>
      <c r="C847" s="2">
        <f>F847/Instructions!$B$5</f>
        <v>0</v>
      </c>
      <c r="D847" s="2">
        <f>G847/Instructions!$B$5</f>
        <v>0</v>
      </c>
      <c r="E847" s="2">
        <f t="shared" si="14"/>
        <v>0</v>
      </c>
      <c r="F847" s="9"/>
      <c r="G847" s="9"/>
      <c r="H847" s="2">
        <f>IF(SUM(F847:G847)&gt;Instructions!$B$5,"Error",SUM(F847:G847))</f>
        <v>0</v>
      </c>
      <c r="I847" s="8"/>
    </row>
    <row r="848" spans="1:9">
      <c r="A848" s="8"/>
      <c r="C848" s="2">
        <f>F848/Instructions!$B$5</f>
        <v>0</v>
      </c>
      <c r="D848" s="2">
        <f>G848/Instructions!$B$5</f>
        <v>0</v>
      </c>
      <c r="E848" s="2">
        <f t="shared" si="14"/>
        <v>0</v>
      </c>
      <c r="F848" s="9"/>
      <c r="G848" s="9"/>
      <c r="H848" s="2">
        <f>IF(SUM(F848:G848)&gt;Instructions!$B$5,"Error",SUM(F848:G848))</f>
        <v>0</v>
      </c>
      <c r="I848" s="8"/>
    </row>
    <row r="849" spans="1:9">
      <c r="A849" s="8"/>
      <c r="C849" s="2">
        <f>F849/Instructions!$B$5</f>
        <v>0</v>
      </c>
      <c r="D849" s="2">
        <f>G849/Instructions!$B$5</f>
        <v>0</v>
      </c>
      <c r="E849" s="2">
        <f t="shared" si="14"/>
        <v>0</v>
      </c>
      <c r="F849" s="9"/>
      <c r="G849" s="9"/>
      <c r="H849" s="2">
        <f>IF(SUM(F849:G849)&gt;Instructions!$B$5,"Error",SUM(F849:G849))</f>
        <v>0</v>
      </c>
      <c r="I849" s="8"/>
    </row>
    <row r="850" spans="1:9">
      <c r="A850" s="8"/>
      <c r="C850" s="2">
        <f>F850/Instructions!$B$5</f>
        <v>0</v>
      </c>
      <c r="D850" s="2">
        <f>G850/Instructions!$B$5</f>
        <v>0</v>
      </c>
      <c r="E850" s="2">
        <f t="shared" si="14"/>
        <v>0</v>
      </c>
      <c r="F850" s="9"/>
      <c r="G850" s="9"/>
      <c r="H850" s="2">
        <f>IF(SUM(F850:G850)&gt;Instructions!$B$5,"Error",SUM(F850:G850))</f>
        <v>0</v>
      </c>
      <c r="I850" s="8"/>
    </row>
    <row r="851" spans="1:9">
      <c r="A851" s="8"/>
      <c r="C851" s="2">
        <f>F851/Instructions!$B$5</f>
        <v>0</v>
      </c>
      <c r="D851" s="2">
        <f>G851/Instructions!$B$5</f>
        <v>0</v>
      </c>
      <c r="E851" s="2">
        <f t="shared" si="14"/>
        <v>0</v>
      </c>
      <c r="F851" s="9"/>
      <c r="G851" s="9"/>
      <c r="H851" s="2">
        <f>IF(SUM(F851:G851)&gt;Instructions!$B$5,"Error",SUM(F851:G851))</f>
        <v>0</v>
      </c>
      <c r="I851" s="8"/>
    </row>
    <row r="852" spans="1:9">
      <c r="A852" s="8"/>
      <c r="C852" s="2">
        <f>F852/Instructions!$B$5</f>
        <v>0</v>
      </c>
      <c r="D852" s="2">
        <f>G852/Instructions!$B$5</f>
        <v>0</v>
      </c>
      <c r="E852" s="2">
        <f t="shared" si="14"/>
        <v>0</v>
      </c>
      <c r="F852" s="9"/>
      <c r="G852" s="9"/>
      <c r="H852" s="2">
        <f>IF(SUM(F852:G852)&gt;Instructions!$B$5,"Error",SUM(F852:G852))</f>
        <v>0</v>
      </c>
      <c r="I852" s="8"/>
    </row>
    <row r="853" spans="1:9">
      <c r="A853" s="8"/>
      <c r="C853" s="2">
        <f>F853/Instructions!$B$5</f>
        <v>0</v>
      </c>
      <c r="D853" s="2">
        <f>G853/Instructions!$B$5</f>
        <v>0</v>
      </c>
      <c r="E853" s="2">
        <f t="shared" si="14"/>
        <v>0</v>
      </c>
      <c r="F853" s="9"/>
      <c r="G853" s="9"/>
      <c r="H853" s="2">
        <f>IF(SUM(F853:G853)&gt;Instructions!$B$5,"Error",SUM(F853:G853))</f>
        <v>0</v>
      </c>
      <c r="I853" s="8"/>
    </row>
    <row r="854" spans="1:9">
      <c r="A854" s="8"/>
      <c r="C854" s="2">
        <f>F854/Instructions!$B$5</f>
        <v>0</v>
      </c>
      <c r="D854" s="2">
        <f>G854/Instructions!$B$5</f>
        <v>0</v>
      </c>
      <c r="E854" s="2">
        <f t="shared" si="14"/>
        <v>0</v>
      </c>
      <c r="F854" s="9"/>
      <c r="G854" s="9"/>
      <c r="H854" s="2">
        <f>IF(SUM(F854:G854)&gt;Instructions!$B$5,"Error",SUM(F854:G854))</f>
        <v>0</v>
      </c>
      <c r="I854" s="8"/>
    </row>
    <row r="855" spans="1:9">
      <c r="A855" s="8"/>
      <c r="C855" s="2">
        <f>F855/Instructions!$B$5</f>
        <v>0</v>
      </c>
      <c r="D855" s="2">
        <f>G855/Instructions!$B$5</f>
        <v>0</v>
      </c>
      <c r="E855" s="2">
        <f t="shared" si="14"/>
        <v>0</v>
      </c>
      <c r="F855" s="9"/>
      <c r="G855" s="9"/>
      <c r="H855" s="2">
        <f>IF(SUM(F855:G855)&gt;Instructions!$B$5,"Error",SUM(F855:G855))</f>
        <v>0</v>
      </c>
      <c r="I855" s="8"/>
    </row>
    <row r="856" spans="1:9">
      <c r="A856" s="8"/>
      <c r="C856" s="2">
        <f>F856/Instructions!$B$5</f>
        <v>0</v>
      </c>
      <c r="D856" s="2">
        <f>G856/Instructions!$B$5</f>
        <v>0</v>
      </c>
      <c r="E856" s="2">
        <f t="shared" si="14"/>
        <v>0</v>
      </c>
      <c r="F856" s="9"/>
      <c r="G856" s="9"/>
      <c r="H856" s="2">
        <f>IF(SUM(F856:G856)&gt;Instructions!$B$5,"Error",SUM(F856:G856))</f>
        <v>0</v>
      </c>
      <c r="I856" s="8"/>
    </row>
    <row r="857" spans="1:9">
      <c r="A857" s="8"/>
      <c r="C857" s="2">
        <f>F857/Instructions!$B$5</f>
        <v>0</v>
      </c>
      <c r="D857" s="2">
        <f>G857/Instructions!$B$5</f>
        <v>0</v>
      </c>
      <c r="E857" s="2">
        <f t="shared" si="14"/>
        <v>0</v>
      </c>
      <c r="F857" s="9"/>
      <c r="G857" s="9"/>
      <c r="H857" s="2">
        <f>IF(SUM(F857:G857)&gt;Instructions!$B$5,"Error",SUM(F857:G857))</f>
        <v>0</v>
      </c>
      <c r="I857" s="8"/>
    </row>
    <row r="858" spans="1:9">
      <c r="A858" s="8"/>
      <c r="C858" s="2">
        <f>F858/Instructions!$B$5</f>
        <v>0</v>
      </c>
      <c r="D858" s="2">
        <f>G858/Instructions!$B$5</f>
        <v>0</v>
      </c>
      <c r="E858" s="2">
        <f t="shared" si="14"/>
        <v>0</v>
      </c>
      <c r="F858" s="9"/>
      <c r="G858" s="9"/>
      <c r="H858" s="2">
        <f>IF(SUM(F858:G858)&gt;Instructions!$B$5,"Error",SUM(F858:G858))</f>
        <v>0</v>
      </c>
      <c r="I858" s="8"/>
    </row>
    <row r="859" spans="1:9">
      <c r="A859" s="8"/>
      <c r="C859" s="2">
        <f>F859/Instructions!$B$5</f>
        <v>0</v>
      </c>
      <c r="D859" s="2">
        <f>G859/Instructions!$B$5</f>
        <v>0</v>
      </c>
      <c r="E859" s="2">
        <f t="shared" si="14"/>
        <v>0</v>
      </c>
      <c r="F859" s="9"/>
      <c r="G859" s="9"/>
      <c r="H859" s="2">
        <f>IF(SUM(F859:G859)&gt;Instructions!$B$5,"Error",SUM(F859:G859))</f>
        <v>0</v>
      </c>
      <c r="I859" s="8"/>
    </row>
    <row r="860" spans="1:9">
      <c r="A860" s="8"/>
      <c r="C860" s="2">
        <f>F860/Instructions!$B$5</f>
        <v>0</v>
      </c>
      <c r="D860" s="2">
        <f>G860/Instructions!$B$5</f>
        <v>0</v>
      </c>
      <c r="E860" s="2">
        <f t="shared" si="14"/>
        <v>0</v>
      </c>
      <c r="F860" s="9"/>
      <c r="G860" s="9"/>
      <c r="H860" s="2">
        <f>IF(SUM(F860:G860)&gt;Instructions!$B$5,"Error",SUM(F860:G860))</f>
        <v>0</v>
      </c>
      <c r="I860" s="8"/>
    </row>
    <row r="861" spans="1:9">
      <c r="A861" s="8"/>
      <c r="C861" s="2">
        <f>F861/Instructions!$B$5</f>
        <v>0</v>
      </c>
      <c r="D861" s="2">
        <f>G861/Instructions!$B$5</f>
        <v>0</v>
      </c>
      <c r="E861" s="2">
        <f t="shared" si="14"/>
        <v>0</v>
      </c>
      <c r="F861" s="9"/>
      <c r="G861" s="9"/>
      <c r="H861" s="2">
        <f>IF(SUM(F861:G861)&gt;Instructions!$B$5,"Error",SUM(F861:G861))</f>
        <v>0</v>
      </c>
      <c r="I861" s="8"/>
    </row>
    <row r="862" spans="1:9">
      <c r="A862" s="8"/>
      <c r="C862" s="2">
        <f>F862/Instructions!$B$5</f>
        <v>0</v>
      </c>
      <c r="D862" s="2">
        <f>G862/Instructions!$B$5</f>
        <v>0</v>
      </c>
      <c r="E862" s="2">
        <f t="shared" si="14"/>
        <v>0</v>
      </c>
      <c r="F862" s="9"/>
      <c r="G862" s="9"/>
      <c r="H862" s="2">
        <f>IF(SUM(F862:G862)&gt;Instructions!$B$5,"Error",SUM(F862:G862))</f>
        <v>0</v>
      </c>
      <c r="I862" s="8"/>
    </row>
    <row r="863" spans="1:9">
      <c r="A863" s="8"/>
      <c r="C863" s="2">
        <f>F863/Instructions!$B$5</f>
        <v>0</v>
      </c>
      <c r="D863" s="2">
        <f>G863/Instructions!$B$5</f>
        <v>0</v>
      </c>
      <c r="E863" s="2">
        <f t="shared" si="14"/>
        <v>0</v>
      </c>
      <c r="F863" s="9"/>
      <c r="G863" s="9"/>
      <c r="H863" s="2">
        <f>IF(SUM(F863:G863)&gt;Instructions!$B$5,"Error",SUM(F863:G863))</f>
        <v>0</v>
      </c>
      <c r="I863" s="8"/>
    </row>
    <row r="864" spans="1:9">
      <c r="A864" s="8"/>
      <c r="C864" s="2">
        <f>F864/Instructions!$B$5</f>
        <v>0</v>
      </c>
      <c r="D864" s="2">
        <f>G864/Instructions!$B$5</f>
        <v>0</v>
      </c>
      <c r="E864" s="2">
        <f t="shared" si="14"/>
        <v>0</v>
      </c>
      <c r="F864" s="9"/>
      <c r="G864" s="9"/>
      <c r="H864" s="2">
        <f>IF(SUM(F864:G864)&gt;Instructions!$B$5,"Error",SUM(F864:G864))</f>
        <v>0</v>
      </c>
      <c r="I864" s="8"/>
    </row>
    <row r="865" spans="1:9">
      <c r="A865" s="8"/>
      <c r="C865" s="2">
        <f>F865/Instructions!$B$5</f>
        <v>0</v>
      </c>
      <c r="D865" s="2">
        <f>G865/Instructions!$B$5</f>
        <v>0</v>
      </c>
      <c r="E865" s="2">
        <f t="shared" si="14"/>
        <v>0</v>
      </c>
      <c r="F865" s="9"/>
      <c r="G865" s="9"/>
      <c r="H865" s="2">
        <f>IF(SUM(F865:G865)&gt;Instructions!$B$5,"Error",SUM(F865:G865))</f>
        <v>0</v>
      </c>
      <c r="I865" s="8"/>
    </row>
    <row r="866" spans="1:9">
      <c r="A866" s="8"/>
      <c r="C866" s="2">
        <f>F866/Instructions!$B$5</f>
        <v>0</v>
      </c>
      <c r="D866" s="2">
        <f>G866/Instructions!$B$5</f>
        <v>0</v>
      </c>
      <c r="E866" s="2">
        <f t="shared" si="14"/>
        <v>0</v>
      </c>
      <c r="F866" s="9"/>
      <c r="G866" s="9"/>
      <c r="H866" s="2">
        <f>IF(SUM(F866:G866)&gt;Instructions!$B$5,"Error",SUM(F866:G866))</f>
        <v>0</v>
      </c>
      <c r="I866" s="8"/>
    </row>
    <row r="867" spans="1:9">
      <c r="A867" s="8"/>
      <c r="C867" s="2">
        <f>F867/Instructions!$B$5</f>
        <v>0</v>
      </c>
      <c r="D867" s="2">
        <f>G867/Instructions!$B$5</f>
        <v>0</v>
      </c>
      <c r="E867" s="2">
        <f t="shared" si="14"/>
        <v>0</v>
      </c>
      <c r="F867" s="9"/>
      <c r="G867" s="9"/>
      <c r="H867" s="2">
        <f>IF(SUM(F867:G867)&gt;Instructions!$B$5,"Error",SUM(F867:G867))</f>
        <v>0</v>
      </c>
      <c r="I867" s="8"/>
    </row>
    <row r="868" spans="1:9">
      <c r="A868" s="8"/>
      <c r="C868" s="2">
        <f>F868/Instructions!$B$5</f>
        <v>0</v>
      </c>
      <c r="D868" s="2">
        <f>G868/Instructions!$B$5</f>
        <v>0</v>
      </c>
      <c r="E868" s="2">
        <f t="shared" si="14"/>
        <v>0</v>
      </c>
      <c r="F868" s="9"/>
      <c r="G868" s="9"/>
      <c r="H868" s="2">
        <f>IF(SUM(F868:G868)&gt;Instructions!$B$5,"Error",SUM(F868:G868))</f>
        <v>0</v>
      </c>
      <c r="I868" s="8"/>
    </row>
    <row r="869" spans="1:9">
      <c r="A869" s="8"/>
      <c r="C869" s="2">
        <f>F869/Instructions!$B$5</f>
        <v>0</v>
      </c>
      <c r="D869" s="2">
        <f>G869/Instructions!$B$5</f>
        <v>0</v>
      </c>
      <c r="E869" s="2">
        <f t="shared" si="14"/>
        <v>0</v>
      </c>
      <c r="F869" s="9"/>
      <c r="G869" s="9"/>
      <c r="H869" s="2">
        <f>IF(SUM(F869:G869)&gt;Instructions!$B$5,"Error",SUM(F869:G869))</f>
        <v>0</v>
      </c>
      <c r="I869" s="8"/>
    </row>
    <row r="870" spans="1:9">
      <c r="A870" s="8"/>
      <c r="C870" s="2">
        <f>F870/Instructions!$B$5</f>
        <v>0</v>
      </c>
      <c r="D870" s="2">
        <f>G870/Instructions!$B$5</f>
        <v>0</v>
      </c>
      <c r="E870" s="2">
        <f t="shared" si="14"/>
        <v>0</v>
      </c>
      <c r="F870" s="9"/>
      <c r="G870" s="9"/>
      <c r="H870" s="2">
        <f>IF(SUM(F870:G870)&gt;Instructions!$B$5,"Error",SUM(F870:G870))</f>
        <v>0</v>
      </c>
      <c r="I870" s="8"/>
    </row>
    <row r="871" spans="1:9">
      <c r="A871" s="8"/>
      <c r="C871" s="2">
        <f>F871/Instructions!$B$5</f>
        <v>0</v>
      </c>
      <c r="D871" s="2">
        <f>G871/Instructions!$B$5</f>
        <v>0</v>
      </c>
      <c r="E871" s="2">
        <f t="shared" si="14"/>
        <v>0</v>
      </c>
      <c r="F871" s="9"/>
      <c r="G871" s="9"/>
      <c r="H871" s="2">
        <f>IF(SUM(F871:G871)&gt;Instructions!$B$5,"Error",SUM(F871:G871))</f>
        <v>0</v>
      </c>
      <c r="I871" s="8"/>
    </row>
    <row r="872" spans="1:9">
      <c r="A872" s="8"/>
      <c r="C872" s="2">
        <f>F872/Instructions!$B$5</f>
        <v>0</v>
      </c>
      <c r="D872" s="2">
        <f>G872/Instructions!$B$5</f>
        <v>0</v>
      </c>
      <c r="E872" s="2">
        <f t="shared" si="14"/>
        <v>0</v>
      </c>
      <c r="F872" s="9"/>
      <c r="G872" s="9"/>
      <c r="H872" s="2">
        <f>IF(SUM(F872:G872)&gt;Instructions!$B$5,"Error",SUM(F872:G872))</f>
        <v>0</v>
      </c>
      <c r="I872" s="8"/>
    </row>
    <row r="873" spans="1:9">
      <c r="A873" s="8"/>
      <c r="C873" s="2">
        <f>F873/Instructions!$B$5</f>
        <v>0</v>
      </c>
      <c r="D873" s="2">
        <f>G873/Instructions!$B$5</f>
        <v>0</v>
      </c>
      <c r="E873" s="2">
        <f t="shared" si="14"/>
        <v>0</v>
      </c>
      <c r="F873" s="9"/>
      <c r="G873" s="9"/>
      <c r="H873" s="2">
        <f>IF(SUM(F873:G873)&gt;Instructions!$B$5,"Error",SUM(F873:G873))</f>
        <v>0</v>
      </c>
      <c r="I873" s="8"/>
    </row>
    <row r="874" spans="1:9">
      <c r="A874" s="8"/>
      <c r="C874" s="2">
        <f>F874/Instructions!$B$5</f>
        <v>0</v>
      </c>
      <c r="D874" s="2">
        <f>G874/Instructions!$B$5</f>
        <v>0</v>
      </c>
      <c r="E874" s="2">
        <f t="shared" si="14"/>
        <v>0</v>
      </c>
      <c r="F874" s="9"/>
      <c r="G874" s="9"/>
      <c r="H874" s="2">
        <f>IF(SUM(F874:G874)&gt;Instructions!$B$5,"Error",SUM(F874:G874))</f>
        <v>0</v>
      </c>
      <c r="I874" s="8"/>
    </row>
    <row r="875" spans="1:9">
      <c r="A875" s="8"/>
      <c r="C875" s="2">
        <f>F875/Instructions!$B$5</f>
        <v>0</v>
      </c>
      <c r="D875" s="2">
        <f>G875/Instructions!$B$5</f>
        <v>0</v>
      </c>
      <c r="E875" s="2">
        <f t="shared" si="14"/>
        <v>0</v>
      </c>
      <c r="F875" s="9"/>
      <c r="G875" s="9"/>
      <c r="H875" s="2">
        <f>IF(SUM(F875:G875)&gt;Instructions!$B$5,"Error",SUM(F875:G875))</f>
        <v>0</v>
      </c>
      <c r="I875" s="8"/>
    </row>
    <row r="876" spans="1:9">
      <c r="A876" s="8"/>
      <c r="C876" s="2">
        <f>F876/Instructions!$B$5</f>
        <v>0</v>
      </c>
      <c r="D876" s="2">
        <f>G876/Instructions!$B$5</f>
        <v>0</v>
      </c>
      <c r="E876" s="2">
        <f t="shared" si="14"/>
        <v>0</v>
      </c>
      <c r="F876" s="9"/>
      <c r="G876" s="9"/>
      <c r="H876" s="2">
        <f>IF(SUM(F876:G876)&gt;Instructions!$B$5,"Error",SUM(F876:G876))</f>
        <v>0</v>
      </c>
      <c r="I876" s="8"/>
    </row>
    <row r="877" spans="1:9">
      <c r="A877" s="8"/>
      <c r="C877" s="2">
        <f>F877/Instructions!$B$5</f>
        <v>0</v>
      </c>
      <c r="D877" s="2">
        <f>G877/Instructions!$B$5</f>
        <v>0</v>
      </c>
      <c r="E877" s="2">
        <f t="shared" si="14"/>
        <v>0</v>
      </c>
      <c r="F877" s="9"/>
      <c r="G877" s="9"/>
      <c r="H877" s="2">
        <f>IF(SUM(F877:G877)&gt;Instructions!$B$5,"Error",SUM(F877:G877))</f>
        <v>0</v>
      </c>
      <c r="I877" s="8"/>
    </row>
    <row r="878" spans="1:9">
      <c r="A878" s="8"/>
      <c r="C878" s="2">
        <f>F878/Instructions!$B$5</f>
        <v>0</v>
      </c>
      <c r="D878" s="2">
        <f>G878/Instructions!$B$5</f>
        <v>0</v>
      </c>
      <c r="E878" s="2">
        <f t="shared" si="14"/>
        <v>0</v>
      </c>
      <c r="F878" s="9"/>
      <c r="G878" s="9"/>
      <c r="H878" s="2">
        <f>IF(SUM(F878:G878)&gt;Instructions!$B$5,"Error",SUM(F878:G878))</f>
        <v>0</v>
      </c>
      <c r="I878" s="8"/>
    </row>
    <row r="879" spans="1:9">
      <c r="A879" s="8"/>
      <c r="C879" s="2">
        <f>F879/Instructions!$B$5</f>
        <v>0</v>
      </c>
      <c r="D879" s="2">
        <f>G879/Instructions!$B$5</f>
        <v>0</v>
      </c>
      <c r="E879" s="2">
        <f t="shared" si="14"/>
        <v>0</v>
      </c>
      <c r="F879" s="9"/>
      <c r="G879" s="9"/>
      <c r="H879" s="2">
        <f>IF(SUM(F879:G879)&gt;Instructions!$B$5,"Error",SUM(F879:G879))</f>
        <v>0</v>
      </c>
      <c r="I879" s="8"/>
    </row>
    <row r="880" spans="1:9">
      <c r="A880" s="8"/>
      <c r="C880" s="2">
        <f>F880/Instructions!$B$5</f>
        <v>0</v>
      </c>
      <c r="D880" s="2">
        <f>G880/Instructions!$B$5</f>
        <v>0</v>
      </c>
      <c r="E880" s="2">
        <f t="shared" si="14"/>
        <v>0</v>
      </c>
      <c r="F880" s="9"/>
      <c r="G880" s="9"/>
      <c r="H880" s="2">
        <f>IF(SUM(F880:G880)&gt;Instructions!$B$5,"Error",SUM(F880:G880))</f>
        <v>0</v>
      </c>
      <c r="I880" s="8"/>
    </row>
    <row r="881" spans="1:9">
      <c r="A881" s="8"/>
      <c r="C881" s="2">
        <f>F881/Instructions!$B$5</f>
        <v>0</v>
      </c>
      <c r="D881" s="2">
        <f>G881/Instructions!$B$5</f>
        <v>0</v>
      </c>
      <c r="E881" s="2">
        <f t="shared" si="14"/>
        <v>0</v>
      </c>
      <c r="F881" s="9"/>
      <c r="G881" s="9"/>
      <c r="H881" s="2">
        <f>IF(SUM(F881:G881)&gt;Instructions!$B$5,"Error",SUM(F881:G881))</f>
        <v>0</v>
      </c>
      <c r="I881" s="8"/>
    </row>
    <row r="882" spans="1:9">
      <c r="A882" s="8"/>
      <c r="B882" s="8"/>
      <c r="C882" s="2">
        <f>F882/Instructions!$B$5</f>
        <v>0</v>
      </c>
      <c r="D882" s="2">
        <f>G882/Instructions!$B$5</f>
        <v>0</v>
      </c>
      <c r="E882" s="2">
        <f t="shared" si="14"/>
        <v>0</v>
      </c>
      <c r="F882" s="9"/>
      <c r="G882" s="9"/>
      <c r="H882" s="2">
        <f>IF(SUM(F882:G882)&gt;Instructions!$B$5,"Error",SUM(F882:G882))</f>
        <v>0</v>
      </c>
      <c r="I882" s="8"/>
    </row>
    <row r="883" spans="1:9">
      <c r="A883" s="8"/>
      <c r="B883" s="8"/>
      <c r="C883" s="2">
        <f>F883/Instructions!$B$5</f>
        <v>0</v>
      </c>
      <c r="D883" s="2">
        <f>G883/Instructions!$B$5</f>
        <v>0</v>
      </c>
      <c r="E883" s="2">
        <f t="shared" si="14"/>
        <v>0</v>
      </c>
      <c r="F883" s="9"/>
      <c r="G883" s="9"/>
      <c r="H883" s="2">
        <f>IF(SUM(F883:G883)&gt;Instructions!$B$5,"Error",SUM(F883:G883))</f>
        <v>0</v>
      </c>
      <c r="I883" s="8"/>
    </row>
    <row r="884" spans="1:9">
      <c r="A884" s="8"/>
      <c r="B884" s="8"/>
      <c r="C884" s="2">
        <f>F884/Instructions!$B$5</f>
        <v>0</v>
      </c>
      <c r="D884" s="2">
        <f>G884/Instructions!$B$5</f>
        <v>0</v>
      </c>
      <c r="E884" s="2">
        <f t="shared" si="14"/>
        <v>0</v>
      </c>
      <c r="F884" s="9"/>
      <c r="G884" s="9"/>
      <c r="H884" s="2">
        <f>IF(SUM(F884:G884)&gt;Instructions!$B$5,"Error",SUM(F884:G884))</f>
        <v>0</v>
      </c>
      <c r="I884" s="8"/>
    </row>
    <row r="885" spans="1:9">
      <c r="A885" s="8"/>
      <c r="B885" s="8"/>
      <c r="C885" s="2">
        <f>F885/Instructions!$B$5</f>
        <v>0</v>
      </c>
      <c r="D885" s="2">
        <f>G885/Instructions!$B$5</f>
        <v>0</v>
      </c>
      <c r="E885" s="2">
        <f t="shared" si="14"/>
        <v>0</v>
      </c>
      <c r="F885" s="9"/>
      <c r="G885" s="9"/>
      <c r="H885" s="2">
        <f>IF(SUM(F885:G885)&gt;Instructions!$B$5,"Error",SUM(F885:G885))</f>
        <v>0</v>
      </c>
      <c r="I885" s="8"/>
    </row>
    <row r="886" spans="1:9">
      <c r="A886" s="8"/>
      <c r="B886" s="8"/>
      <c r="C886" s="2">
        <f>F886/Instructions!$B$5</f>
        <v>0</v>
      </c>
      <c r="D886" s="2">
        <f>G886/Instructions!$B$5</f>
        <v>0</v>
      </c>
      <c r="E886" s="2">
        <f t="shared" si="14"/>
        <v>0</v>
      </c>
      <c r="F886" s="9"/>
      <c r="G886" s="9"/>
      <c r="H886" s="2">
        <f>IF(SUM(F886:G886)&gt;Instructions!$B$5,"Error",SUM(F886:G886))</f>
        <v>0</v>
      </c>
      <c r="I886" s="8"/>
    </row>
    <row r="887" spans="1:9">
      <c r="A887" s="8"/>
      <c r="B887" s="8"/>
      <c r="C887" s="2">
        <f>F887/Instructions!$B$5</f>
        <v>0</v>
      </c>
      <c r="D887" s="2">
        <f>G887/Instructions!$B$5</f>
        <v>0</v>
      </c>
      <c r="E887" s="2">
        <f t="shared" si="14"/>
        <v>0</v>
      </c>
      <c r="F887" s="9"/>
      <c r="G887" s="9"/>
      <c r="H887" s="2">
        <f>IF(SUM(F887:G887)&gt;Instructions!$B$5,"Error",SUM(F887:G887))</f>
        <v>0</v>
      </c>
      <c r="I887" s="8"/>
    </row>
    <row r="888" spans="1:9">
      <c r="A888" s="8"/>
      <c r="B888" s="8"/>
      <c r="C888" s="2">
        <f>F888/Instructions!$B$5</f>
        <v>0</v>
      </c>
      <c r="D888" s="2">
        <f>G888/Instructions!$B$5</f>
        <v>0</v>
      </c>
      <c r="E888" s="2">
        <f t="shared" si="14"/>
        <v>0</v>
      </c>
      <c r="F888" s="9"/>
      <c r="G888" s="9"/>
      <c r="H888" s="2">
        <f>IF(SUM(F888:G888)&gt;Instructions!$B$5,"Error",SUM(F888:G888))</f>
        <v>0</v>
      </c>
      <c r="I888" s="8"/>
    </row>
    <row r="889" spans="1:9">
      <c r="A889" s="8"/>
      <c r="B889" s="8"/>
      <c r="C889" s="2">
        <f>F889/Instructions!$B$5</f>
        <v>0</v>
      </c>
      <c r="D889" s="2">
        <f>G889/Instructions!$B$5</f>
        <v>0</v>
      </c>
      <c r="E889" s="2">
        <f t="shared" si="14"/>
        <v>0</v>
      </c>
      <c r="F889" s="9"/>
      <c r="G889" s="9"/>
      <c r="H889" s="2">
        <f>IF(SUM(F889:G889)&gt;Instructions!$B$5,"Error",SUM(F889:G889))</f>
        <v>0</v>
      </c>
      <c r="I889" s="8"/>
    </row>
    <row r="890" spans="1:9">
      <c r="A890" s="8"/>
      <c r="B890" s="8"/>
      <c r="C890" s="2">
        <f>F890/Instructions!$B$5</f>
        <v>0</v>
      </c>
      <c r="D890" s="2">
        <f>G890/Instructions!$B$5</f>
        <v>0</v>
      </c>
      <c r="E890" s="2">
        <f t="shared" si="14"/>
        <v>0</v>
      </c>
      <c r="F890" s="9"/>
      <c r="G890" s="9"/>
      <c r="H890" s="2">
        <f>IF(SUM(F890:G890)&gt;Instructions!$B$5,"Error",SUM(F890:G890))</f>
        <v>0</v>
      </c>
      <c r="I890" s="8"/>
    </row>
    <row r="891" spans="1:9">
      <c r="A891" s="8"/>
      <c r="B891" s="8"/>
      <c r="C891" s="2">
        <f>F891/Instructions!$B$5</f>
        <v>0</v>
      </c>
      <c r="D891" s="2">
        <f>G891/Instructions!$B$5</f>
        <v>0</v>
      </c>
      <c r="E891" s="2">
        <f t="shared" si="14"/>
        <v>0</v>
      </c>
      <c r="F891" s="9"/>
      <c r="G891" s="9"/>
      <c r="H891" s="2">
        <f>IF(SUM(F891:G891)&gt;Instructions!$B$5,"Error",SUM(F891:G891))</f>
        <v>0</v>
      </c>
      <c r="I891" s="8"/>
    </row>
    <row r="892" spans="1:9">
      <c r="A892" s="8"/>
      <c r="B892" s="8"/>
      <c r="C892" s="2">
        <f>F892/Instructions!$B$5</f>
        <v>0</v>
      </c>
      <c r="D892" s="2">
        <f>G892/Instructions!$B$5</f>
        <v>0</v>
      </c>
      <c r="E892" s="2">
        <f t="shared" si="14"/>
        <v>0</v>
      </c>
      <c r="F892" s="9"/>
      <c r="G892" s="9"/>
      <c r="H892" s="2">
        <f>IF(SUM(F892:G892)&gt;Instructions!$B$5,"Error",SUM(F892:G892))</f>
        <v>0</v>
      </c>
      <c r="I892" s="8"/>
    </row>
    <row r="893" spans="1:9">
      <c r="A893" s="8"/>
      <c r="B893" s="8"/>
      <c r="C893" s="2">
        <f>F893/Instructions!$B$5</f>
        <v>0</v>
      </c>
      <c r="D893" s="2">
        <f>G893/Instructions!$B$5</f>
        <v>0</v>
      </c>
      <c r="E893" s="2">
        <f t="shared" si="14"/>
        <v>0</v>
      </c>
      <c r="F893" s="9"/>
      <c r="G893" s="9"/>
      <c r="H893" s="2">
        <f>IF(SUM(F893:G893)&gt;Instructions!$B$5,"Error",SUM(F893:G893))</f>
        <v>0</v>
      </c>
      <c r="I893" s="8"/>
    </row>
    <row r="894" spans="1:9">
      <c r="A894" s="8"/>
      <c r="B894" s="8"/>
      <c r="C894" s="2">
        <f>F894/Instructions!$B$5</f>
        <v>0</v>
      </c>
      <c r="D894" s="2">
        <f>G894/Instructions!$B$5</f>
        <v>0</v>
      </c>
      <c r="E894" s="2">
        <f t="shared" si="14"/>
        <v>0</v>
      </c>
      <c r="F894" s="9"/>
      <c r="G894" s="9"/>
      <c r="H894" s="2">
        <f>IF(SUM(F894:G894)&gt;Instructions!$B$5,"Error",SUM(F894:G894))</f>
        <v>0</v>
      </c>
      <c r="I894" s="8"/>
    </row>
    <row r="895" spans="1:9">
      <c r="A895" s="8"/>
      <c r="B895" s="8"/>
      <c r="C895" s="2">
        <f>F895/Instructions!$B$5</f>
        <v>0</v>
      </c>
      <c r="D895" s="2">
        <f>G895/Instructions!$B$5</f>
        <v>0</v>
      </c>
      <c r="E895" s="2">
        <f t="shared" si="14"/>
        <v>0</v>
      </c>
      <c r="F895" s="9"/>
      <c r="G895" s="9"/>
      <c r="H895" s="2">
        <f>IF(SUM(F895:G895)&gt;Instructions!$B$5,"Error",SUM(F895:G895))</f>
        <v>0</v>
      </c>
      <c r="I895" s="8"/>
    </row>
    <row r="896" spans="1:9">
      <c r="A896" s="8"/>
      <c r="B896" s="8"/>
      <c r="C896" s="2">
        <f>F896/Instructions!$B$5</f>
        <v>0</v>
      </c>
      <c r="D896" s="2">
        <f>G896/Instructions!$B$5</f>
        <v>0</v>
      </c>
      <c r="E896" s="2">
        <f t="shared" si="14"/>
        <v>0</v>
      </c>
      <c r="F896" s="9"/>
      <c r="G896" s="9"/>
      <c r="H896" s="2">
        <f>IF(SUM(F896:G896)&gt;Instructions!$B$5,"Error",SUM(F896:G896))</f>
        <v>0</v>
      </c>
      <c r="I896" s="8"/>
    </row>
    <row r="897" spans="1:9">
      <c r="A897" s="8"/>
      <c r="B897" s="8"/>
      <c r="C897" s="2">
        <f>F897/Instructions!$B$5</f>
        <v>0</v>
      </c>
      <c r="D897" s="2">
        <f>G897/Instructions!$B$5</f>
        <v>0</v>
      </c>
      <c r="E897" s="2">
        <f t="shared" si="14"/>
        <v>0</v>
      </c>
      <c r="F897" s="9"/>
      <c r="G897" s="9"/>
      <c r="H897" s="2">
        <f>IF(SUM(F897:G897)&gt;Instructions!$B$5,"Error",SUM(F897:G897))</f>
        <v>0</v>
      </c>
      <c r="I897" s="8"/>
    </row>
    <row r="898" spans="1:9">
      <c r="A898" s="8"/>
      <c r="B898" s="8"/>
      <c r="C898" s="2">
        <f>F898/Instructions!$B$5</f>
        <v>0</v>
      </c>
      <c r="D898" s="2">
        <f>G898/Instructions!$B$5</f>
        <v>0</v>
      </c>
      <c r="E898" s="2">
        <f t="shared" si="14"/>
        <v>0</v>
      </c>
      <c r="F898" s="9"/>
      <c r="G898" s="9"/>
      <c r="H898" s="2">
        <f>IF(SUM(F898:G898)&gt;Instructions!$B$5,"Error",SUM(F898:G898))</f>
        <v>0</v>
      </c>
      <c r="I898" s="8"/>
    </row>
    <row r="899" spans="1:9">
      <c r="A899" s="8"/>
      <c r="B899" s="8"/>
      <c r="C899" s="2">
        <f>F899/Instructions!$B$5</f>
        <v>0</v>
      </c>
      <c r="D899" s="2">
        <f>G899/Instructions!$B$5</f>
        <v>0</v>
      </c>
      <c r="E899" s="2">
        <f t="shared" si="14"/>
        <v>0</v>
      </c>
      <c r="F899" s="9"/>
      <c r="G899" s="9"/>
      <c r="H899" s="2">
        <f>IF(SUM(F899:G899)&gt;Instructions!$B$5,"Error",SUM(F899:G899))</f>
        <v>0</v>
      </c>
      <c r="I899" s="8"/>
    </row>
    <row r="900" spans="1:9">
      <c r="A900" s="8"/>
      <c r="B900" s="8"/>
      <c r="C900" s="2">
        <f>F900/Instructions!$B$5</f>
        <v>0</v>
      </c>
      <c r="D900" s="2">
        <f>G900/Instructions!$B$5</f>
        <v>0</v>
      </c>
      <c r="E900" s="2">
        <f t="shared" si="14"/>
        <v>0</v>
      </c>
      <c r="F900" s="9"/>
      <c r="G900" s="9"/>
      <c r="H900" s="2">
        <f>IF(SUM(F900:G900)&gt;Instructions!$B$5,"Error",SUM(F900:G900))</f>
        <v>0</v>
      </c>
      <c r="I900" s="8"/>
    </row>
    <row r="901" spans="1:9">
      <c r="A901" s="8"/>
      <c r="B901" s="8"/>
      <c r="C901" s="2">
        <f>F901/Instructions!$B$5</f>
        <v>0</v>
      </c>
      <c r="D901" s="2">
        <f>G901/Instructions!$B$5</f>
        <v>0</v>
      </c>
      <c r="E901" s="2">
        <f t="shared" si="14"/>
        <v>0</v>
      </c>
      <c r="F901" s="9"/>
      <c r="G901" s="9"/>
      <c r="H901" s="2">
        <f>IF(SUM(F901:G901)&gt;Instructions!$B$5,"Error",SUM(F901:G901))</f>
        <v>0</v>
      </c>
      <c r="I901" s="8"/>
    </row>
    <row r="902" spans="1:9">
      <c r="A902" s="8"/>
      <c r="B902" s="8"/>
      <c r="C902" s="2">
        <f>F902/Instructions!$B$5</f>
        <v>0</v>
      </c>
      <c r="D902" s="2">
        <f>G902/Instructions!$B$5</f>
        <v>0</v>
      </c>
      <c r="E902" s="2">
        <f t="shared" si="14"/>
        <v>0</v>
      </c>
      <c r="F902" s="9"/>
      <c r="G902" s="9"/>
      <c r="H902" s="2">
        <f>IF(SUM(F902:G902)&gt;Instructions!$B$5,"Error",SUM(F902:G902))</f>
        <v>0</v>
      </c>
      <c r="I902" s="8"/>
    </row>
    <row r="903" spans="1:9">
      <c r="A903" s="8"/>
      <c r="B903" s="8"/>
      <c r="C903" s="2">
        <f>F903/Instructions!$B$5</f>
        <v>0</v>
      </c>
      <c r="D903" s="2">
        <f>G903/Instructions!$B$5</f>
        <v>0</v>
      </c>
      <c r="E903" s="2">
        <f t="shared" si="14"/>
        <v>0</v>
      </c>
      <c r="F903" s="9"/>
      <c r="G903" s="9"/>
      <c r="H903" s="2">
        <f>IF(SUM(F903:G903)&gt;Instructions!$B$5,"Error",SUM(F903:G903))</f>
        <v>0</v>
      </c>
      <c r="I903" s="8"/>
    </row>
    <row r="904" spans="1:9">
      <c r="A904" s="8"/>
      <c r="B904" s="8"/>
      <c r="C904" s="2">
        <f>F904/Instructions!$B$5</f>
        <v>0</v>
      </c>
      <c r="D904" s="2">
        <f>G904/Instructions!$B$5</f>
        <v>0</v>
      </c>
      <c r="E904" s="2">
        <f t="shared" ref="E904:E967" si="15">IF(SUM(C904:D904)&gt;1,"Error",SUM(C904:D904))</f>
        <v>0</v>
      </c>
      <c r="F904" s="9"/>
      <c r="G904" s="9"/>
      <c r="H904" s="2">
        <f>IF(SUM(F904:G904)&gt;Instructions!$B$5,"Error",SUM(F904:G904))</f>
        <v>0</v>
      </c>
      <c r="I904" s="8"/>
    </row>
    <row r="905" spans="1:9">
      <c r="A905" s="8"/>
      <c r="B905" s="8"/>
      <c r="C905" s="2">
        <f>F905/Instructions!$B$5</f>
        <v>0</v>
      </c>
      <c r="D905" s="2">
        <f>G905/Instructions!$B$5</f>
        <v>0</v>
      </c>
      <c r="E905" s="2">
        <f t="shared" si="15"/>
        <v>0</v>
      </c>
      <c r="F905" s="9"/>
      <c r="G905" s="9"/>
      <c r="H905" s="2">
        <f>IF(SUM(F905:G905)&gt;Instructions!$B$5,"Error",SUM(F905:G905))</f>
        <v>0</v>
      </c>
      <c r="I905" s="8"/>
    </row>
    <row r="906" spans="1:9">
      <c r="A906" s="8"/>
      <c r="B906" s="8"/>
      <c r="C906" s="2">
        <f>F906/Instructions!$B$5</f>
        <v>0</v>
      </c>
      <c r="D906" s="2">
        <f>G906/Instructions!$B$5</f>
        <v>0</v>
      </c>
      <c r="E906" s="2">
        <f t="shared" si="15"/>
        <v>0</v>
      </c>
      <c r="F906" s="9"/>
      <c r="G906" s="9"/>
      <c r="H906" s="2">
        <f>IF(SUM(F906:G906)&gt;Instructions!$B$5,"Error",SUM(F906:G906))</f>
        <v>0</v>
      </c>
      <c r="I906" s="8"/>
    </row>
    <row r="907" spans="1:9">
      <c r="A907" s="8"/>
      <c r="B907" s="8"/>
      <c r="C907" s="2">
        <f>F907/Instructions!$B$5</f>
        <v>0</v>
      </c>
      <c r="D907" s="2">
        <f>G907/Instructions!$B$5</f>
        <v>0</v>
      </c>
      <c r="E907" s="2">
        <f t="shared" si="15"/>
        <v>0</v>
      </c>
      <c r="F907" s="9"/>
      <c r="G907" s="9"/>
      <c r="H907" s="2">
        <f>IF(SUM(F907:G907)&gt;Instructions!$B$5,"Error",SUM(F907:G907))</f>
        <v>0</v>
      </c>
      <c r="I907" s="8"/>
    </row>
    <row r="908" spans="1:9">
      <c r="A908" s="8"/>
      <c r="B908" s="8"/>
      <c r="C908" s="2">
        <f>F908/Instructions!$B$5</f>
        <v>0</v>
      </c>
      <c r="D908" s="2">
        <f>G908/Instructions!$B$5</f>
        <v>0</v>
      </c>
      <c r="E908" s="2">
        <f t="shared" si="15"/>
        <v>0</v>
      </c>
      <c r="F908" s="9"/>
      <c r="G908" s="9"/>
      <c r="H908" s="2">
        <f>IF(SUM(F908:G908)&gt;Instructions!$B$5,"Error",SUM(F908:G908))</f>
        <v>0</v>
      </c>
      <c r="I908" s="8"/>
    </row>
    <row r="909" spans="1:9">
      <c r="A909" s="8"/>
      <c r="B909" s="8"/>
      <c r="C909" s="2">
        <f>F909/Instructions!$B$5</f>
        <v>0</v>
      </c>
      <c r="D909" s="2">
        <f>G909/Instructions!$B$5</f>
        <v>0</v>
      </c>
      <c r="E909" s="2">
        <f t="shared" si="15"/>
        <v>0</v>
      </c>
      <c r="F909" s="9"/>
      <c r="G909" s="9"/>
      <c r="H909" s="2">
        <f>IF(SUM(F909:G909)&gt;Instructions!$B$5,"Error",SUM(F909:G909))</f>
        <v>0</v>
      </c>
      <c r="I909" s="8"/>
    </row>
    <row r="910" spans="1:9">
      <c r="A910" s="8"/>
      <c r="B910" s="8"/>
      <c r="C910" s="2">
        <f>F910/Instructions!$B$5</f>
        <v>0</v>
      </c>
      <c r="D910" s="2">
        <f>G910/Instructions!$B$5</f>
        <v>0</v>
      </c>
      <c r="E910" s="2">
        <f t="shared" si="15"/>
        <v>0</v>
      </c>
      <c r="F910" s="9"/>
      <c r="G910" s="9"/>
      <c r="H910" s="2">
        <f>IF(SUM(F910:G910)&gt;Instructions!$B$5,"Error",SUM(F910:G910))</f>
        <v>0</v>
      </c>
      <c r="I910" s="8"/>
    </row>
    <row r="911" spans="1:9">
      <c r="A911" s="8"/>
      <c r="B911" s="8"/>
      <c r="C911" s="2">
        <f>F911/Instructions!$B$5</f>
        <v>0</v>
      </c>
      <c r="D911" s="2">
        <f>G911/Instructions!$B$5</f>
        <v>0</v>
      </c>
      <c r="E911" s="2">
        <f t="shared" si="15"/>
        <v>0</v>
      </c>
      <c r="F911" s="9"/>
      <c r="G911" s="9"/>
      <c r="H911" s="2">
        <f>IF(SUM(F911:G911)&gt;Instructions!$B$5,"Error",SUM(F911:G911))</f>
        <v>0</v>
      </c>
      <c r="I911" s="8"/>
    </row>
    <row r="912" spans="1:9">
      <c r="A912" s="8"/>
      <c r="B912" s="8"/>
      <c r="C912" s="2">
        <f>F912/Instructions!$B$5</f>
        <v>0</v>
      </c>
      <c r="D912" s="2">
        <f>G912/Instructions!$B$5</f>
        <v>0</v>
      </c>
      <c r="E912" s="2">
        <f t="shared" si="15"/>
        <v>0</v>
      </c>
      <c r="F912" s="9"/>
      <c r="G912" s="9"/>
      <c r="H912" s="2">
        <f>IF(SUM(F912:G912)&gt;Instructions!$B$5,"Error",SUM(F912:G912))</f>
        <v>0</v>
      </c>
      <c r="I912" s="8"/>
    </row>
    <row r="913" spans="1:9">
      <c r="A913" s="8"/>
      <c r="B913" s="8"/>
      <c r="C913" s="2">
        <f>F913/Instructions!$B$5</f>
        <v>0</v>
      </c>
      <c r="D913" s="2">
        <f>G913/Instructions!$B$5</f>
        <v>0</v>
      </c>
      <c r="E913" s="2">
        <f t="shared" si="15"/>
        <v>0</v>
      </c>
      <c r="F913" s="9"/>
      <c r="G913" s="9"/>
      <c r="H913" s="2">
        <f>IF(SUM(F913:G913)&gt;Instructions!$B$5,"Error",SUM(F913:G913))</f>
        <v>0</v>
      </c>
      <c r="I913" s="8"/>
    </row>
    <row r="914" spans="1:9">
      <c r="A914" s="8"/>
      <c r="B914" s="8"/>
      <c r="C914" s="2">
        <f>F914/Instructions!$B$5</f>
        <v>0</v>
      </c>
      <c r="D914" s="2">
        <f>G914/Instructions!$B$5</f>
        <v>0</v>
      </c>
      <c r="E914" s="2">
        <f t="shared" si="15"/>
        <v>0</v>
      </c>
      <c r="F914" s="9"/>
      <c r="G914" s="9"/>
      <c r="H914" s="2">
        <f>IF(SUM(F914:G914)&gt;Instructions!$B$5,"Error",SUM(F914:G914))</f>
        <v>0</v>
      </c>
      <c r="I914" s="8"/>
    </row>
    <row r="915" spans="1:9">
      <c r="A915" s="8"/>
      <c r="B915" s="8"/>
      <c r="C915" s="2">
        <f>F915/Instructions!$B$5</f>
        <v>0</v>
      </c>
      <c r="D915" s="2">
        <f>G915/Instructions!$B$5</f>
        <v>0</v>
      </c>
      <c r="E915" s="2">
        <f t="shared" si="15"/>
        <v>0</v>
      </c>
      <c r="F915" s="9"/>
      <c r="G915" s="9"/>
      <c r="H915" s="2">
        <f>IF(SUM(F915:G915)&gt;Instructions!$B$5,"Error",SUM(F915:G915))</f>
        <v>0</v>
      </c>
      <c r="I915" s="8"/>
    </row>
    <row r="916" spans="1:9">
      <c r="A916" s="8"/>
      <c r="B916" s="8"/>
      <c r="C916" s="2">
        <f>F916/Instructions!$B$5</f>
        <v>0</v>
      </c>
      <c r="D916" s="2">
        <f>G916/Instructions!$B$5</f>
        <v>0</v>
      </c>
      <c r="E916" s="2">
        <f t="shared" si="15"/>
        <v>0</v>
      </c>
      <c r="F916" s="9"/>
      <c r="G916" s="9"/>
      <c r="H916" s="2">
        <f>IF(SUM(F916:G916)&gt;Instructions!$B$5,"Error",SUM(F916:G916))</f>
        <v>0</v>
      </c>
      <c r="I916" s="8"/>
    </row>
    <row r="917" spans="1:9">
      <c r="A917" s="8"/>
      <c r="B917" s="8"/>
      <c r="C917" s="2">
        <f>F917/Instructions!$B$5</f>
        <v>0</v>
      </c>
      <c r="D917" s="2">
        <f>G917/Instructions!$B$5</f>
        <v>0</v>
      </c>
      <c r="E917" s="2">
        <f t="shared" si="15"/>
        <v>0</v>
      </c>
      <c r="F917" s="9"/>
      <c r="G917" s="9"/>
      <c r="H917" s="2">
        <f>IF(SUM(F917:G917)&gt;Instructions!$B$5,"Error",SUM(F917:G917))</f>
        <v>0</v>
      </c>
      <c r="I917" s="8"/>
    </row>
    <row r="918" spans="1:9">
      <c r="A918" s="8"/>
      <c r="B918" s="8"/>
      <c r="C918" s="2">
        <f>F918/Instructions!$B$5</f>
        <v>0</v>
      </c>
      <c r="D918" s="2">
        <f>G918/Instructions!$B$5</f>
        <v>0</v>
      </c>
      <c r="E918" s="2">
        <f t="shared" si="15"/>
        <v>0</v>
      </c>
      <c r="F918" s="9"/>
      <c r="G918" s="9"/>
      <c r="H918" s="2">
        <f>IF(SUM(F918:G918)&gt;Instructions!$B$5,"Error",SUM(F918:G918))</f>
        <v>0</v>
      </c>
      <c r="I918" s="8"/>
    </row>
    <row r="919" spans="1:9">
      <c r="A919" s="8"/>
      <c r="B919" s="8"/>
      <c r="C919" s="2">
        <f>F919/Instructions!$B$5</f>
        <v>0</v>
      </c>
      <c r="D919" s="2">
        <f>G919/Instructions!$B$5</f>
        <v>0</v>
      </c>
      <c r="E919" s="2">
        <f t="shared" si="15"/>
        <v>0</v>
      </c>
      <c r="F919" s="9"/>
      <c r="G919" s="9"/>
      <c r="H919" s="2">
        <f>IF(SUM(F919:G919)&gt;Instructions!$B$5,"Error",SUM(F919:G919))</f>
        <v>0</v>
      </c>
      <c r="I919" s="8"/>
    </row>
    <row r="920" spans="1:9">
      <c r="A920" s="8"/>
      <c r="B920" s="8"/>
      <c r="C920" s="2">
        <f>F920/Instructions!$B$5</f>
        <v>0</v>
      </c>
      <c r="D920" s="2">
        <f>G920/Instructions!$B$5</f>
        <v>0</v>
      </c>
      <c r="E920" s="2">
        <f t="shared" si="15"/>
        <v>0</v>
      </c>
      <c r="F920" s="9"/>
      <c r="G920" s="9"/>
      <c r="H920" s="2">
        <f>IF(SUM(F920:G920)&gt;Instructions!$B$5,"Error",SUM(F920:G920))</f>
        <v>0</v>
      </c>
      <c r="I920" s="8"/>
    </row>
    <row r="921" spans="1:9">
      <c r="A921" s="8"/>
      <c r="B921" s="8"/>
      <c r="C921" s="2">
        <f>F921/Instructions!$B$5</f>
        <v>0</v>
      </c>
      <c r="D921" s="2">
        <f>G921/Instructions!$B$5</f>
        <v>0</v>
      </c>
      <c r="E921" s="2">
        <f t="shared" si="15"/>
        <v>0</v>
      </c>
      <c r="F921" s="9"/>
      <c r="G921" s="9"/>
      <c r="H921" s="2">
        <f>IF(SUM(F921:G921)&gt;Instructions!$B$5,"Error",SUM(F921:G921))</f>
        <v>0</v>
      </c>
      <c r="I921" s="8"/>
    </row>
    <row r="922" spans="1:9">
      <c r="A922" s="8"/>
      <c r="B922" s="8"/>
      <c r="C922" s="2">
        <f>F922/Instructions!$B$5</f>
        <v>0</v>
      </c>
      <c r="D922" s="2">
        <f>G922/Instructions!$B$5</f>
        <v>0</v>
      </c>
      <c r="E922" s="2">
        <f t="shared" si="15"/>
        <v>0</v>
      </c>
      <c r="F922" s="9"/>
      <c r="G922" s="9"/>
      <c r="H922" s="2">
        <f>IF(SUM(F922:G922)&gt;Instructions!$B$5,"Error",SUM(F922:G922))</f>
        <v>0</v>
      </c>
      <c r="I922" s="8"/>
    </row>
    <row r="923" spans="1:9">
      <c r="A923" s="8"/>
      <c r="B923" s="8"/>
      <c r="C923" s="2">
        <f>F923/Instructions!$B$5</f>
        <v>0</v>
      </c>
      <c r="D923" s="2">
        <f>G923/Instructions!$B$5</f>
        <v>0</v>
      </c>
      <c r="E923" s="2">
        <f t="shared" si="15"/>
        <v>0</v>
      </c>
      <c r="F923" s="9"/>
      <c r="G923" s="9"/>
      <c r="H923" s="2">
        <f>IF(SUM(F923:G923)&gt;Instructions!$B$5,"Error",SUM(F923:G923))</f>
        <v>0</v>
      </c>
      <c r="I923" s="8"/>
    </row>
    <row r="924" spans="1:9">
      <c r="A924" s="8"/>
      <c r="B924" s="8"/>
      <c r="C924" s="2">
        <f>F924/Instructions!$B$5</f>
        <v>0</v>
      </c>
      <c r="D924" s="2">
        <f>G924/Instructions!$B$5</f>
        <v>0</v>
      </c>
      <c r="E924" s="2">
        <f t="shared" si="15"/>
        <v>0</v>
      </c>
      <c r="F924" s="9"/>
      <c r="G924" s="9"/>
      <c r="H924" s="2">
        <f>IF(SUM(F924:G924)&gt;Instructions!$B$5,"Error",SUM(F924:G924))</f>
        <v>0</v>
      </c>
      <c r="I924" s="8"/>
    </row>
    <row r="925" spans="1:9">
      <c r="A925" s="8"/>
      <c r="B925" s="8"/>
      <c r="C925" s="2">
        <f>F925/Instructions!$B$5</f>
        <v>0</v>
      </c>
      <c r="D925" s="2">
        <f>G925/Instructions!$B$5</f>
        <v>0</v>
      </c>
      <c r="E925" s="2">
        <f t="shared" si="15"/>
        <v>0</v>
      </c>
      <c r="F925" s="9"/>
      <c r="G925" s="9"/>
      <c r="H925" s="2">
        <f>IF(SUM(F925:G925)&gt;Instructions!$B$5,"Error",SUM(F925:G925))</f>
        <v>0</v>
      </c>
      <c r="I925" s="8"/>
    </row>
    <row r="926" spans="1:9">
      <c r="A926" s="8"/>
      <c r="B926" s="8"/>
      <c r="C926" s="2">
        <f>F926/Instructions!$B$5</f>
        <v>0</v>
      </c>
      <c r="D926" s="2">
        <f>G926/Instructions!$B$5</f>
        <v>0</v>
      </c>
      <c r="E926" s="2">
        <f t="shared" si="15"/>
        <v>0</v>
      </c>
      <c r="F926" s="9"/>
      <c r="G926" s="9"/>
      <c r="H926" s="2">
        <f>IF(SUM(F926:G926)&gt;Instructions!$B$5,"Error",SUM(F926:G926))</f>
        <v>0</v>
      </c>
      <c r="I926" s="8"/>
    </row>
    <row r="927" spans="1:9">
      <c r="A927" s="8"/>
      <c r="B927" s="8"/>
      <c r="C927" s="2">
        <f>F927/Instructions!$B$5</f>
        <v>0</v>
      </c>
      <c r="D927" s="2">
        <f>G927/Instructions!$B$5</f>
        <v>0</v>
      </c>
      <c r="E927" s="2">
        <f t="shared" si="15"/>
        <v>0</v>
      </c>
      <c r="F927" s="9"/>
      <c r="G927" s="9"/>
      <c r="H927" s="2">
        <f>IF(SUM(F927:G927)&gt;Instructions!$B$5,"Error",SUM(F927:G927))</f>
        <v>0</v>
      </c>
      <c r="I927" s="8"/>
    </row>
    <row r="928" spans="1:9">
      <c r="A928" s="8"/>
      <c r="B928" s="8"/>
      <c r="C928" s="2">
        <f>F928/Instructions!$B$5</f>
        <v>0</v>
      </c>
      <c r="D928" s="2">
        <f>G928/Instructions!$B$5</f>
        <v>0</v>
      </c>
      <c r="E928" s="2">
        <f t="shared" si="15"/>
        <v>0</v>
      </c>
      <c r="F928" s="9"/>
      <c r="G928" s="9"/>
      <c r="H928" s="2">
        <f>IF(SUM(F928:G928)&gt;Instructions!$B$5,"Error",SUM(F928:G928))</f>
        <v>0</v>
      </c>
      <c r="I928" s="8"/>
    </row>
    <row r="929" spans="1:9">
      <c r="A929" s="8"/>
      <c r="B929" s="8"/>
      <c r="C929" s="2">
        <f>F929/Instructions!$B$5</f>
        <v>0</v>
      </c>
      <c r="D929" s="2">
        <f>G929/Instructions!$B$5</f>
        <v>0</v>
      </c>
      <c r="E929" s="2">
        <f t="shared" si="15"/>
        <v>0</v>
      </c>
      <c r="F929" s="9"/>
      <c r="G929" s="9"/>
      <c r="H929" s="2">
        <f>IF(SUM(F929:G929)&gt;Instructions!$B$5,"Error",SUM(F929:G929))</f>
        <v>0</v>
      </c>
      <c r="I929" s="8"/>
    </row>
    <row r="930" spans="1:9">
      <c r="A930" s="8"/>
      <c r="B930" s="8"/>
      <c r="C930" s="2">
        <f>F930/Instructions!$B$5</f>
        <v>0</v>
      </c>
      <c r="D930" s="2">
        <f>G930/Instructions!$B$5</f>
        <v>0</v>
      </c>
      <c r="E930" s="2">
        <f t="shared" si="15"/>
        <v>0</v>
      </c>
      <c r="F930" s="9"/>
      <c r="G930" s="9"/>
      <c r="H930" s="2">
        <f>IF(SUM(F930:G930)&gt;Instructions!$B$5,"Error",SUM(F930:G930))</f>
        <v>0</v>
      </c>
      <c r="I930" s="8"/>
    </row>
    <row r="931" spans="1:9">
      <c r="A931" s="8"/>
      <c r="B931" s="8"/>
      <c r="C931" s="2">
        <f>F931/Instructions!$B$5</f>
        <v>0</v>
      </c>
      <c r="D931" s="2">
        <f>G931/Instructions!$B$5</f>
        <v>0</v>
      </c>
      <c r="E931" s="2">
        <f t="shared" si="15"/>
        <v>0</v>
      </c>
      <c r="F931" s="9"/>
      <c r="G931" s="9"/>
      <c r="H931" s="2">
        <f>IF(SUM(F931:G931)&gt;Instructions!$B$5,"Error",SUM(F931:G931))</f>
        <v>0</v>
      </c>
      <c r="I931" s="8"/>
    </row>
    <row r="932" spans="1:9">
      <c r="A932" s="8"/>
      <c r="B932" s="8"/>
      <c r="C932" s="2">
        <f>F932/Instructions!$B$5</f>
        <v>0</v>
      </c>
      <c r="D932" s="2">
        <f>G932/Instructions!$B$5</f>
        <v>0</v>
      </c>
      <c r="E932" s="2">
        <f t="shared" si="15"/>
        <v>0</v>
      </c>
      <c r="F932" s="9"/>
      <c r="G932" s="9"/>
      <c r="H932" s="2">
        <f>IF(SUM(F932:G932)&gt;Instructions!$B$5,"Error",SUM(F932:G932))</f>
        <v>0</v>
      </c>
      <c r="I932" s="8"/>
    </row>
    <row r="933" spans="1:9">
      <c r="A933" s="8"/>
      <c r="B933" s="8"/>
      <c r="C933" s="2">
        <f>F933/Instructions!$B$5</f>
        <v>0</v>
      </c>
      <c r="D933" s="2">
        <f>G933/Instructions!$B$5</f>
        <v>0</v>
      </c>
      <c r="E933" s="2">
        <f t="shared" si="15"/>
        <v>0</v>
      </c>
      <c r="F933" s="9"/>
      <c r="G933" s="9"/>
      <c r="H933" s="2">
        <f>IF(SUM(F933:G933)&gt;Instructions!$B$5,"Error",SUM(F933:G933))</f>
        <v>0</v>
      </c>
      <c r="I933" s="8"/>
    </row>
    <row r="934" spans="1:9">
      <c r="A934" s="8"/>
      <c r="B934" s="8"/>
      <c r="C934" s="2">
        <f>F934/Instructions!$B$5</f>
        <v>0</v>
      </c>
      <c r="D934" s="2">
        <f>G934/Instructions!$B$5</f>
        <v>0</v>
      </c>
      <c r="E934" s="2">
        <f t="shared" si="15"/>
        <v>0</v>
      </c>
      <c r="F934" s="9"/>
      <c r="G934" s="9"/>
      <c r="H934" s="2">
        <f>IF(SUM(F934:G934)&gt;Instructions!$B$5,"Error",SUM(F934:G934))</f>
        <v>0</v>
      </c>
      <c r="I934" s="8"/>
    </row>
    <row r="935" spans="1:9">
      <c r="A935" s="8"/>
      <c r="B935" s="8"/>
      <c r="C935" s="2">
        <f>F935/Instructions!$B$5</f>
        <v>0</v>
      </c>
      <c r="D935" s="2">
        <f>G935/Instructions!$B$5</f>
        <v>0</v>
      </c>
      <c r="E935" s="2">
        <f t="shared" si="15"/>
        <v>0</v>
      </c>
      <c r="F935" s="9"/>
      <c r="G935" s="9"/>
      <c r="H935" s="2">
        <f>IF(SUM(F935:G935)&gt;Instructions!$B$5,"Error",SUM(F935:G935))</f>
        <v>0</v>
      </c>
      <c r="I935" s="8"/>
    </row>
    <row r="936" spans="1:9">
      <c r="A936" s="8"/>
      <c r="B936" s="8"/>
      <c r="C936" s="2">
        <f>F936/Instructions!$B$5</f>
        <v>0</v>
      </c>
      <c r="D936" s="2">
        <f>G936/Instructions!$B$5</f>
        <v>0</v>
      </c>
      <c r="E936" s="2">
        <f t="shared" si="15"/>
        <v>0</v>
      </c>
      <c r="F936" s="9"/>
      <c r="G936" s="9"/>
      <c r="H936" s="2">
        <f>IF(SUM(F936:G936)&gt;Instructions!$B$5,"Error",SUM(F936:G936))</f>
        <v>0</v>
      </c>
      <c r="I936" s="8"/>
    </row>
    <row r="937" spans="1:9">
      <c r="A937" s="8"/>
      <c r="B937" s="8"/>
      <c r="C937" s="2">
        <f>F937/Instructions!$B$5</f>
        <v>0</v>
      </c>
      <c r="D937" s="2">
        <f>G937/Instructions!$B$5</f>
        <v>0</v>
      </c>
      <c r="E937" s="2">
        <f t="shared" si="15"/>
        <v>0</v>
      </c>
      <c r="F937" s="9"/>
      <c r="G937" s="9"/>
      <c r="H937" s="2">
        <f>IF(SUM(F937:G937)&gt;Instructions!$B$5,"Error",SUM(F937:G937))</f>
        <v>0</v>
      </c>
      <c r="I937" s="8"/>
    </row>
    <row r="938" spans="1:9">
      <c r="A938" s="8"/>
      <c r="B938" s="8"/>
      <c r="C938" s="2">
        <f>F938/Instructions!$B$5</f>
        <v>0</v>
      </c>
      <c r="D938" s="2">
        <f>G938/Instructions!$B$5</f>
        <v>0</v>
      </c>
      <c r="E938" s="2">
        <f t="shared" si="15"/>
        <v>0</v>
      </c>
      <c r="F938" s="9"/>
      <c r="G938" s="9"/>
      <c r="H938" s="2">
        <f>IF(SUM(F938:G938)&gt;Instructions!$B$5,"Error",SUM(F938:G938))</f>
        <v>0</v>
      </c>
      <c r="I938" s="8"/>
    </row>
    <row r="939" spans="1:9">
      <c r="A939" s="8"/>
      <c r="B939" s="8"/>
      <c r="C939" s="2">
        <f>F939/Instructions!$B$5</f>
        <v>0</v>
      </c>
      <c r="D939" s="2">
        <f>G939/Instructions!$B$5</f>
        <v>0</v>
      </c>
      <c r="E939" s="2">
        <f t="shared" si="15"/>
        <v>0</v>
      </c>
      <c r="F939" s="9"/>
      <c r="G939" s="9"/>
      <c r="H939" s="2">
        <f>IF(SUM(F939:G939)&gt;Instructions!$B$5,"Error",SUM(F939:G939))</f>
        <v>0</v>
      </c>
      <c r="I939" s="8"/>
    </row>
    <row r="940" spans="1:9">
      <c r="A940" s="8"/>
      <c r="B940" s="8"/>
      <c r="C940" s="2">
        <f>F940/Instructions!$B$5</f>
        <v>0</v>
      </c>
      <c r="D940" s="2">
        <f>G940/Instructions!$B$5</f>
        <v>0</v>
      </c>
      <c r="E940" s="2">
        <f t="shared" si="15"/>
        <v>0</v>
      </c>
      <c r="F940" s="9"/>
      <c r="G940" s="9"/>
      <c r="H940" s="2">
        <f>IF(SUM(F940:G940)&gt;Instructions!$B$5,"Error",SUM(F940:G940))</f>
        <v>0</v>
      </c>
      <c r="I940" s="8"/>
    </row>
    <row r="941" spans="1:9">
      <c r="A941" s="8"/>
      <c r="B941" s="8"/>
      <c r="C941" s="2">
        <f>F941/Instructions!$B$5</f>
        <v>0</v>
      </c>
      <c r="D941" s="2">
        <f>G941/Instructions!$B$5</f>
        <v>0</v>
      </c>
      <c r="E941" s="2">
        <f t="shared" si="15"/>
        <v>0</v>
      </c>
      <c r="F941" s="9"/>
      <c r="G941" s="9"/>
      <c r="H941" s="2">
        <f>IF(SUM(F941:G941)&gt;Instructions!$B$5,"Error",SUM(F941:G941))</f>
        <v>0</v>
      </c>
      <c r="I941" s="8"/>
    </row>
    <row r="942" spans="1:9">
      <c r="A942" s="8"/>
      <c r="B942" s="8"/>
      <c r="C942" s="2">
        <f>F942/Instructions!$B$5</f>
        <v>0</v>
      </c>
      <c r="D942" s="2">
        <f>G942/Instructions!$B$5</f>
        <v>0</v>
      </c>
      <c r="E942" s="2">
        <f t="shared" si="15"/>
        <v>0</v>
      </c>
      <c r="F942" s="9"/>
      <c r="G942" s="9"/>
      <c r="H942" s="2">
        <f>IF(SUM(F942:G942)&gt;Instructions!$B$5,"Error",SUM(F942:G942))</f>
        <v>0</v>
      </c>
      <c r="I942" s="8"/>
    </row>
    <row r="943" spans="1:9">
      <c r="A943" s="8"/>
      <c r="B943" s="8"/>
      <c r="C943" s="2">
        <f>F943/Instructions!$B$5</f>
        <v>0</v>
      </c>
      <c r="D943" s="2">
        <f>G943/Instructions!$B$5</f>
        <v>0</v>
      </c>
      <c r="E943" s="2">
        <f t="shared" si="15"/>
        <v>0</v>
      </c>
      <c r="F943" s="9"/>
      <c r="G943" s="9"/>
      <c r="H943" s="2">
        <f>IF(SUM(F943:G943)&gt;Instructions!$B$5,"Error",SUM(F943:G943))</f>
        <v>0</v>
      </c>
      <c r="I943" s="8"/>
    </row>
    <row r="944" spans="1:9">
      <c r="A944" s="8"/>
      <c r="B944" s="8"/>
      <c r="C944" s="2">
        <f>F944/Instructions!$B$5</f>
        <v>0</v>
      </c>
      <c r="D944" s="2">
        <f>G944/Instructions!$B$5</f>
        <v>0</v>
      </c>
      <c r="E944" s="2">
        <f t="shared" si="15"/>
        <v>0</v>
      </c>
      <c r="F944" s="9"/>
      <c r="G944" s="9"/>
      <c r="H944" s="2">
        <f>IF(SUM(F944:G944)&gt;Instructions!$B$5,"Error",SUM(F944:G944))</f>
        <v>0</v>
      </c>
      <c r="I944" s="8"/>
    </row>
    <row r="945" spans="1:9">
      <c r="A945" s="8"/>
      <c r="B945" s="8"/>
      <c r="C945" s="2">
        <f>F945/Instructions!$B$5</f>
        <v>0</v>
      </c>
      <c r="D945" s="2">
        <f>G945/Instructions!$B$5</f>
        <v>0</v>
      </c>
      <c r="E945" s="2">
        <f t="shared" si="15"/>
        <v>0</v>
      </c>
      <c r="F945" s="9"/>
      <c r="G945" s="9"/>
      <c r="H945" s="2">
        <f>IF(SUM(F945:G945)&gt;Instructions!$B$5,"Error",SUM(F945:G945))</f>
        <v>0</v>
      </c>
      <c r="I945" s="8"/>
    </row>
    <row r="946" spans="1:9">
      <c r="A946" s="8"/>
      <c r="B946" s="8"/>
      <c r="C946" s="2">
        <f>F946/Instructions!$B$5</f>
        <v>0</v>
      </c>
      <c r="D946" s="2">
        <f>G946/Instructions!$B$5</f>
        <v>0</v>
      </c>
      <c r="E946" s="2">
        <f t="shared" si="15"/>
        <v>0</v>
      </c>
      <c r="F946" s="9"/>
      <c r="G946" s="9"/>
      <c r="H946" s="2">
        <f>IF(SUM(F946:G946)&gt;Instructions!$B$5,"Error",SUM(F946:G946))</f>
        <v>0</v>
      </c>
      <c r="I946" s="8"/>
    </row>
    <row r="947" spans="1:9">
      <c r="A947" s="8"/>
      <c r="B947" s="8"/>
      <c r="C947" s="2">
        <f>F947/Instructions!$B$5</f>
        <v>0</v>
      </c>
      <c r="D947" s="2">
        <f>G947/Instructions!$B$5</f>
        <v>0</v>
      </c>
      <c r="E947" s="2">
        <f t="shared" si="15"/>
        <v>0</v>
      </c>
      <c r="F947" s="9"/>
      <c r="G947" s="9"/>
      <c r="H947" s="2">
        <f>IF(SUM(F947:G947)&gt;Instructions!$B$5,"Error",SUM(F947:G947))</f>
        <v>0</v>
      </c>
      <c r="I947" s="8"/>
    </row>
    <row r="948" spans="1:9">
      <c r="A948" s="8"/>
      <c r="B948" s="8"/>
      <c r="C948" s="2">
        <f>F948/Instructions!$B$5</f>
        <v>0</v>
      </c>
      <c r="D948" s="2">
        <f>G948/Instructions!$B$5</f>
        <v>0</v>
      </c>
      <c r="E948" s="2">
        <f t="shared" si="15"/>
        <v>0</v>
      </c>
      <c r="F948" s="9"/>
      <c r="G948" s="9"/>
      <c r="H948" s="2">
        <f>IF(SUM(F948:G948)&gt;Instructions!$B$5,"Error",SUM(F948:G948))</f>
        <v>0</v>
      </c>
      <c r="I948" s="8"/>
    </row>
    <row r="949" spans="1:9">
      <c r="A949" s="8"/>
      <c r="B949" s="8"/>
      <c r="C949" s="2">
        <f>F949/Instructions!$B$5</f>
        <v>0</v>
      </c>
      <c r="D949" s="2">
        <f>G949/Instructions!$B$5</f>
        <v>0</v>
      </c>
      <c r="E949" s="2">
        <f t="shared" si="15"/>
        <v>0</v>
      </c>
      <c r="F949" s="9"/>
      <c r="G949" s="9"/>
      <c r="H949" s="2">
        <f>IF(SUM(F949:G949)&gt;Instructions!$B$5,"Error",SUM(F949:G949))</f>
        <v>0</v>
      </c>
      <c r="I949" s="8"/>
    </row>
    <row r="950" spans="1:9">
      <c r="A950" s="8"/>
      <c r="B950" s="8"/>
      <c r="C950" s="2">
        <f>F950/Instructions!$B$5</f>
        <v>0</v>
      </c>
      <c r="D950" s="2">
        <f>G950/Instructions!$B$5</f>
        <v>0</v>
      </c>
      <c r="E950" s="2">
        <f t="shared" si="15"/>
        <v>0</v>
      </c>
      <c r="F950" s="9"/>
      <c r="G950" s="9"/>
      <c r="H950" s="2">
        <f>IF(SUM(F950:G950)&gt;Instructions!$B$5,"Error",SUM(F950:G950))</f>
        <v>0</v>
      </c>
      <c r="I950" s="8"/>
    </row>
    <row r="951" spans="1:9">
      <c r="A951" s="8"/>
      <c r="B951" s="8"/>
      <c r="C951" s="2">
        <f>F951/Instructions!$B$5</f>
        <v>0</v>
      </c>
      <c r="D951" s="2">
        <f>G951/Instructions!$B$5</f>
        <v>0</v>
      </c>
      <c r="E951" s="2">
        <f t="shared" si="15"/>
        <v>0</v>
      </c>
      <c r="F951" s="9"/>
      <c r="G951" s="9"/>
      <c r="H951" s="2">
        <f>IF(SUM(F951:G951)&gt;Instructions!$B$5,"Error",SUM(F951:G951))</f>
        <v>0</v>
      </c>
      <c r="I951" s="8"/>
    </row>
    <row r="952" spans="1:9">
      <c r="A952" s="8"/>
      <c r="B952" s="8"/>
      <c r="C952" s="2">
        <f>F952/Instructions!$B$5</f>
        <v>0</v>
      </c>
      <c r="D952" s="2">
        <f>G952/Instructions!$B$5</f>
        <v>0</v>
      </c>
      <c r="E952" s="2">
        <f t="shared" si="15"/>
        <v>0</v>
      </c>
      <c r="F952" s="9"/>
      <c r="G952" s="9"/>
      <c r="H952" s="2">
        <f>IF(SUM(F952:G952)&gt;Instructions!$B$5,"Error",SUM(F952:G952))</f>
        <v>0</v>
      </c>
      <c r="I952" s="8"/>
    </row>
    <row r="953" spans="1:9">
      <c r="A953" s="8"/>
      <c r="B953" s="8"/>
      <c r="C953" s="2">
        <f>F953/Instructions!$B$5</f>
        <v>0</v>
      </c>
      <c r="D953" s="2">
        <f>G953/Instructions!$B$5</f>
        <v>0</v>
      </c>
      <c r="E953" s="2">
        <f t="shared" si="15"/>
        <v>0</v>
      </c>
      <c r="F953" s="9"/>
      <c r="G953" s="9"/>
      <c r="H953" s="2">
        <f>IF(SUM(F953:G953)&gt;Instructions!$B$5,"Error",SUM(F953:G953))</f>
        <v>0</v>
      </c>
      <c r="I953" s="8"/>
    </row>
    <row r="954" spans="1:9">
      <c r="A954" s="8"/>
      <c r="B954" s="8"/>
      <c r="C954" s="2">
        <f>F954/Instructions!$B$5</f>
        <v>0</v>
      </c>
      <c r="D954" s="2">
        <f>G954/Instructions!$B$5</f>
        <v>0</v>
      </c>
      <c r="E954" s="2">
        <f t="shared" si="15"/>
        <v>0</v>
      </c>
      <c r="F954" s="9"/>
      <c r="G954" s="9"/>
      <c r="H954" s="2">
        <f>IF(SUM(F954:G954)&gt;Instructions!$B$5,"Error",SUM(F954:G954))</f>
        <v>0</v>
      </c>
      <c r="I954" s="8"/>
    </row>
    <row r="955" spans="1:9">
      <c r="A955" s="8"/>
      <c r="B955" s="8"/>
      <c r="C955" s="2">
        <f>F955/Instructions!$B$5</f>
        <v>0</v>
      </c>
      <c r="D955" s="2">
        <f>G955/Instructions!$B$5</f>
        <v>0</v>
      </c>
      <c r="E955" s="2">
        <f t="shared" si="15"/>
        <v>0</v>
      </c>
      <c r="F955" s="9"/>
      <c r="G955" s="9"/>
      <c r="H955" s="2">
        <f>IF(SUM(F955:G955)&gt;Instructions!$B$5,"Error",SUM(F955:G955))</f>
        <v>0</v>
      </c>
      <c r="I955" s="8"/>
    </row>
    <row r="956" spans="1:9">
      <c r="A956" s="8"/>
      <c r="B956" s="8"/>
      <c r="C956" s="2">
        <f>F956/Instructions!$B$5</f>
        <v>0</v>
      </c>
      <c r="D956" s="2">
        <f>G956/Instructions!$B$5</f>
        <v>0</v>
      </c>
      <c r="E956" s="2">
        <f t="shared" si="15"/>
        <v>0</v>
      </c>
      <c r="F956" s="9"/>
      <c r="G956" s="9"/>
      <c r="H956" s="2">
        <f>IF(SUM(F956:G956)&gt;Instructions!$B$5,"Error",SUM(F956:G956))</f>
        <v>0</v>
      </c>
      <c r="I956" s="8"/>
    </row>
    <row r="957" spans="1:9">
      <c r="A957" s="8"/>
      <c r="B957" s="8"/>
      <c r="C957" s="2">
        <f>F957/Instructions!$B$5</f>
        <v>0</v>
      </c>
      <c r="D957" s="2">
        <f>G957/Instructions!$B$5</f>
        <v>0</v>
      </c>
      <c r="E957" s="2">
        <f t="shared" si="15"/>
        <v>0</v>
      </c>
      <c r="F957" s="9"/>
      <c r="G957" s="9"/>
      <c r="H957" s="2">
        <f>IF(SUM(F957:G957)&gt;Instructions!$B$5,"Error",SUM(F957:G957))</f>
        <v>0</v>
      </c>
      <c r="I957" s="8"/>
    </row>
    <row r="958" spans="1:9">
      <c r="A958" s="8"/>
      <c r="B958" s="8"/>
      <c r="C958" s="2">
        <f>F958/Instructions!$B$5</f>
        <v>0</v>
      </c>
      <c r="D958" s="2">
        <f>G958/Instructions!$B$5</f>
        <v>0</v>
      </c>
      <c r="E958" s="2">
        <f t="shared" si="15"/>
        <v>0</v>
      </c>
      <c r="F958" s="9"/>
      <c r="G958" s="9"/>
      <c r="H958" s="2">
        <f>IF(SUM(F958:G958)&gt;Instructions!$B$5,"Error",SUM(F958:G958))</f>
        <v>0</v>
      </c>
      <c r="I958" s="8"/>
    </row>
    <row r="959" spans="1:9">
      <c r="A959" s="8"/>
      <c r="B959" s="8"/>
      <c r="C959" s="2">
        <f>F959/Instructions!$B$5</f>
        <v>0</v>
      </c>
      <c r="D959" s="2">
        <f>G959/Instructions!$B$5</f>
        <v>0</v>
      </c>
      <c r="E959" s="2">
        <f t="shared" si="15"/>
        <v>0</v>
      </c>
      <c r="F959" s="9"/>
      <c r="G959" s="9"/>
      <c r="H959" s="2">
        <f>IF(SUM(F959:G959)&gt;Instructions!$B$5,"Error",SUM(F959:G959))</f>
        <v>0</v>
      </c>
      <c r="I959" s="8"/>
    </row>
    <row r="960" spans="1:9">
      <c r="A960" s="8"/>
      <c r="B960" s="8"/>
      <c r="C960" s="2">
        <f>F960/Instructions!$B$5</f>
        <v>0</v>
      </c>
      <c r="D960" s="2">
        <f>G960/Instructions!$B$5</f>
        <v>0</v>
      </c>
      <c r="E960" s="2">
        <f t="shared" si="15"/>
        <v>0</v>
      </c>
      <c r="F960" s="9"/>
      <c r="G960" s="9"/>
      <c r="H960" s="2">
        <f>IF(SUM(F960:G960)&gt;Instructions!$B$5,"Error",SUM(F960:G960))</f>
        <v>0</v>
      </c>
      <c r="I960" s="8"/>
    </row>
    <row r="961" spans="1:9">
      <c r="A961" s="8"/>
      <c r="B961" s="8"/>
      <c r="C961" s="2">
        <f>F961/Instructions!$B$5</f>
        <v>0</v>
      </c>
      <c r="D961" s="2">
        <f>G961/Instructions!$B$5</f>
        <v>0</v>
      </c>
      <c r="E961" s="2">
        <f t="shared" si="15"/>
        <v>0</v>
      </c>
      <c r="F961" s="9"/>
      <c r="G961" s="9"/>
      <c r="H961" s="2">
        <f>IF(SUM(F961:G961)&gt;Instructions!$B$5,"Error",SUM(F961:G961))</f>
        <v>0</v>
      </c>
      <c r="I961" s="8"/>
    </row>
    <row r="962" spans="1:9">
      <c r="A962" s="8"/>
      <c r="B962" s="8"/>
      <c r="C962" s="2">
        <f>F962/Instructions!$B$5</f>
        <v>0</v>
      </c>
      <c r="D962" s="2">
        <f>G962/Instructions!$B$5</f>
        <v>0</v>
      </c>
      <c r="E962" s="2">
        <f t="shared" si="15"/>
        <v>0</v>
      </c>
      <c r="F962" s="9"/>
      <c r="G962" s="9"/>
      <c r="H962" s="2">
        <f>IF(SUM(F962:G962)&gt;Instructions!$B$5,"Error",SUM(F962:G962))</f>
        <v>0</v>
      </c>
      <c r="I962" s="8"/>
    </row>
    <row r="963" spans="1:9">
      <c r="A963" s="8"/>
      <c r="B963" s="8"/>
      <c r="C963" s="2">
        <f>F963/Instructions!$B$5</f>
        <v>0</v>
      </c>
      <c r="D963" s="2">
        <f>G963/Instructions!$B$5</f>
        <v>0</v>
      </c>
      <c r="E963" s="2">
        <f t="shared" si="15"/>
        <v>0</v>
      </c>
      <c r="F963" s="9"/>
      <c r="G963" s="9"/>
      <c r="H963" s="2">
        <f>IF(SUM(F963:G963)&gt;Instructions!$B$5,"Error",SUM(F963:G963))</f>
        <v>0</v>
      </c>
      <c r="I963" s="8"/>
    </row>
    <row r="964" spans="1:9">
      <c r="A964" s="8"/>
      <c r="B964" s="8"/>
      <c r="C964" s="2">
        <f>F964/Instructions!$B$5</f>
        <v>0</v>
      </c>
      <c r="D964" s="2">
        <f>G964/Instructions!$B$5</f>
        <v>0</v>
      </c>
      <c r="E964" s="2">
        <f t="shared" si="15"/>
        <v>0</v>
      </c>
      <c r="F964" s="9"/>
      <c r="G964" s="9"/>
      <c r="H964" s="2">
        <f>IF(SUM(F964:G964)&gt;Instructions!$B$5,"Error",SUM(F964:G964))</f>
        <v>0</v>
      </c>
      <c r="I964" s="8"/>
    </row>
    <row r="965" spans="1:9">
      <c r="A965" s="8"/>
      <c r="B965" s="8"/>
      <c r="C965" s="2">
        <f>F965/Instructions!$B$5</f>
        <v>0</v>
      </c>
      <c r="D965" s="2">
        <f>G965/Instructions!$B$5</f>
        <v>0</v>
      </c>
      <c r="E965" s="2">
        <f t="shared" si="15"/>
        <v>0</v>
      </c>
      <c r="F965" s="9"/>
      <c r="G965" s="9"/>
      <c r="H965" s="2">
        <f>IF(SUM(F965:G965)&gt;Instructions!$B$5,"Error",SUM(F965:G965))</f>
        <v>0</v>
      </c>
      <c r="I965" s="8"/>
    </row>
    <row r="966" spans="1:9">
      <c r="A966" s="8"/>
      <c r="B966" s="8"/>
      <c r="C966" s="2">
        <f>F966/Instructions!$B$5</f>
        <v>0</v>
      </c>
      <c r="D966" s="2">
        <f>G966/Instructions!$B$5</f>
        <v>0</v>
      </c>
      <c r="E966" s="2">
        <f t="shared" si="15"/>
        <v>0</v>
      </c>
      <c r="F966" s="9"/>
      <c r="G966" s="9"/>
      <c r="H966" s="2">
        <f>IF(SUM(F966:G966)&gt;Instructions!$B$5,"Error",SUM(F966:G966))</f>
        <v>0</v>
      </c>
      <c r="I966" s="8"/>
    </row>
    <row r="967" spans="1:9">
      <c r="A967" s="8"/>
      <c r="B967" s="8"/>
      <c r="C967" s="2">
        <f>F967/Instructions!$B$5</f>
        <v>0</v>
      </c>
      <c r="D967" s="2">
        <f>G967/Instructions!$B$5</f>
        <v>0</v>
      </c>
      <c r="E967" s="2">
        <f t="shared" si="15"/>
        <v>0</v>
      </c>
      <c r="F967" s="9"/>
      <c r="G967" s="9"/>
      <c r="H967" s="2">
        <f>IF(SUM(F967:G967)&gt;Instructions!$B$5,"Error",SUM(F967:G967))</f>
        <v>0</v>
      </c>
      <c r="I967" s="8"/>
    </row>
    <row r="968" spans="1:9">
      <c r="A968" s="8"/>
      <c r="B968" s="8"/>
      <c r="C968" s="2">
        <f>F968/Instructions!$B$5</f>
        <v>0</v>
      </c>
      <c r="D968" s="2">
        <f>G968/Instructions!$B$5</f>
        <v>0</v>
      </c>
      <c r="E968" s="2">
        <f t="shared" ref="E968:E1031" si="16">IF(SUM(C968:D968)&gt;1,"Error",SUM(C968:D968))</f>
        <v>0</v>
      </c>
      <c r="F968" s="9"/>
      <c r="G968" s="9"/>
      <c r="H968" s="2">
        <f>IF(SUM(F968:G968)&gt;Instructions!$B$5,"Error",SUM(F968:G968))</f>
        <v>0</v>
      </c>
      <c r="I968" s="8"/>
    </row>
    <row r="969" spans="1:9">
      <c r="A969" s="8"/>
      <c r="B969" s="8"/>
      <c r="C969" s="2">
        <f>F969/Instructions!$B$5</f>
        <v>0</v>
      </c>
      <c r="D969" s="2">
        <f>G969/Instructions!$B$5</f>
        <v>0</v>
      </c>
      <c r="E969" s="2">
        <f t="shared" si="16"/>
        <v>0</v>
      </c>
      <c r="F969" s="9"/>
      <c r="G969" s="9"/>
      <c r="H969" s="2">
        <f>IF(SUM(F969:G969)&gt;Instructions!$B$5,"Error",SUM(F969:G969))</f>
        <v>0</v>
      </c>
      <c r="I969" s="8"/>
    </row>
    <row r="970" spans="1:9">
      <c r="A970" s="8"/>
      <c r="B970" s="8"/>
      <c r="C970" s="2">
        <f>F970/Instructions!$B$5</f>
        <v>0</v>
      </c>
      <c r="D970" s="2">
        <f>G970/Instructions!$B$5</f>
        <v>0</v>
      </c>
      <c r="E970" s="2">
        <f t="shared" si="16"/>
        <v>0</v>
      </c>
      <c r="F970" s="9"/>
      <c r="G970" s="9"/>
      <c r="H970" s="2">
        <f>IF(SUM(F970:G970)&gt;Instructions!$B$5,"Error",SUM(F970:G970))</f>
        <v>0</v>
      </c>
      <c r="I970" s="8"/>
    </row>
    <row r="971" spans="1:9">
      <c r="A971" s="8"/>
      <c r="B971" s="8"/>
      <c r="C971" s="2">
        <f>F971/Instructions!$B$5</f>
        <v>0</v>
      </c>
      <c r="D971" s="2">
        <f>G971/Instructions!$B$5</f>
        <v>0</v>
      </c>
      <c r="E971" s="2">
        <f t="shared" si="16"/>
        <v>0</v>
      </c>
      <c r="F971" s="9"/>
      <c r="G971" s="9"/>
      <c r="H971" s="2">
        <f>IF(SUM(F971:G971)&gt;Instructions!$B$5,"Error",SUM(F971:G971))</f>
        <v>0</v>
      </c>
      <c r="I971" s="8"/>
    </row>
    <row r="972" spans="1:9">
      <c r="A972" s="8"/>
      <c r="B972" s="8"/>
      <c r="C972" s="2">
        <f>F972/Instructions!$B$5</f>
        <v>0</v>
      </c>
      <c r="D972" s="2">
        <f>G972/Instructions!$B$5</f>
        <v>0</v>
      </c>
      <c r="E972" s="2">
        <f t="shared" si="16"/>
        <v>0</v>
      </c>
      <c r="F972" s="9"/>
      <c r="G972" s="9"/>
      <c r="H972" s="2">
        <f>IF(SUM(F972:G972)&gt;Instructions!$B$5,"Error",SUM(F972:G972))</f>
        <v>0</v>
      </c>
      <c r="I972" s="8"/>
    </row>
    <row r="973" spans="1:9">
      <c r="A973" s="8"/>
      <c r="B973" s="8"/>
      <c r="C973" s="2">
        <f>F973/Instructions!$B$5</f>
        <v>0</v>
      </c>
      <c r="D973" s="2">
        <f>G973/Instructions!$B$5</f>
        <v>0</v>
      </c>
      <c r="E973" s="2">
        <f t="shared" si="16"/>
        <v>0</v>
      </c>
      <c r="F973" s="9"/>
      <c r="G973" s="9"/>
      <c r="H973" s="2">
        <f>IF(SUM(F973:G973)&gt;Instructions!$B$5,"Error",SUM(F973:G973))</f>
        <v>0</v>
      </c>
      <c r="I973" s="8"/>
    </row>
    <row r="974" spans="1:9">
      <c r="A974" s="8"/>
      <c r="B974" s="8"/>
      <c r="C974" s="2">
        <f>F974/Instructions!$B$5</f>
        <v>0</v>
      </c>
      <c r="D974" s="2">
        <f>G974/Instructions!$B$5</f>
        <v>0</v>
      </c>
      <c r="E974" s="2">
        <f t="shared" si="16"/>
        <v>0</v>
      </c>
      <c r="F974" s="9"/>
      <c r="G974" s="9"/>
      <c r="H974" s="2">
        <f>IF(SUM(F974:G974)&gt;Instructions!$B$5,"Error",SUM(F974:G974))</f>
        <v>0</v>
      </c>
      <c r="I974" s="8"/>
    </row>
    <row r="975" spans="1:9">
      <c r="A975" s="8"/>
      <c r="B975" s="8"/>
      <c r="C975" s="2">
        <f>F975/Instructions!$B$5</f>
        <v>0</v>
      </c>
      <c r="D975" s="2">
        <f>G975/Instructions!$B$5</f>
        <v>0</v>
      </c>
      <c r="E975" s="2">
        <f t="shared" si="16"/>
        <v>0</v>
      </c>
      <c r="F975" s="9"/>
      <c r="G975" s="9"/>
      <c r="H975" s="2">
        <f>IF(SUM(F975:G975)&gt;Instructions!$B$5,"Error",SUM(F975:G975))</f>
        <v>0</v>
      </c>
      <c r="I975" s="8"/>
    </row>
    <row r="976" spans="1:9">
      <c r="A976" s="8"/>
      <c r="B976" s="8"/>
      <c r="C976" s="2">
        <f>F976/Instructions!$B$5</f>
        <v>0</v>
      </c>
      <c r="D976" s="2">
        <f>G976/Instructions!$B$5</f>
        <v>0</v>
      </c>
      <c r="E976" s="2">
        <f t="shared" si="16"/>
        <v>0</v>
      </c>
      <c r="F976" s="9"/>
      <c r="G976" s="9"/>
      <c r="H976" s="2">
        <f>IF(SUM(F976:G976)&gt;Instructions!$B$5,"Error",SUM(F976:G976))</f>
        <v>0</v>
      </c>
      <c r="I976" s="8"/>
    </row>
    <row r="977" spans="1:9">
      <c r="A977" s="8"/>
      <c r="B977" s="8"/>
      <c r="C977" s="2">
        <f>F977/Instructions!$B$5</f>
        <v>0</v>
      </c>
      <c r="D977" s="2">
        <f>G977/Instructions!$B$5</f>
        <v>0</v>
      </c>
      <c r="E977" s="2">
        <f t="shared" si="16"/>
        <v>0</v>
      </c>
      <c r="F977" s="9"/>
      <c r="G977" s="9"/>
      <c r="H977" s="2">
        <f>IF(SUM(F977:G977)&gt;Instructions!$B$5,"Error",SUM(F977:G977))</f>
        <v>0</v>
      </c>
      <c r="I977" s="8"/>
    </row>
    <row r="978" spans="1:9">
      <c r="A978" s="8"/>
      <c r="B978" s="8"/>
      <c r="C978" s="2">
        <f>F978/Instructions!$B$5</f>
        <v>0</v>
      </c>
      <c r="D978" s="2">
        <f>G978/Instructions!$B$5</f>
        <v>0</v>
      </c>
      <c r="E978" s="2">
        <f t="shared" si="16"/>
        <v>0</v>
      </c>
      <c r="F978" s="9"/>
      <c r="G978" s="9"/>
      <c r="H978" s="2">
        <f>IF(SUM(F978:G978)&gt;Instructions!$B$5,"Error",SUM(F978:G978))</f>
        <v>0</v>
      </c>
      <c r="I978" s="8"/>
    </row>
    <row r="979" spans="1:9">
      <c r="A979" s="8"/>
      <c r="B979" s="8"/>
      <c r="C979" s="2">
        <f>F979/Instructions!$B$5</f>
        <v>0</v>
      </c>
      <c r="D979" s="2">
        <f>G979/Instructions!$B$5</f>
        <v>0</v>
      </c>
      <c r="E979" s="2">
        <f t="shared" si="16"/>
        <v>0</v>
      </c>
      <c r="F979" s="9"/>
      <c r="G979" s="9"/>
      <c r="H979" s="2">
        <f>IF(SUM(F979:G979)&gt;Instructions!$B$5,"Error",SUM(F979:G979))</f>
        <v>0</v>
      </c>
      <c r="I979" s="8"/>
    </row>
    <row r="980" spans="1:9">
      <c r="A980" s="8"/>
      <c r="B980" s="8"/>
      <c r="C980" s="2">
        <f>F980/Instructions!$B$5</f>
        <v>0</v>
      </c>
      <c r="D980" s="2">
        <f>G980/Instructions!$B$5</f>
        <v>0</v>
      </c>
      <c r="E980" s="2">
        <f t="shared" si="16"/>
        <v>0</v>
      </c>
      <c r="F980" s="9"/>
      <c r="G980" s="9"/>
      <c r="H980" s="2">
        <f>IF(SUM(F980:G980)&gt;Instructions!$B$5,"Error",SUM(F980:G980))</f>
        <v>0</v>
      </c>
      <c r="I980" s="8"/>
    </row>
    <row r="981" spans="1:9">
      <c r="A981" s="8"/>
      <c r="B981" s="8"/>
      <c r="C981" s="2">
        <f>F981/Instructions!$B$5</f>
        <v>0</v>
      </c>
      <c r="D981" s="2">
        <f>G981/Instructions!$B$5</f>
        <v>0</v>
      </c>
      <c r="E981" s="2">
        <f t="shared" si="16"/>
        <v>0</v>
      </c>
      <c r="F981" s="9"/>
      <c r="G981" s="9"/>
      <c r="H981" s="2">
        <f>IF(SUM(F981:G981)&gt;Instructions!$B$5,"Error",SUM(F981:G981))</f>
        <v>0</v>
      </c>
      <c r="I981" s="8"/>
    </row>
    <row r="982" spans="1:9">
      <c r="A982" s="8"/>
      <c r="B982" s="8"/>
      <c r="C982" s="2">
        <f>F982/Instructions!$B$5</f>
        <v>0</v>
      </c>
      <c r="D982" s="2">
        <f>G982/Instructions!$B$5</f>
        <v>0</v>
      </c>
      <c r="E982" s="2">
        <f t="shared" si="16"/>
        <v>0</v>
      </c>
      <c r="F982" s="9"/>
      <c r="G982" s="9"/>
      <c r="H982" s="2">
        <f>IF(SUM(F982:G982)&gt;Instructions!$B$5,"Error",SUM(F982:G982))</f>
        <v>0</v>
      </c>
      <c r="I982" s="8"/>
    </row>
    <row r="983" spans="1:9">
      <c r="A983" s="8"/>
      <c r="B983" s="8"/>
      <c r="C983" s="2">
        <f>F983/Instructions!$B$5</f>
        <v>0</v>
      </c>
      <c r="D983" s="2">
        <f>G983/Instructions!$B$5</f>
        <v>0</v>
      </c>
      <c r="E983" s="2">
        <f t="shared" si="16"/>
        <v>0</v>
      </c>
      <c r="F983" s="9"/>
      <c r="G983" s="9"/>
      <c r="H983" s="2">
        <f>IF(SUM(F983:G983)&gt;Instructions!$B$5,"Error",SUM(F983:G983))</f>
        <v>0</v>
      </c>
      <c r="I983" s="8"/>
    </row>
    <row r="984" spans="1:9">
      <c r="A984" s="8"/>
      <c r="B984" s="8"/>
      <c r="C984" s="2">
        <f>F984/Instructions!$B$5</f>
        <v>0</v>
      </c>
      <c r="D984" s="2">
        <f>G984/Instructions!$B$5</f>
        <v>0</v>
      </c>
      <c r="E984" s="2">
        <f t="shared" si="16"/>
        <v>0</v>
      </c>
      <c r="F984" s="9"/>
      <c r="G984" s="9"/>
      <c r="H984" s="2">
        <f>IF(SUM(F984:G984)&gt;Instructions!$B$5,"Error",SUM(F984:G984))</f>
        <v>0</v>
      </c>
      <c r="I984" s="8"/>
    </row>
    <row r="985" spans="1:9">
      <c r="A985" s="8"/>
      <c r="B985" s="8"/>
      <c r="C985" s="2">
        <f>F985/Instructions!$B$5</f>
        <v>0</v>
      </c>
      <c r="D985" s="2">
        <f>G985/Instructions!$B$5</f>
        <v>0</v>
      </c>
      <c r="E985" s="2">
        <f t="shared" si="16"/>
        <v>0</v>
      </c>
      <c r="F985" s="9"/>
      <c r="G985" s="9"/>
      <c r="H985" s="2">
        <f>IF(SUM(F985:G985)&gt;Instructions!$B$5,"Error",SUM(F985:G985))</f>
        <v>0</v>
      </c>
      <c r="I985" s="8"/>
    </row>
    <row r="986" spans="1:9">
      <c r="A986" s="8"/>
      <c r="B986" s="8"/>
      <c r="C986" s="2">
        <f>F986/Instructions!$B$5</f>
        <v>0</v>
      </c>
      <c r="D986" s="2">
        <f>G986/Instructions!$B$5</f>
        <v>0</v>
      </c>
      <c r="E986" s="2">
        <f t="shared" si="16"/>
        <v>0</v>
      </c>
      <c r="F986" s="9"/>
      <c r="G986" s="9"/>
      <c r="H986" s="2">
        <f>IF(SUM(F986:G986)&gt;Instructions!$B$5,"Error",SUM(F986:G986))</f>
        <v>0</v>
      </c>
      <c r="I986" s="8"/>
    </row>
    <row r="987" spans="1:9">
      <c r="A987" s="8"/>
      <c r="B987" s="8"/>
      <c r="C987" s="2">
        <f>F987/Instructions!$B$5</f>
        <v>0</v>
      </c>
      <c r="D987" s="2">
        <f>G987/Instructions!$B$5</f>
        <v>0</v>
      </c>
      <c r="E987" s="2">
        <f t="shared" si="16"/>
        <v>0</v>
      </c>
      <c r="F987" s="9"/>
      <c r="G987" s="9"/>
      <c r="H987" s="2">
        <f>IF(SUM(F987:G987)&gt;Instructions!$B$5,"Error",SUM(F987:G987))</f>
        <v>0</v>
      </c>
      <c r="I987" s="8"/>
    </row>
    <row r="988" spans="1:9">
      <c r="A988" s="8"/>
      <c r="B988" s="8"/>
      <c r="C988" s="2">
        <f>F988/Instructions!$B$5</f>
        <v>0</v>
      </c>
      <c r="D988" s="2">
        <f>G988/Instructions!$B$5</f>
        <v>0</v>
      </c>
      <c r="E988" s="2">
        <f t="shared" si="16"/>
        <v>0</v>
      </c>
      <c r="F988" s="9"/>
      <c r="G988" s="9"/>
      <c r="H988" s="2">
        <f>IF(SUM(F988:G988)&gt;Instructions!$B$5,"Error",SUM(F988:G988))</f>
        <v>0</v>
      </c>
      <c r="I988" s="8"/>
    </row>
    <row r="989" spans="1:9">
      <c r="A989" s="8"/>
      <c r="B989" s="8"/>
      <c r="C989" s="2">
        <f>F989/Instructions!$B$5</f>
        <v>0</v>
      </c>
      <c r="D989" s="2">
        <f>G989/Instructions!$B$5</f>
        <v>0</v>
      </c>
      <c r="E989" s="2">
        <f t="shared" si="16"/>
        <v>0</v>
      </c>
      <c r="F989" s="9"/>
      <c r="G989" s="9"/>
      <c r="H989" s="2">
        <f>IF(SUM(F989:G989)&gt;Instructions!$B$5,"Error",SUM(F989:G989))</f>
        <v>0</v>
      </c>
      <c r="I989" s="8"/>
    </row>
    <row r="990" spans="1:9">
      <c r="A990" s="8"/>
      <c r="B990" s="8"/>
      <c r="C990" s="2">
        <f>F990/Instructions!$B$5</f>
        <v>0</v>
      </c>
      <c r="D990" s="2">
        <f>G990/Instructions!$B$5</f>
        <v>0</v>
      </c>
      <c r="E990" s="2">
        <f t="shared" si="16"/>
        <v>0</v>
      </c>
      <c r="F990" s="9"/>
      <c r="G990" s="9"/>
      <c r="H990" s="2">
        <f>IF(SUM(F990:G990)&gt;Instructions!$B$5,"Error",SUM(F990:G990))</f>
        <v>0</v>
      </c>
      <c r="I990" s="8"/>
    </row>
    <row r="991" spans="1:9">
      <c r="A991" s="8"/>
      <c r="B991" s="8"/>
      <c r="C991" s="2">
        <f>F991/Instructions!$B$5</f>
        <v>0</v>
      </c>
      <c r="D991" s="2">
        <f>G991/Instructions!$B$5</f>
        <v>0</v>
      </c>
      <c r="E991" s="2">
        <f t="shared" si="16"/>
        <v>0</v>
      </c>
      <c r="F991" s="9"/>
      <c r="G991" s="9"/>
      <c r="H991" s="2">
        <f>IF(SUM(F991:G991)&gt;Instructions!$B$5,"Error",SUM(F991:G991))</f>
        <v>0</v>
      </c>
      <c r="I991" s="8"/>
    </row>
    <row r="992" spans="1:9">
      <c r="A992" s="8"/>
      <c r="B992" s="8"/>
      <c r="C992" s="2">
        <f>F992/Instructions!$B$5</f>
        <v>0</v>
      </c>
      <c r="D992" s="2">
        <f>G992/Instructions!$B$5</f>
        <v>0</v>
      </c>
      <c r="E992" s="2">
        <f t="shared" si="16"/>
        <v>0</v>
      </c>
      <c r="F992" s="9"/>
      <c r="G992" s="9"/>
      <c r="H992" s="2">
        <f>IF(SUM(F992:G992)&gt;Instructions!$B$5,"Error",SUM(F992:G992))</f>
        <v>0</v>
      </c>
      <c r="I992" s="8"/>
    </row>
    <row r="993" spans="1:9">
      <c r="A993" s="8"/>
      <c r="B993" s="8"/>
      <c r="C993" s="2">
        <f>F993/Instructions!$B$5</f>
        <v>0</v>
      </c>
      <c r="D993" s="2">
        <f>G993/Instructions!$B$5</f>
        <v>0</v>
      </c>
      <c r="E993" s="2">
        <f t="shared" si="16"/>
        <v>0</v>
      </c>
      <c r="F993" s="9"/>
      <c r="G993" s="9"/>
      <c r="H993" s="2">
        <f>IF(SUM(F993:G993)&gt;Instructions!$B$5,"Error",SUM(F993:G993))</f>
        <v>0</v>
      </c>
      <c r="I993" s="8"/>
    </row>
    <row r="994" spans="1:9">
      <c r="A994" s="8"/>
      <c r="B994" s="8"/>
      <c r="C994" s="2">
        <f>F994/Instructions!$B$5</f>
        <v>0</v>
      </c>
      <c r="D994" s="2">
        <f>G994/Instructions!$B$5</f>
        <v>0</v>
      </c>
      <c r="E994" s="2">
        <f t="shared" si="16"/>
        <v>0</v>
      </c>
      <c r="F994" s="9"/>
      <c r="G994" s="9"/>
      <c r="H994" s="2">
        <f>IF(SUM(F994:G994)&gt;Instructions!$B$5,"Error",SUM(F994:G994))</f>
        <v>0</v>
      </c>
      <c r="I994" s="8"/>
    </row>
    <row r="995" spans="1:9">
      <c r="A995" s="8"/>
      <c r="B995" s="8"/>
      <c r="C995" s="2">
        <f>F995/Instructions!$B$5</f>
        <v>0</v>
      </c>
      <c r="D995" s="2">
        <f>G995/Instructions!$B$5</f>
        <v>0</v>
      </c>
      <c r="E995" s="2">
        <f t="shared" si="16"/>
        <v>0</v>
      </c>
      <c r="F995" s="9"/>
      <c r="G995" s="9"/>
      <c r="H995" s="2">
        <f>IF(SUM(F995:G995)&gt;Instructions!$B$5,"Error",SUM(F995:G995))</f>
        <v>0</v>
      </c>
      <c r="I995" s="8"/>
    </row>
    <row r="996" spans="1:9">
      <c r="A996" s="8"/>
      <c r="B996" s="8"/>
      <c r="C996" s="2">
        <f>F996/Instructions!$B$5</f>
        <v>0</v>
      </c>
      <c r="D996" s="2">
        <f>G996/Instructions!$B$5</f>
        <v>0</v>
      </c>
      <c r="E996" s="2">
        <f t="shared" si="16"/>
        <v>0</v>
      </c>
      <c r="F996" s="9"/>
      <c r="G996" s="9"/>
      <c r="H996" s="2">
        <f>IF(SUM(F996:G996)&gt;Instructions!$B$5,"Error",SUM(F996:G996))</f>
        <v>0</v>
      </c>
      <c r="I996" s="8"/>
    </row>
    <row r="997" spans="1:9">
      <c r="A997" s="8"/>
      <c r="B997" s="8"/>
      <c r="C997" s="2">
        <f>F997/Instructions!$B$5</f>
        <v>0</v>
      </c>
      <c r="D997" s="2">
        <f>G997/Instructions!$B$5</f>
        <v>0</v>
      </c>
      <c r="E997" s="2">
        <f t="shared" si="16"/>
        <v>0</v>
      </c>
      <c r="F997" s="9"/>
      <c r="G997" s="9"/>
      <c r="H997" s="2">
        <f>IF(SUM(F997:G997)&gt;Instructions!$B$5,"Error",SUM(F997:G997))</f>
        <v>0</v>
      </c>
      <c r="I997" s="8"/>
    </row>
    <row r="998" spans="1:9">
      <c r="A998" s="8"/>
      <c r="B998" s="8"/>
      <c r="C998" s="2">
        <f>F998/Instructions!$B$5</f>
        <v>0</v>
      </c>
      <c r="D998" s="2">
        <f>G998/Instructions!$B$5</f>
        <v>0</v>
      </c>
      <c r="E998" s="2">
        <f t="shared" si="16"/>
        <v>0</v>
      </c>
      <c r="F998" s="9"/>
      <c r="G998" s="9"/>
      <c r="H998" s="2">
        <f>IF(SUM(F998:G998)&gt;Instructions!$B$5,"Error",SUM(F998:G998))</f>
        <v>0</v>
      </c>
      <c r="I998" s="8"/>
    </row>
    <row r="999" spans="1:9">
      <c r="A999" s="8"/>
      <c r="B999" s="8"/>
      <c r="C999" s="2">
        <f>F999/Instructions!$B$5</f>
        <v>0</v>
      </c>
      <c r="D999" s="2">
        <f>G999/Instructions!$B$5</f>
        <v>0</v>
      </c>
      <c r="E999" s="2">
        <f t="shared" si="16"/>
        <v>0</v>
      </c>
      <c r="F999" s="9"/>
      <c r="G999" s="9"/>
      <c r="H999" s="2">
        <f>IF(SUM(F999:G999)&gt;Instructions!$B$5,"Error",SUM(F999:G999))</f>
        <v>0</v>
      </c>
      <c r="I999" s="8"/>
    </row>
    <row r="1000" spans="1:9">
      <c r="A1000" s="8"/>
      <c r="B1000" s="8"/>
      <c r="C1000" s="2">
        <f>F1000/Instructions!$B$5</f>
        <v>0</v>
      </c>
      <c r="D1000" s="2">
        <f>G1000/Instructions!$B$5</f>
        <v>0</v>
      </c>
      <c r="E1000" s="2">
        <f t="shared" si="16"/>
        <v>0</v>
      </c>
      <c r="F1000" s="9"/>
      <c r="G1000" s="9"/>
      <c r="H1000" s="2">
        <f>IF(SUM(F1000:G1000)&gt;Instructions!$B$5,"Error",SUM(F1000:G1000))</f>
        <v>0</v>
      </c>
      <c r="I1000" s="8"/>
    </row>
    <row r="1001" spans="1:9">
      <c r="A1001" s="8"/>
      <c r="B1001" s="8"/>
      <c r="C1001" s="2">
        <f>F1001/Instructions!$B$5</f>
        <v>0</v>
      </c>
      <c r="D1001" s="2">
        <f>G1001/Instructions!$B$5</f>
        <v>0</v>
      </c>
      <c r="E1001" s="2">
        <f t="shared" si="16"/>
        <v>0</v>
      </c>
      <c r="F1001" s="9"/>
      <c r="G1001" s="9"/>
      <c r="H1001" s="2">
        <f>IF(SUM(F1001:G1001)&gt;Instructions!$B$5,"Error",SUM(F1001:G1001))</f>
        <v>0</v>
      </c>
      <c r="I1001" s="8"/>
    </row>
    <row r="1002" spans="1:9">
      <c r="A1002" s="8"/>
      <c r="B1002" s="8"/>
      <c r="C1002" s="2">
        <f>F1002/Instructions!$B$5</f>
        <v>0</v>
      </c>
      <c r="D1002" s="2">
        <f>G1002/Instructions!$B$5</f>
        <v>0</v>
      </c>
      <c r="E1002" s="2">
        <f t="shared" si="16"/>
        <v>0</v>
      </c>
      <c r="F1002" s="9"/>
      <c r="G1002" s="9"/>
      <c r="H1002" s="2">
        <f>IF(SUM(F1002:G1002)&gt;Instructions!$B$5,"Error",SUM(F1002:G1002))</f>
        <v>0</v>
      </c>
      <c r="I1002" s="8"/>
    </row>
    <row r="1003" spans="1:9">
      <c r="A1003" s="8"/>
      <c r="B1003" s="8"/>
      <c r="C1003" s="2">
        <f>F1003/Instructions!$B$5</f>
        <v>0</v>
      </c>
      <c r="D1003" s="2">
        <f>G1003/Instructions!$B$5</f>
        <v>0</v>
      </c>
      <c r="E1003" s="2">
        <f t="shared" si="16"/>
        <v>0</v>
      </c>
      <c r="F1003" s="9"/>
      <c r="G1003" s="9"/>
      <c r="H1003" s="2">
        <f>IF(SUM(F1003:G1003)&gt;Instructions!$B$5,"Error",SUM(F1003:G1003))</f>
        <v>0</v>
      </c>
      <c r="I1003" s="8"/>
    </row>
    <row r="1004" spans="1:9">
      <c r="A1004" s="8"/>
      <c r="B1004" s="8"/>
      <c r="C1004" s="2">
        <f>F1004/Instructions!$B$5</f>
        <v>0</v>
      </c>
      <c r="D1004" s="2">
        <f>G1004/Instructions!$B$5</f>
        <v>0</v>
      </c>
      <c r="E1004" s="2">
        <f t="shared" si="16"/>
        <v>0</v>
      </c>
      <c r="F1004" s="9"/>
      <c r="G1004" s="9"/>
      <c r="H1004" s="2">
        <f>IF(SUM(F1004:G1004)&gt;Instructions!$B$5,"Error",SUM(F1004:G1004))</f>
        <v>0</v>
      </c>
      <c r="I1004" s="8"/>
    </row>
    <row r="1005" spans="1:9">
      <c r="A1005" s="8"/>
      <c r="B1005" s="8"/>
      <c r="C1005" s="2">
        <f>F1005/Instructions!$B$5</f>
        <v>0</v>
      </c>
      <c r="D1005" s="2">
        <f>G1005/Instructions!$B$5</f>
        <v>0</v>
      </c>
      <c r="E1005" s="2">
        <f t="shared" si="16"/>
        <v>0</v>
      </c>
      <c r="F1005" s="9"/>
      <c r="G1005" s="9"/>
      <c r="H1005" s="2">
        <f>IF(SUM(F1005:G1005)&gt;Instructions!$B$5,"Error",SUM(F1005:G1005))</f>
        <v>0</v>
      </c>
      <c r="I1005" s="8"/>
    </row>
    <row r="1006" spans="1:9">
      <c r="A1006" s="8"/>
      <c r="B1006" s="8"/>
      <c r="C1006" s="2">
        <f>F1006/Instructions!$B$5</f>
        <v>0</v>
      </c>
      <c r="D1006" s="2">
        <f>G1006/Instructions!$B$5</f>
        <v>0</v>
      </c>
      <c r="E1006" s="2">
        <f t="shared" si="16"/>
        <v>0</v>
      </c>
      <c r="F1006" s="9"/>
      <c r="G1006" s="9"/>
      <c r="H1006" s="2">
        <f>IF(SUM(F1006:G1006)&gt;Instructions!$B$5,"Error",SUM(F1006:G1006))</f>
        <v>0</v>
      </c>
      <c r="I1006" s="8"/>
    </row>
    <row r="1007" spans="1:9">
      <c r="A1007" s="8"/>
      <c r="B1007" s="8"/>
      <c r="C1007" s="2">
        <f>F1007/Instructions!$B$5</f>
        <v>0</v>
      </c>
      <c r="D1007" s="2">
        <f>G1007/Instructions!$B$5</f>
        <v>0</v>
      </c>
      <c r="E1007" s="2">
        <f t="shared" si="16"/>
        <v>0</v>
      </c>
      <c r="F1007" s="9"/>
      <c r="G1007" s="9"/>
      <c r="H1007" s="2">
        <f>IF(SUM(F1007:G1007)&gt;Instructions!$B$5,"Error",SUM(F1007:G1007))</f>
        <v>0</v>
      </c>
      <c r="I1007" s="8"/>
    </row>
    <row r="1008" spans="1:9">
      <c r="A1008" s="8"/>
      <c r="B1008" s="8"/>
      <c r="C1008" s="2">
        <f>F1008/Instructions!$B$5</f>
        <v>0</v>
      </c>
      <c r="D1008" s="2">
        <f>G1008/Instructions!$B$5</f>
        <v>0</v>
      </c>
      <c r="E1008" s="2">
        <f t="shared" si="16"/>
        <v>0</v>
      </c>
      <c r="F1008" s="9"/>
      <c r="G1008" s="9"/>
      <c r="H1008" s="2">
        <f>IF(SUM(F1008:G1008)&gt;Instructions!$B$5,"Error",SUM(F1008:G1008))</f>
        <v>0</v>
      </c>
      <c r="I1008" s="8"/>
    </row>
    <row r="1009" spans="1:9">
      <c r="A1009" s="8"/>
      <c r="B1009" s="8"/>
      <c r="C1009" s="2">
        <f>F1009/Instructions!$B$5</f>
        <v>0</v>
      </c>
      <c r="D1009" s="2">
        <f>G1009/Instructions!$B$5</f>
        <v>0</v>
      </c>
      <c r="E1009" s="2">
        <f t="shared" si="16"/>
        <v>0</v>
      </c>
      <c r="F1009" s="9"/>
      <c r="G1009" s="9"/>
      <c r="H1009" s="2">
        <f>IF(SUM(F1009:G1009)&gt;Instructions!$B$5,"Error",SUM(F1009:G1009))</f>
        <v>0</v>
      </c>
      <c r="I1009" s="8"/>
    </row>
    <row r="1010" spans="1:9">
      <c r="A1010" s="8"/>
      <c r="B1010" s="8"/>
      <c r="C1010" s="2">
        <f>F1010/Instructions!$B$5</f>
        <v>0</v>
      </c>
      <c r="D1010" s="2">
        <f>G1010/Instructions!$B$5</f>
        <v>0</v>
      </c>
      <c r="E1010" s="2">
        <f t="shared" si="16"/>
        <v>0</v>
      </c>
      <c r="F1010" s="9"/>
      <c r="G1010" s="9"/>
      <c r="H1010" s="2">
        <f>IF(SUM(F1010:G1010)&gt;Instructions!$B$5,"Error",SUM(F1010:G1010))</f>
        <v>0</v>
      </c>
      <c r="I1010" s="8"/>
    </row>
    <row r="1011" spans="1:9">
      <c r="A1011" s="8"/>
      <c r="B1011" s="8"/>
      <c r="C1011" s="2">
        <f>F1011/Instructions!$B$5</f>
        <v>0</v>
      </c>
      <c r="D1011" s="2">
        <f>G1011/Instructions!$B$5</f>
        <v>0</v>
      </c>
      <c r="E1011" s="2">
        <f t="shared" si="16"/>
        <v>0</v>
      </c>
      <c r="F1011" s="9"/>
      <c r="G1011" s="9"/>
      <c r="H1011" s="2">
        <f>IF(SUM(F1011:G1011)&gt;Instructions!$B$5,"Error",SUM(F1011:G1011))</f>
        <v>0</v>
      </c>
      <c r="I1011" s="8"/>
    </row>
    <row r="1012" spans="1:9">
      <c r="A1012" s="8"/>
      <c r="B1012" s="8"/>
      <c r="C1012" s="2">
        <f>F1012/Instructions!$B$5</f>
        <v>0</v>
      </c>
      <c r="D1012" s="2">
        <f>G1012/Instructions!$B$5</f>
        <v>0</v>
      </c>
      <c r="E1012" s="2">
        <f t="shared" si="16"/>
        <v>0</v>
      </c>
      <c r="F1012" s="9"/>
      <c r="G1012" s="9"/>
      <c r="H1012" s="2">
        <f>IF(SUM(F1012:G1012)&gt;Instructions!$B$5,"Error",SUM(F1012:G1012))</f>
        <v>0</v>
      </c>
      <c r="I1012" s="8"/>
    </row>
    <row r="1013" spans="1:9">
      <c r="A1013" s="8"/>
      <c r="B1013" s="8"/>
      <c r="C1013" s="2">
        <f>F1013/Instructions!$B$5</f>
        <v>0</v>
      </c>
      <c r="D1013" s="2">
        <f>G1013/Instructions!$B$5</f>
        <v>0</v>
      </c>
      <c r="E1013" s="2">
        <f t="shared" si="16"/>
        <v>0</v>
      </c>
      <c r="F1013" s="9"/>
      <c r="G1013" s="9"/>
      <c r="H1013" s="2">
        <f>IF(SUM(F1013:G1013)&gt;Instructions!$B$5,"Error",SUM(F1013:G1013))</f>
        <v>0</v>
      </c>
      <c r="I1013" s="8"/>
    </row>
    <row r="1014" spans="1:9">
      <c r="A1014" s="8"/>
      <c r="B1014" s="8"/>
      <c r="C1014" s="2">
        <f>F1014/Instructions!$B$5</f>
        <v>0</v>
      </c>
      <c r="D1014" s="2">
        <f>G1014/Instructions!$B$5</f>
        <v>0</v>
      </c>
      <c r="E1014" s="2">
        <f t="shared" si="16"/>
        <v>0</v>
      </c>
      <c r="F1014" s="9"/>
      <c r="G1014" s="9"/>
      <c r="H1014" s="2">
        <f>IF(SUM(F1014:G1014)&gt;Instructions!$B$5,"Error",SUM(F1014:G1014))</f>
        <v>0</v>
      </c>
      <c r="I1014" s="8"/>
    </row>
    <row r="1015" spans="1:9">
      <c r="A1015" s="8"/>
      <c r="B1015" s="8"/>
      <c r="C1015" s="2">
        <f>F1015/Instructions!$B$5</f>
        <v>0</v>
      </c>
      <c r="D1015" s="2">
        <f>G1015/Instructions!$B$5</f>
        <v>0</v>
      </c>
      <c r="E1015" s="2">
        <f t="shared" si="16"/>
        <v>0</v>
      </c>
      <c r="F1015" s="9"/>
      <c r="G1015" s="9"/>
      <c r="H1015" s="2">
        <f>IF(SUM(F1015:G1015)&gt;Instructions!$B$5,"Error",SUM(F1015:G1015))</f>
        <v>0</v>
      </c>
      <c r="I1015" s="8"/>
    </row>
    <row r="1016" spans="1:9">
      <c r="A1016" s="8"/>
      <c r="B1016" s="8"/>
      <c r="C1016" s="2">
        <f>F1016/Instructions!$B$5</f>
        <v>0</v>
      </c>
      <c r="D1016" s="2">
        <f>G1016/Instructions!$B$5</f>
        <v>0</v>
      </c>
      <c r="E1016" s="2">
        <f t="shared" si="16"/>
        <v>0</v>
      </c>
      <c r="F1016" s="9"/>
      <c r="G1016" s="9"/>
      <c r="H1016" s="2">
        <f>IF(SUM(F1016:G1016)&gt;Instructions!$B$5,"Error",SUM(F1016:G1016))</f>
        <v>0</v>
      </c>
      <c r="I1016" s="8"/>
    </row>
    <row r="1017" spans="1:9">
      <c r="A1017" s="8"/>
      <c r="B1017" s="8"/>
      <c r="C1017" s="2">
        <f>F1017/Instructions!$B$5</f>
        <v>0</v>
      </c>
      <c r="D1017" s="2">
        <f>G1017/Instructions!$B$5</f>
        <v>0</v>
      </c>
      <c r="E1017" s="2">
        <f t="shared" si="16"/>
        <v>0</v>
      </c>
      <c r="F1017" s="9"/>
      <c r="G1017" s="9"/>
      <c r="H1017" s="2">
        <f>IF(SUM(F1017:G1017)&gt;Instructions!$B$5,"Error",SUM(F1017:G1017))</f>
        <v>0</v>
      </c>
      <c r="I1017" s="8"/>
    </row>
    <row r="1018" spans="1:9">
      <c r="A1018" s="8"/>
      <c r="B1018" s="8"/>
      <c r="C1018" s="2">
        <f>F1018/Instructions!$B$5</f>
        <v>0</v>
      </c>
      <c r="D1018" s="2">
        <f>G1018/Instructions!$B$5</f>
        <v>0</v>
      </c>
      <c r="E1018" s="2">
        <f t="shared" si="16"/>
        <v>0</v>
      </c>
      <c r="F1018" s="9"/>
      <c r="G1018" s="9"/>
      <c r="H1018" s="2">
        <f>IF(SUM(F1018:G1018)&gt;Instructions!$B$5,"Error",SUM(F1018:G1018))</f>
        <v>0</v>
      </c>
      <c r="I1018" s="8"/>
    </row>
    <row r="1019" spans="1:9">
      <c r="A1019" s="8"/>
      <c r="B1019" s="8"/>
      <c r="C1019" s="2">
        <f>F1019/Instructions!$B$5</f>
        <v>0</v>
      </c>
      <c r="D1019" s="2">
        <f>G1019/Instructions!$B$5</f>
        <v>0</v>
      </c>
      <c r="E1019" s="2">
        <f t="shared" si="16"/>
        <v>0</v>
      </c>
      <c r="F1019" s="9"/>
      <c r="G1019" s="9"/>
      <c r="H1019" s="2">
        <f>IF(SUM(F1019:G1019)&gt;Instructions!$B$5,"Error",SUM(F1019:G1019))</f>
        <v>0</v>
      </c>
      <c r="I1019" s="8"/>
    </row>
    <row r="1020" spans="1:9">
      <c r="A1020" s="8"/>
      <c r="B1020" s="8"/>
      <c r="C1020" s="2">
        <f>F1020/Instructions!$B$5</f>
        <v>0</v>
      </c>
      <c r="D1020" s="2">
        <f>G1020/Instructions!$B$5</f>
        <v>0</v>
      </c>
      <c r="E1020" s="2">
        <f t="shared" si="16"/>
        <v>0</v>
      </c>
      <c r="F1020" s="9"/>
      <c r="G1020" s="9"/>
      <c r="H1020" s="2">
        <f>IF(SUM(F1020:G1020)&gt;Instructions!$B$5,"Error",SUM(F1020:G1020))</f>
        <v>0</v>
      </c>
      <c r="I1020" s="8"/>
    </row>
    <row r="1021" spans="1:9">
      <c r="A1021" s="8"/>
      <c r="B1021" s="8"/>
      <c r="C1021" s="2">
        <f>F1021/Instructions!$B$5</f>
        <v>0</v>
      </c>
      <c r="D1021" s="2">
        <f>G1021/Instructions!$B$5</f>
        <v>0</v>
      </c>
      <c r="E1021" s="2">
        <f t="shared" si="16"/>
        <v>0</v>
      </c>
      <c r="F1021" s="9"/>
      <c r="G1021" s="9"/>
      <c r="H1021" s="2">
        <f>IF(SUM(F1021:G1021)&gt;Instructions!$B$5,"Error",SUM(F1021:G1021))</f>
        <v>0</v>
      </c>
      <c r="I1021" s="8"/>
    </row>
    <row r="1022" spans="1:9">
      <c r="A1022" s="8"/>
      <c r="B1022" s="8"/>
      <c r="C1022" s="2">
        <f>F1022/Instructions!$B$5</f>
        <v>0</v>
      </c>
      <c r="D1022" s="2">
        <f>G1022/Instructions!$B$5</f>
        <v>0</v>
      </c>
      <c r="E1022" s="2">
        <f t="shared" si="16"/>
        <v>0</v>
      </c>
      <c r="F1022" s="9"/>
      <c r="G1022" s="9"/>
      <c r="H1022" s="2">
        <f>IF(SUM(F1022:G1022)&gt;Instructions!$B$5,"Error",SUM(F1022:G1022))</f>
        <v>0</v>
      </c>
      <c r="I1022" s="8"/>
    </row>
    <row r="1023" spans="1:9">
      <c r="A1023" s="8"/>
      <c r="B1023" s="8"/>
      <c r="C1023" s="2">
        <f>F1023/Instructions!$B$5</f>
        <v>0</v>
      </c>
      <c r="D1023" s="2">
        <f>G1023/Instructions!$B$5</f>
        <v>0</v>
      </c>
      <c r="E1023" s="2">
        <f t="shared" si="16"/>
        <v>0</v>
      </c>
      <c r="F1023" s="9"/>
      <c r="G1023" s="9"/>
      <c r="H1023" s="2">
        <f>IF(SUM(F1023:G1023)&gt;Instructions!$B$5,"Error",SUM(F1023:G1023))</f>
        <v>0</v>
      </c>
      <c r="I1023" s="8"/>
    </row>
    <row r="1024" spans="1:9">
      <c r="A1024" s="8"/>
      <c r="B1024" s="8"/>
      <c r="C1024" s="2">
        <f>F1024/Instructions!$B$5</f>
        <v>0</v>
      </c>
      <c r="D1024" s="2">
        <f>G1024/Instructions!$B$5</f>
        <v>0</v>
      </c>
      <c r="E1024" s="2">
        <f t="shared" si="16"/>
        <v>0</v>
      </c>
      <c r="F1024" s="9"/>
      <c r="G1024" s="9"/>
      <c r="H1024" s="2">
        <f>IF(SUM(F1024:G1024)&gt;Instructions!$B$5,"Error",SUM(F1024:G1024))</f>
        <v>0</v>
      </c>
      <c r="I1024" s="8"/>
    </row>
    <row r="1025" spans="1:9">
      <c r="A1025" s="8"/>
      <c r="B1025" s="8"/>
      <c r="C1025" s="2">
        <f>F1025/Instructions!$B$5</f>
        <v>0</v>
      </c>
      <c r="D1025" s="2">
        <f>G1025/Instructions!$B$5</f>
        <v>0</v>
      </c>
      <c r="E1025" s="2">
        <f t="shared" si="16"/>
        <v>0</v>
      </c>
      <c r="F1025" s="9"/>
      <c r="G1025" s="9"/>
      <c r="H1025" s="2">
        <f>IF(SUM(F1025:G1025)&gt;Instructions!$B$5,"Error",SUM(F1025:G1025))</f>
        <v>0</v>
      </c>
      <c r="I1025" s="8"/>
    </row>
    <row r="1026" spans="1:9">
      <c r="A1026" s="8"/>
      <c r="B1026" s="8"/>
      <c r="C1026" s="2">
        <f>F1026/Instructions!$B$5</f>
        <v>0</v>
      </c>
      <c r="D1026" s="2">
        <f>G1026/Instructions!$B$5</f>
        <v>0</v>
      </c>
      <c r="E1026" s="2">
        <f t="shared" si="16"/>
        <v>0</v>
      </c>
      <c r="F1026" s="9"/>
      <c r="G1026" s="9"/>
      <c r="H1026" s="2">
        <f>IF(SUM(F1026:G1026)&gt;Instructions!$B$5,"Error",SUM(F1026:G1026))</f>
        <v>0</v>
      </c>
      <c r="I1026" s="8"/>
    </row>
    <row r="1027" spans="1:9">
      <c r="A1027" s="8"/>
      <c r="B1027" s="8"/>
      <c r="C1027" s="2">
        <f>F1027/Instructions!$B$5</f>
        <v>0</v>
      </c>
      <c r="D1027" s="2">
        <f>G1027/Instructions!$B$5</f>
        <v>0</v>
      </c>
      <c r="E1027" s="2">
        <f t="shared" si="16"/>
        <v>0</v>
      </c>
      <c r="F1027" s="9"/>
      <c r="G1027" s="9"/>
      <c r="H1027" s="2">
        <f>IF(SUM(F1027:G1027)&gt;Instructions!$B$5,"Error",SUM(F1027:G1027))</f>
        <v>0</v>
      </c>
      <c r="I1027" s="8"/>
    </row>
    <row r="1028" spans="1:9">
      <c r="A1028" s="8"/>
      <c r="B1028" s="8"/>
      <c r="C1028" s="2">
        <f>F1028/Instructions!$B$5</f>
        <v>0</v>
      </c>
      <c r="D1028" s="2">
        <f>G1028/Instructions!$B$5</f>
        <v>0</v>
      </c>
      <c r="E1028" s="2">
        <f t="shared" si="16"/>
        <v>0</v>
      </c>
      <c r="F1028" s="9"/>
      <c r="G1028" s="9"/>
      <c r="H1028" s="2">
        <f>IF(SUM(F1028:G1028)&gt;Instructions!$B$5,"Error",SUM(F1028:G1028))</f>
        <v>0</v>
      </c>
      <c r="I1028" s="8"/>
    </row>
    <row r="1029" spans="1:9">
      <c r="A1029" s="8"/>
      <c r="B1029" s="8"/>
      <c r="C1029" s="2">
        <f>F1029/Instructions!$B$5</f>
        <v>0</v>
      </c>
      <c r="D1029" s="2">
        <f>G1029/Instructions!$B$5</f>
        <v>0</v>
      </c>
      <c r="E1029" s="2">
        <f t="shared" si="16"/>
        <v>0</v>
      </c>
      <c r="F1029" s="9"/>
      <c r="G1029" s="9"/>
      <c r="H1029" s="2">
        <f>IF(SUM(F1029:G1029)&gt;Instructions!$B$5,"Error",SUM(F1029:G1029))</f>
        <v>0</v>
      </c>
      <c r="I1029" s="8"/>
    </row>
    <row r="1030" spans="1:9">
      <c r="A1030" s="8"/>
      <c r="B1030" s="8"/>
      <c r="C1030" s="2">
        <f>F1030/Instructions!$B$5</f>
        <v>0</v>
      </c>
      <c r="D1030" s="2">
        <f>G1030/Instructions!$B$5</f>
        <v>0</v>
      </c>
      <c r="E1030" s="2">
        <f t="shared" si="16"/>
        <v>0</v>
      </c>
      <c r="F1030" s="9"/>
      <c r="G1030" s="9"/>
      <c r="H1030" s="2">
        <f>IF(SUM(F1030:G1030)&gt;Instructions!$B$5,"Error",SUM(F1030:G1030))</f>
        <v>0</v>
      </c>
      <c r="I1030" s="8"/>
    </row>
    <row r="1031" spans="1:9">
      <c r="A1031" s="8"/>
      <c r="B1031" s="8"/>
      <c r="C1031" s="2">
        <f>F1031/Instructions!$B$5</f>
        <v>0</v>
      </c>
      <c r="D1031" s="2">
        <f>G1031/Instructions!$B$5</f>
        <v>0</v>
      </c>
      <c r="E1031" s="2">
        <f t="shared" si="16"/>
        <v>0</v>
      </c>
      <c r="F1031" s="9"/>
      <c r="G1031" s="9"/>
      <c r="H1031" s="2">
        <f>IF(SUM(F1031:G1031)&gt;Instructions!$B$5,"Error",SUM(F1031:G1031))</f>
        <v>0</v>
      </c>
      <c r="I1031" s="8"/>
    </row>
    <row r="1032" spans="1:9">
      <c r="A1032" s="8"/>
      <c r="B1032" s="8"/>
      <c r="C1032" s="2">
        <f>F1032/Instructions!$B$5</f>
        <v>0</v>
      </c>
      <c r="D1032" s="2">
        <f>G1032/Instructions!$B$5</f>
        <v>0</v>
      </c>
      <c r="E1032" s="2">
        <f t="shared" ref="E1032:E1095" si="17">IF(SUM(C1032:D1032)&gt;1,"Error",SUM(C1032:D1032))</f>
        <v>0</v>
      </c>
      <c r="F1032" s="9"/>
      <c r="G1032" s="9"/>
      <c r="H1032" s="2">
        <f>IF(SUM(F1032:G1032)&gt;Instructions!$B$5,"Error",SUM(F1032:G1032))</f>
        <v>0</v>
      </c>
      <c r="I1032" s="8"/>
    </row>
    <row r="1033" spans="1:9">
      <c r="A1033" s="8"/>
      <c r="B1033" s="8"/>
      <c r="C1033" s="2">
        <f>F1033/Instructions!$B$5</f>
        <v>0</v>
      </c>
      <c r="D1033" s="2">
        <f>G1033/Instructions!$B$5</f>
        <v>0</v>
      </c>
      <c r="E1033" s="2">
        <f t="shared" si="17"/>
        <v>0</v>
      </c>
      <c r="F1033" s="9"/>
      <c r="G1033" s="9"/>
      <c r="H1033" s="2">
        <f>IF(SUM(F1033:G1033)&gt;Instructions!$B$5,"Error",SUM(F1033:G1033))</f>
        <v>0</v>
      </c>
      <c r="I1033" s="8"/>
    </row>
    <row r="1034" spans="1:9">
      <c r="A1034" s="8"/>
      <c r="B1034" s="8"/>
      <c r="C1034" s="2">
        <f>F1034/Instructions!$B$5</f>
        <v>0</v>
      </c>
      <c r="D1034" s="2">
        <f>G1034/Instructions!$B$5</f>
        <v>0</v>
      </c>
      <c r="E1034" s="2">
        <f t="shared" si="17"/>
        <v>0</v>
      </c>
      <c r="F1034" s="9"/>
      <c r="G1034" s="9"/>
      <c r="H1034" s="2">
        <f>IF(SUM(F1034:G1034)&gt;Instructions!$B$5,"Error",SUM(F1034:G1034))</f>
        <v>0</v>
      </c>
      <c r="I1034" s="8"/>
    </row>
    <row r="1035" spans="1:9">
      <c r="A1035" s="8"/>
      <c r="B1035" s="8"/>
      <c r="C1035" s="2">
        <f>F1035/Instructions!$B$5</f>
        <v>0</v>
      </c>
      <c r="D1035" s="2">
        <f>G1035/Instructions!$B$5</f>
        <v>0</v>
      </c>
      <c r="E1035" s="2">
        <f t="shared" si="17"/>
        <v>0</v>
      </c>
      <c r="F1035" s="9"/>
      <c r="G1035" s="9"/>
      <c r="H1035" s="2">
        <f>IF(SUM(F1035:G1035)&gt;Instructions!$B$5,"Error",SUM(F1035:G1035))</f>
        <v>0</v>
      </c>
      <c r="I1035" s="8"/>
    </row>
    <row r="1036" spans="1:9">
      <c r="A1036" s="8"/>
      <c r="B1036" s="8"/>
      <c r="C1036" s="2">
        <f>F1036/Instructions!$B$5</f>
        <v>0</v>
      </c>
      <c r="D1036" s="2">
        <f>G1036/Instructions!$B$5</f>
        <v>0</v>
      </c>
      <c r="E1036" s="2">
        <f t="shared" si="17"/>
        <v>0</v>
      </c>
      <c r="F1036" s="9"/>
      <c r="G1036" s="9"/>
      <c r="H1036" s="2">
        <f>IF(SUM(F1036:G1036)&gt;Instructions!$B$5,"Error",SUM(F1036:G1036))</f>
        <v>0</v>
      </c>
      <c r="I1036" s="8"/>
    </row>
    <row r="1037" spans="1:9">
      <c r="A1037" s="8"/>
      <c r="B1037" s="8"/>
      <c r="C1037" s="2">
        <f>F1037/Instructions!$B$5</f>
        <v>0</v>
      </c>
      <c r="D1037" s="2">
        <f>G1037/Instructions!$B$5</f>
        <v>0</v>
      </c>
      <c r="E1037" s="2">
        <f t="shared" si="17"/>
        <v>0</v>
      </c>
      <c r="F1037" s="9"/>
      <c r="G1037" s="9"/>
      <c r="H1037" s="2">
        <f>IF(SUM(F1037:G1037)&gt;Instructions!$B$5,"Error",SUM(F1037:G1037))</f>
        <v>0</v>
      </c>
      <c r="I1037" s="8"/>
    </row>
    <row r="1038" spans="1:9">
      <c r="A1038" s="8"/>
      <c r="B1038" s="8"/>
      <c r="C1038" s="2">
        <f>F1038/Instructions!$B$5</f>
        <v>0</v>
      </c>
      <c r="D1038" s="2">
        <f>G1038/Instructions!$B$5</f>
        <v>0</v>
      </c>
      <c r="E1038" s="2">
        <f t="shared" si="17"/>
        <v>0</v>
      </c>
      <c r="F1038" s="9"/>
      <c r="G1038" s="9"/>
      <c r="H1038" s="2">
        <f>IF(SUM(F1038:G1038)&gt;Instructions!$B$5,"Error",SUM(F1038:G1038))</f>
        <v>0</v>
      </c>
      <c r="I1038" s="8"/>
    </row>
    <row r="1039" spans="1:9">
      <c r="A1039" s="8"/>
      <c r="B1039" s="8"/>
      <c r="C1039" s="2">
        <f>F1039/Instructions!$B$5</f>
        <v>0</v>
      </c>
      <c r="D1039" s="2">
        <f>G1039/Instructions!$B$5</f>
        <v>0</v>
      </c>
      <c r="E1039" s="2">
        <f t="shared" si="17"/>
        <v>0</v>
      </c>
      <c r="F1039" s="9"/>
      <c r="G1039" s="9"/>
      <c r="H1039" s="2">
        <f>IF(SUM(F1039:G1039)&gt;Instructions!$B$5,"Error",SUM(F1039:G1039))</f>
        <v>0</v>
      </c>
      <c r="I1039" s="8"/>
    </row>
    <row r="1040" spans="1:9">
      <c r="A1040" s="8"/>
      <c r="B1040" s="8"/>
      <c r="C1040" s="2">
        <f>F1040/Instructions!$B$5</f>
        <v>0</v>
      </c>
      <c r="D1040" s="2">
        <f>G1040/Instructions!$B$5</f>
        <v>0</v>
      </c>
      <c r="E1040" s="2">
        <f t="shared" si="17"/>
        <v>0</v>
      </c>
      <c r="F1040" s="9"/>
      <c r="G1040" s="9"/>
      <c r="H1040" s="2">
        <f>IF(SUM(F1040:G1040)&gt;Instructions!$B$5,"Error",SUM(F1040:G1040))</f>
        <v>0</v>
      </c>
      <c r="I1040" s="8"/>
    </row>
    <row r="1041" spans="1:9">
      <c r="A1041" s="8"/>
      <c r="B1041" s="8"/>
      <c r="C1041" s="2">
        <f>F1041/Instructions!$B$5</f>
        <v>0</v>
      </c>
      <c r="D1041" s="2">
        <f>G1041/Instructions!$B$5</f>
        <v>0</v>
      </c>
      <c r="E1041" s="2">
        <f t="shared" si="17"/>
        <v>0</v>
      </c>
      <c r="F1041" s="9"/>
      <c r="G1041" s="9"/>
      <c r="H1041" s="2">
        <f>IF(SUM(F1041:G1041)&gt;Instructions!$B$5,"Error",SUM(F1041:G1041))</f>
        <v>0</v>
      </c>
      <c r="I1041" s="8"/>
    </row>
    <row r="1042" spans="1:9">
      <c r="A1042" s="8"/>
      <c r="B1042" s="8"/>
      <c r="C1042" s="2">
        <f>F1042/Instructions!$B$5</f>
        <v>0</v>
      </c>
      <c r="D1042" s="2">
        <f>G1042/Instructions!$B$5</f>
        <v>0</v>
      </c>
      <c r="E1042" s="2">
        <f t="shared" si="17"/>
        <v>0</v>
      </c>
      <c r="F1042" s="9"/>
      <c r="G1042" s="9"/>
      <c r="H1042" s="2">
        <f>IF(SUM(F1042:G1042)&gt;Instructions!$B$5,"Error",SUM(F1042:G1042))</f>
        <v>0</v>
      </c>
      <c r="I1042" s="8"/>
    </row>
    <row r="1043" spans="1:9">
      <c r="A1043" s="8"/>
      <c r="B1043" s="8"/>
      <c r="C1043" s="2">
        <f>F1043/Instructions!$B$5</f>
        <v>0</v>
      </c>
      <c r="D1043" s="2">
        <f>G1043/Instructions!$B$5</f>
        <v>0</v>
      </c>
      <c r="E1043" s="2">
        <f t="shared" si="17"/>
        <v>0</v>
      </c>
      <c r="F1043" s="9"/>
      <c r="G1043" s="9"/>
      <c r="H1043" s="2">
        <f>IF(SUM(F1043:G1043)&gt;Instructions!$B$5,"Error",SUM(F1043:G1043))</f>
        <v>0</v>
      </c>
      <c r="I1043" s="8"/>
    </row>
    <row r="1044" spans="1:9">
      <c r="A1044" s="8"/>
      <c r="B1044" s="8"/>
      <c r="C1044" s="2">
        <f>F1044/Instructions!$B$5</f>
        <v>0</v>
      </c>
      <c r="D1044" s="2">
        <f>G1044/Instructions!$B$5</f>
        <v>0</v>
      </c>
      <c r="E1044" s="2">
        <f t="shared" si="17"/>
        <v>0</v>
      </c>
      <c r="F1044" s="9"/>
      <c r="G1044" s="9"/>
      <c r="H1044" s="2">
        <f>IF(SUM(F1044:G1044)&gt;Instructions!$B$5,"Error",SUM(F1044:G1044))</f>
        <v>0</v>
      </c>
      <c r="I1044" s="8"/>
    </row>
    <row r="1045" spans="1:9">
      <c r="A1045" s="8"/>
      <c r="B1045" s="8"/>
      <c r="C1045" s="2">
        <f>F1045/Instructions!$B$5</f>
        <v>0</v>
      </c>
      <c r="D1045" s="2">
        <f>G1045/Instructions!$B$5</f>
        <v>0</v>
      </c>
      <c r="E1045" s="2">
        <f t="shared" si="17"/>
        <v>0</v>
      </c>
      <c r="F1045" s="9"/>
      <c r="G1045" s="9"/>
      <c r="H1045" s="2">
        <f>IF(SUM(F1045:G1045)&gt;Instructions!$B$5,"Error",SUM(F1045:G1045))</f>
        <v>0</v>
      </c>
      <c r="I1045" s="8"/>
    </row>
    <row r="1046" spans="1:9">
      <c r="A1046" s="8"/>
      <c r="B1046" s="8"/>
      <c r="C1046" s="2">
        <f>F1046/Instructions!$B$5</f>
        <v>0</v>
      </c>
      <c r="D1046" s="2">
        <f>G1046/Instructions!$B$5</f>
        <v>0</v>
      </c>
      <c r="E1046" s="2">
        <f t="shared" si="17"/>
        <v>0</v>
      </c>
      <c r="F1046" s="9"/>
      <c r="G1046" s="9"/>
      <c r="H1046" s="2">
        <f>IF(SUM(F1046:G1046)&gt;Instructions!$B$5,"Error",SUM(F1046:G1046))</f>
        <v>0</v>
      </c>
      <c r="I1046" s="8"/>
    </row>
    <row r="1047" spans="1:9">
      <c r="A1047" s="8"/>
      <c r="B1047" s="8"/>
      <c r="C1047" s="2">
        <f>F1047/Instructions!$B$5</f>
        <v>0</v>
      </c>
      <c r="D1047" s="2">
        <f>G1047/Instructions!$B$5</f>
        <v>0</v>
      </c>
      <c r="E1047" s="2">
        <f t="shared" si="17"/>
        <v>0</v>
      </c>
      <c r="F1047" s="9"/>
      <c r="G1047" s="9"/>
      <c r="H1047" s="2">
        <f>IF(SUM(F1047:G1047)&gt;Instructions!$B$5,"Error",SUM(F1047:G1047))</f>
        <v>0</v>
      </c>
      <c r="I1047" s="8"/>
    </row>
    <row r="1048" spans="1:9">
      <c r="A1048" s="8"/>
      <c r="B1048" s="8"/>
      <c r="C1048" s="2">
        <f>F1048/Instructions!$B$5</f>
        <v>0</v>
      </c>
      <c r="D1048" s="2">
        <f>G1048/Instructions!$B$5</f>
        <v>0</v>
      </c>
      <c r="E1048" s="2">
        <f t="shared" si="17"/>
        <v>0</v>
      </c>
      <c r="F1048" s="9"/>
      <c r="G1048" s="9"/>
      <c r="H1048" s="2">
        <f>IF(SUM(F1048:G1048)&gt;Instructions!$B$5,"Error",SUM(F1048:G1048))</f>
        <v>0</v>
      </c>
      <c r="I1048" s="8"/>
    </row>
    <row r="1049" spans="1:9">
      <c r="A1049" s="8"/>
      <c r="B1049" s="8"/>
      <c r="C1049" s="2">
        <f>F1049/Instructions!$B$5</f>
        <v>0</v>
      </c>
      <c r="D1049" s="2">
        <f>G1049/Instructions!$B$5</f>
        <v>0</v>
      </c>
      <c r="E1049" s="2">
        <f t="shared" si="17"/>
        <v>0</v>
      </c>
      <c r="F1049" s="9"/>
      <c r="G1049" s="9"/>
      <c r="H1049" s="2">
        <f>IF(SUM(F1049:G1049)&gt;Instructions!$B$5,"Error",SUM(F1049:G1049))</f>
        <v>0</v>
      </c>
      <c r="I1049" s="8"/>
    </row>
    <row r="1050" spans="1:9">
      <c r="A1050" s="8"/>
      <c r="B1050" s="8"/>
      <c r="C1050" s="2">
        <f>F1050/Instructions!$B$5</f>
        <v>0</v>
      </c>
      <c r="D1050" s="2">
        <f>G1050/Instructions!$B$5</f>
        <v>0</v>
      </c>
      <c r="E1050" s="2">
        <f t="shared" si="17"/>
        <v>0</v>
      </c>
      <c r="F1050" s="9"/>
      <c r="G1050" s="9"/>
      <c r="H1050" s="2">
        <f>IF(SUM(F1050:G1050)&gt;Instructions!$B$5,"Error",SUM(F1050:G1050))</f>
        <v>0</v>
      </c>
      <c r="I1050" s="8"/>
    </row>
    <row r="1051" spans="1:9">
      <c r="A1051" s="8"/>
      <c r="B1051" s="8"/>
      <c r="C1051" s="2">
        <f>F1051/Instructions!$B$5</f>
        <v>0</v>
      </c>
      <c r="D1051" s="2">
        <f>G1051/Instructions!$B$5</f>
        <v>0</v>
      </c>
      <c r="E1051" s="2">
        <f t="shared" si="17"/>
        <v>0</v>
      </c>
      <c r="F1051" s="9"/>
      <c r="G1051" s="9"/>
      <c r="H1051" s="2">
        <f>IF(SUM(F1051:G1051)&gt;Instructions!$B$5,"Error",SUM(F1051:G1051))</f>
        <v>0</v>
      </c>
      <c r="I1051" s="8"/>
    </row>
    <row r="1052" spans="1:9">
      <c r="A1052" s="8"/>
      <c r="B1052" s="8"/>
      <c r="C1052" s="2">
        <f>F1052/Instructions!$B$5</f>
        <v>0</v>
      </c>
      <c r="D1052" s="2">
        <f>G1052/Instructions!$B$5</f>
        <v>0</v>
      </c>
      <c r="E1052" s="2">
        <f t="shared" si="17"/>
        <v>0</v>
      </c>
      <c r="F1052" s="9"/>
      <c r="G1052" s="9"/>
      <c r="H1052" s="2">
        <f>IF(SUM(F1052:G1052)&gt;Instructions!$B$5,"Error",SUM(F1052:G1052))</f>
        <v>0</v>
      </c>
      <c r="I1052" s="8"/>
    </row>
    <row r="1053" spans="1:9">
      <c r="A1053" s="8"/>
      <c r="B1053" s="8"/>
      <c r="C1053" s="2">
        <f>F1053/Instructions!$B$5</f>
        <v>0</v>
      </c>
      <c r="D1053" s="2">
        <f>G1053/Instructions!$B$5</f>
        <v>0</v>
      </c>
      <c r="E1053" s="2">
        <f t="shared" si="17"/>
        <v>0</v>
      </c>
      <c r="F1053" s="9"/>
      <c r="G1053" s="9"/>
      <c r="H1053" s="2">
        <f>IF(SUM(F1053:G1053)&gt;Instructions!$B$5,"Error",SUM(F1053:G1053))</f>
        <v>0</v>
      </c>
      <c r="I1053" s="8"/>
    </row>
    <row r="1054" spans="1:9">
      <c r="A1054" s="8"/>
      <c r="B1054" s="8"/>
      <c r="C1054" s="2">
        <f>F1054/Instructions!$B$5</f>
        <v>0</v>
      </c>
      <c r="D1054" s="2">
        <f>G1054/Instructions!$B$5</f>
        <v>0</v>
      </c>
      <c r="E1054" s="2">
        <f t="shared" si="17"/>
        <v>0</v>
      </c>
      <c r="F1054" s="9"/>
      <c r="G1054" s="9"/>
      <c r="H1054" s="2">
        <f>IF(SUM(F1054:G1054)&gt;Instructions!$B$5,"Error",SUM(F1054:G1054))</f>
        <v>0</v>
      </c>
      <c r="I1054" s="8"/>
    </row>
    <row r="1055" spans="1:9">
      <c r="A1055" s="8"/>
      <c r="B1055" s="8"/>
      <c r="C1055" s="2">
        <f>F1055/Instructions!$B$5</f>
        <v>0</v>
      </c>
      <c r="D1055" s="2">
        <f>G1055/Instructions!$B$5</f>
        <v>0</v>
      </c>
      <c r="E1055" s="2">
        <f t="shared" si="17"/>
        <v>0</v>
      </c>
      <c r="F1055" s="9"/>
      <c r="G1055" s="9"/>
      <c r="H1055" s="2">
        <f>IF(SUM(F1055:G1055)&gt;Instructions!$B$5,"Error",SUM(F1055:G1055))</f>
        <v>0</v>
      </c>
      <c r="I1055" s="8"/>
    </row>
    <row r="1056" spans="1:9">
      <c r="A1056" s="8"/>
      <c r="B1056" s="8"/>
      <c r="C1056" s="2">
        <f>F1056/Instructions!$B$5</f>
        <v>0</v>
      </c>
      <c r="D1056" s="2">
        <f>G1056/Instructions!$B$5</f>
        <v>0</v>
      </c>
      <c r="E1056" s="2">
        <f t="shared" si="17"/>
        <v>0</v>
      </c>
      <c r="F1056" s="9"/>
      <c r="G1056" s="9"/>
      <c r="H1056" s="2">
        <f>IF(SUM(F1056:G1056)&gt;Instructions!$B$5,"Error",SUM(F1056:G1056))</f>
        <v>0</v>
      </c>
      <c r="I1056" s="8"/>
    </row>
    <row r="1057" spans="1:9">
      <c r="A1057" s="8"/>
      <c r="B1057" s="8"/>
      <c r="C1057" s="2">
        <f>F1057/Instructions!$B$5</f>
        <v>0</v>
      </c>
      <c r="D1057" s="2">
        <f>G1057/Instructions!$B$5</f>
        <v>0</v>
      </c>
      <c r="E1057" s="2">
        <f t="shared" si="17"/>
        <v>0</v>
      </c>
      <c r="F1057" s="9"/>
      <c r="G1057" s="9"/>
      <c r="H1057" s="2">
        <f>IF(SUM(F1057:G1057)&gt;Instructions!$B$5,"Error",SUM(F1057:G1057))</f>
        <v>0</v>
      </c>
      <c r="I1057" s="8"/>
    </row>
    <row r="1058" spans="1:9">
      <c r="A1058" s="8"/>
      <c r="B1058" s="8"/>
      <c r="C1058" s="2">
        <f>F1058/Instructions!$B$5</f>
        <v>0</v>
      </c>
      <c r="D1058" s="2">
        <f>G1058/Instructions!$B$5</f>
        <v>0</v>
      </c>
      <c r="E1058" s="2">
        <f t="shared" si="17"/>
        <v>0</v>
      </c>
      <c r="F1058" s="9"/>
      <c r="G1058" s="9"/>
      <c r="H1058" s="2">
        <f>IF(SUM(F1058:G1058)&gt;Instructions!$B$5,"Error",SUM(F1058:G1058))</f>
        <v>0</v>
      </c>
      <c r="I1058" s="8"/>
    </row>
    <row r="1059" spans="1:9">
      <c r="A1059" s="8"/>
      <c r="B1059" s="8"/>
      <c r="C1059" s="2">
        <f>F1059/Instructions!$B$5</f>
        <v>0</v>
      </c>
      <c r="D1059" s="2">
        <f>G1059/Instructions!$B$5</f>
        <v>0</v>
      </c>
      <c r="E1059" s="2">
        <f t="shared" si="17"/>
        <v>0</v>
      </c>
      <c r="F1059" s="9"/>
      <c r="G1059" s="9"/>
      <c r="H1059" s="2">
        <f>IF(SUM(F1059:G1059)&gt;Instructions!$B$5,"Error",SUM(F1059:G1059))</f>
        <v>0</v>
      </c>
      <c r="I1059" s="8"/>
    </row>
    <row r="1060" spans="1:9">
      <c r="A1060" s="8"/>
      <c r="B1060" s="8"/>
      <c r="C1060" s="2">
        <f>F1060/Instructions!$B$5</f>
        <v>0</v>
      </c>
      <c r="D1060" s="2">
        <f>G1060/Instructions!$B$5</f>
        <v>0</v>
      </c>
      <c r="E1060" s="2">
        <f t="shared" si="17"/>
        <v>0</v>
      </c>
      <c r="F1060" s="9"/>
      <c r="G1060" s="9"/>
      <c r="H1060" s="2">
        <f>IF(SUM(F1060:G1060)&gt;Instructions!$B$5,"Error",SUM(F1060:G1060))</f>
        <v>0</v>
      </c>
      <c r="I1060" s="8"/>
    </row>
    <row r="1061" spans="1:9">
      <c r="A1061" s="8"/>
      <c r="B1061" s="8"/>
      <c r="C1061" s="2">
        <f>F1061/Instructions!$B$5</f>
        <v>0</v>
      </c>
      <c r="D1061" s="2">
        <f>G1061/Instructions!$B$5</f>
        <v>0</v>
      </c>
      <c r="E1061" s="2">
        <f t="shared" si="17"/>
        <v>0</v>
      </c>
      <c r="F1061" s="9"/>
      <c r="G1061" s="9"/>
      <c r="H1061" s="2">
        <f>IF(SUM(F1061:G1061)&gt;Instructions!$B$5,"Error",SUM(F1061:G1061))</f>
        <v>0</v>
      </c>
      <c r="I1061" s="8"/>
    </row>
    <row r="1062" spans="1:9">
      <c r="A1062" s="8"/>
      <c r="B1062" s="8"/>
      <c r="C1062" s="2">
        <f>F1062/Instructions!$B$5</f>
        <v>0</v>
      </c>
      <c r="D1062" s="2">
        <f>G1062/Instructions!$B$5</f>
        <v>0</v>
      </c>
      <c r="E1062" s="2">
        <f t="shared" si="17"/>
        <v>0</v>
      </c>
      <c r="F1062" s="9"/>
      <c r="G1062" s="9"/>
      <c r="H1062" s="2">
        <f>IF(SUM(F1062:G1062)&gt;Instructions!$B$5,"Error",SUM(F1062:G1062))</f>
        <v>0</v>
      </c>
      <c r="I1062" s="8"/>
    </row>
    <row r="1063" spans="1:9">
      <c r="A1063" s="8"/>
      <c r="B1063" s="8"/>
      <c r="C1063" s="2">
        <f>F1063/Instructions!$B$5</f>
        <v>0</v>
      </c>
      <c r="D1063" s="2">
        <f>G1063/Instructions!$B$5</f>
        <v>0</v>
      </c>
      <c r="E1063" s="2">
        <f t="shared" si="17"/>
        <v>0</v>
      </c>
      <c r="F1063" s="9"/>
      <c r="G1063" s="9"/>
      <c r="H1063" s="2">
        <f>IF(SUM(F1063:G1063)&gt;Instructions!$B$5,"Error",SUM(F1063:G1063))</f>
        <v>0</v>
      </c>
      <c r="I1063" s="8"/>
    </row>
    <row r="1064" spans="1:9">
      <c r="A1064" s="8"/>
      <c r="B1064" s="8"/>
      <c r="C1064" s="2">
        <f>F1064/Instructions!$B$5</f>
        <v>0</v>
      </c>
      <c r="D1064" s="2">
        <f>G1064/Instructions!$B$5</f>
        <v>0</v>
      </c>
      <c r="E1064" s="2">
        <f t="shared" si="17"/>
        <v>0</v>
      </c>
      <c r="F1064" s="9"/>
      <c r="G1064" s="9"/>
      <c r="H1064" s="2">
        <f>IF(SUM(F1064:G1064)&gt;Instructions!$B$5,"Error",SUM(F1064:G1064))</f>
        <v>0</v>
      </c>
      <c r="I1064" s="8"/>
    </row>
    <row r="1065" spans="1:9">
      <c r="A1065" s="8"/>
      <c r="B1065" s="8"/>
      <c r="C1065" s="2">
        <f>F1065/Instructions!$B$5</f>
        <v>0</v>
      </c>
      <c r="D1065" s="2">
        <f>G1065/Instructions!$B$5</f>
        <v>0</v>
      </c>
      <c r="E1065" s="2">
        <f t="shared" si="17"/>
        <v>0</v>
      </c>
      <c r="F1065" s="9"/>
      <c r="G1065" s="9"/>
      <c r="H1065" s="2">
        <f>IF(SUM(F1065:G1065)&gt;Instructions!$B$5,"Error",SUM(F1065:G1065))</f>
        <v>0</v>
      </c>
      <c r="I1065" s="8"/>
    </row>
    <row r="1066" spans="1:9">
      <c r="A1066" s="8"/>
      <c r="B1066" s="8"/>
      <c r="C1066" s="2">
        <f>F1066/Instructions!$B$5</f>
        <v>0</v>
      </c>
      <c r="D1066" s="2">
        <f>G1066/Instructions!$B$5</f>
        <v>0</v>
      </c>
      <c r="E1066" s="2">
        <f t="shared" si="17"/>
        <v>0</v>
      </c>
      <c r="F1066" s="9"/>
      <c r="G1066" s="9"/>
      <c r="H1066" s="2">
        <f>IF(SUM(F1066:G1066)&gt;Instructions!$B$5,"Error",SUM(F1066:G1066))</f>
        <v>0</v>
      </c>
      <c r="I1066" s="8"/>
    </row>
    <row r="1067" spans="1:9">
      <c r="A1067" s="8"/>
      <c r="B1067" s="8"/>
      <c r="C1067" s="2">
        <f>F1067/Instructions!$B$5</f>
        <v>0</v>
      </c>
      <c r="D1067" s="2">
        <f>G1067/Instructions!$B$5</f>
        <v>0</v>
      </c>
      <c r="E1067" s="2">
        <f t="shared" si="17"/>
        <v>0</v>
      </c>
      <c r="F1067" s="9"/>
      <c r="G1067" s="9"/>
      <c r="H1067" s="2">
        <f>IF(SUM(F1067:G1067)&gt;Instructions!$B$5,"Error",SUM(F1067:G1067))</f>
        <v>0</v>
      </c>
      <c r="I1067" s="8"/>
    </row>
    <row r="1068" spans="1:9">
      <c r="A1068" s="8"/>
      <c r="B1068" s="8"/>
      <c r="C1068" s="2">
        <f>F1068/Instructions!$B$5</f>
        <v>0</v>
      </c>
      <c r="D1068" s="2">
        <f>G1068/Instructions!$B$5</f>
        <v>0</v>
      </c>
      <c r="E1068" s="2">
        <f t="shared" si="17"/>
        <v>0</v>
      </c>
      <c r="F1068" s="9"/>
      <c r="G1068" s="9"/>
      <c r="H1068" s="2">
        <f>IF(SUM(F1068:G1068)&gt;Instructions!$B$5,"Error",SUM(F1068:G1068))</f>
        <v>0</v>
      </c>
      <c r="I1068" s="8"/>
    </row>
    <row r="1069" spans="1:9">
      <c r="A1069" s="8"/>
      <c r="B1069" s="8"/>
      <c r="C1069" s="2">
        <f>F1069/Instructions!$B$5</f>
        <v>0</v>
      </c>
      <c r="D1069" s="2">
        <f>G1069/Instructions!$B$5</f>
        <v>0</v>
      </c>
      <c r="E1069" s="2">
        <f t="shared" si="17"/>
        <v>0</v>
      </c>
      <c r="F1069" s="9"/>
      <c r="G1069" s="9"/>
      <c r="H1069" s="2">
        <f>IF(SUM(F1069:G1069)&gt;Instructions!$B$5,"Error",SUM(F1069:G1069))</f>
        <v>0</v>
      </c>
      <c r="I1069" s="8"/>
    </row>
    <row r="1070" spans="1:9">
      <c r="A1070" s="8"/>
      <c r="B1070" s="8"/>
      <c r="C1070" s="2">
        <f>F1070/Instructions!$B$5</f>
        <v>0</v>
      </c>
      <c r="D1070" s="2">
        <f>G1070/Instructions!$B$5</f>
        <v>0</v>
      </c>
      <c r="E1070" s="2">
        <f t="shared" si="17"/>
        <v>0</v>
      </c>
      <c r="F1070" s="9"/>
      <c r="G1070" s="9"/>
      <c r="H1070" s="2">
        <f>IF(SUM(F1070:G1070)&gt;Instructions!$B$5,"Error",SUM(F1070:G1070))</f>
        <v>0</v>
      </c>
      <c r="I1070" s="8"/>
    </row>
    <row r="1071" spans="1:9">
      <c r="A1071" s="8"/>
      <c r="B1071" s="8"/>
      <c r="C1071" s="2">
        <f>F1071/Instructions!$B$5</f>
        <v>0</v>
      </c>
      <c r="D1071" s="2">
        <f>G1071/Instructions!$B$5</f>
        <v>0</v>
      </c>
      <c r="E1071" s="2">
        <f t="shared" si="17"/>
        <v>0</v>
      </c>
      <c r="F1071" s="9"/>
      <c r="G1071" s="9"/>
      <c r="H1071" s="2">
        <f>IF(SUM(F1071:G1071)&gt;Instructions!$B$5,"Error",SUM(F1071:G1071))</f>
        <v>0</v>
      </c>
      <c r="I1071" s="8"/>
    </row>
    <row r="1072" spans="1:9">
      <c r="A1072" s="8"/>
      <c r="B1072" s="8"/>
      <c r="C1072" s="2">
        <f>F1072/Instructions!$B$5</f>
        <v>0</v>
      </c>
      <c r="D1072" s="2">
        <f>G1072/Instructions!$B$5</f>
        <v>0</v>
      </c>
      <c r="E1072" s="2">
        <f t="shared" si="17"/>
        <v>0</v>
      </c>
      <c r="F1072" s="9"/>
      <c r="G1072" s="9"/>
      <c r="H1072" s="2">
        <f>IF(SUM(F1072:G1072)&gt;Instructions!$B$5,"Error",SUM(F1072:G1072))</f>
        <v>0</v>
      </c>
      <c r="I1072" s="8"/>
    </row>
    <row r="1073" spans="1:9">
      <c r="A1073" s="8"/>
      <c r="B1073" s="8"/>
      <c r="C1073" s="2">
        <f>F1073/Instructions!$B$5</f>
        <v>0</v>
      </c>
      <c r="D1073" s="2">
        <f>G1073/Instructions!$B$5</f>
        <v>0</v>
      </c>
      <c r="E1073" s="2">
        <f t="shared" si="17"/>
        <v>0</v>
      </c>
      <c r="F1073" s="9"/>
      <c r="G1073" s="9"/>
      <c r="H1073" s="2">
        <f>IF(SUM(F1073:G1073)&gt;Instructions!$B$5,"Error",SUM(F1073:G1073))</f>
        <v>0</v>
      </c>
      <c r="I1073" s="8"/>
    </row>
    <row r="1074" spans="1:9">
      <c r="A1074" s="8"/>
      <c r="B1074" s="8"/>
      <c r="C1074" s="2">
        <f>F1074/Instructions!$B$5</f>
        <v>0</v>
      </c>
      <c r="D1074" s="2">
        <f>G1074/Instructions!$B$5</f>
        <v>0</v>
      </c>
      <c r="E1074" s="2">
        <f t="shared" si="17"/>
        <v>0</v>
      </c>
      <c r="F1074" s="9"/>
      <c r="G1074" s="9"/>
      <c r="H1074" s="2">
        <f>IF(SUM(F1074:G1074)&gt;Instructions!$B$5,"Error",SUM(F1074:G1074))</f>
        <v>0</v>
      </c>
      <c r="I1074" s="8"/>
    </row>
    <row r="1075" spans="1:9">
      <c r="A1075" s="8"/>
      <c r="B1075" s="8"/>
      <c r="C1075" s="2">
        <f>F1075/Instructions!$B$5</f>
        <v>0</v>
      </c>
      <c r="D1075" s="2">
        <f>G1075/Instructions!$B$5</f>
        <v>0</v>
      </c>
      <c r="E1075" s="2">
        <f t="shared" si="17"/>
        <v>0</v>
      </c>
      <c r="F1075" s="9"/>
      <c r="G1075" s="9"/>
      <c r="H1075" s="2">
        <f>IF(SUM(F1075:G1075)&gt;Instructions!$B$5,"Error",SUM(F1075:G1075))</f>
        <v>0</v>
      </c>
      <c r="I1075" s="8"/>
    </row>
    <row r="1076" spans="1:9">
      <c r="A1076" s="8"/>
      <c r="B1076" s="8"/>
      <c r="C1076" s="2">
        <f>F1076/Instructions!$B$5</f>
        <v>0</v>
      </c>
      <c r="D1076" s="2">
        <f>G1076/Instructions!$B$5</f>
        <v>0</v>
      </c>
      <c r="E1076" s="2">
        <f t="shared" si="17"/>
        <v>0</v>
      </c>
      <c r="F1076" s="9"/>
      <c r="G1076" s="9"/>
      <c r="H1076" s="2">
        <f>IF(SUM(F1076:G1076)&gt;Instructions!$B$5,"Error",SUM(F1076:G1076))</f>
        <v>0</v>
      </c>
      <c r="I1076" s="8"/>
    </row>
    <row r="1077" spans="1:9">
      <c r="A1077" s="8"/>
      <c r="B1077" s="8"/>
      <c r="C1077" s="2">
        <f>F1077/Instructions!$B$5</f>
        <v>0</v>
      </c>
      <c r="D1077" s="2">
        <f>G1077/Instructions!$B$5</f>
        <v>0</v>
      </c>
      <c r="E1077" s="2">
        <f t="shared" si="17"/>
        <v>0</v>
      </c>
      <c r="F1077" s="9"/>
      <c r="G1077" s="9"/>
      <c r="H1077" s="2">
        <f>IF(SUM(F1077:G1077)&gt;Instructions!$B$5,"Error",SUM(F1077:G1077))</f>
        <v>0</v>
      </c>
      <c r="I1077" s="8"/>
    </row>
    <row r="1078" spans="1:9">
      <c r="A1078" s="8"/>
      <c r="B1078" s="8"/>
      <c r="C1078" s="2">
        <f>F1078/Instructions!$B$5</f>
        <v>0</v>
      </c>
      <c r="D1078" s="2">
        <f>G1078/Instructions!$B$5</f>
        <v>0</v>
      </c>
      <c r="E1078" s="2">
        <f t="shared" si="17"/>
        <v>0</v>
      </c>
      <c r="F1078" s="9"/>
      <c r="G1078" s="9"/>
      <c r="H1078" s="2">
        <f>IF(SUM(F1078:G1078)&gt;Instructions!$B$5,"Error",SUM(F1078:G1078))</f>
        <v>0</v>
      </c>
      <c r="I1078" s="8"/>
    </row>
    <row r="1079" spans="1:9">
      <c r="A1079" s="8"/>
      <c r="B1079" s="8"/>
      <c r="C1079" s="2">
        <f>F1079/Instructions!$B$5</f>
        <v>0</v>
      </c>
      <c r="D1079" s="2">
        <f>G1079/Instructions!$B$5</f>
        <v>0</v>
      </c>
      <c r="E1079" s="2">
        <f t="shared" si="17"/>
        <v>0</v>
      </c>
      <c r="F1079" s="9"/>
      <c r="G1079" s="9"/>
      <c r="H1079" s="2">
        <f>IF(SUM(F1079:G1079)&gt;Instructions!$B$5,"Error",SUM(F1079:G1079))</f>
        <v>0</v>
      </c>
      <c r="I1079" s="8"/>
    </row>
    <row r="1080" spans="1:9">
      <c r="A1080" s="8"/>
      <c r="B1080" s="8"/>
      <c r="C1080" s="2">
        <f>F1080/Instructions!$B$5</f>
        <v>0</v>
      </c>
      <c r="D1080" s="2">
        <f>G1080/Instructions!$B$5</f>
        <v>0</v>
      </c>
      <c r="E1080" s="2">
        <f t="shared" si="17"/>
        <v>0</v>
      </c>
      <c r="F1080" s="9"/>
      <c r="G1080" s="9"/>
      <c r="H1080" s="2">
        <f>IF(SUM(F1080:G1080)&gt;Instructions!$B$5,"Error",SUM(F1080:G1080))</f>
        <v>0</v>
      </c>
      <c r="I1080" s="8"/>
    </row>
    <row r="1081" spans="1:9">
      <c r="A1081" s="8"/>
      <c r="B1081" s="8"/>
      <c r="C1081" s="2">
        <f>F1081/Instructions!$B$5</f>
        <v>0</v>
      </c>
      <c r="D1081" s="2">
        <f>G1081/Instructions!$B$5</f>
        <v>0</v>
      </c>
      <c r="E1081" s="2">
        <f t="shared" si="17"/>
        <v>0</v>
      </c>
      <c r="F1081" s="9"/>
      <c r="G1081" s="9"/>
      <c r="H1081" s="2">
        <f>IF(SUM(F1081:G1081)&gt;Instructions!$B$5,"Error",SUM(F1081:G1081))</f>
        <v>0</v>
      </c>
      <c r="I1081" s="8"/>
    </row>
    <row r="1082" spans="1:9">
      <c r="A1082" s="8"/>
      <c r="B1082" s="8"/>
      <c r="C1082" s="2">
        <f>F1082/Instructions!$B$5</f>
        <v>0</v>
      </c>
      <c r="D1082" s="2">
        <f>G1082/Instructions!$B$5</f>
        <v>0</v>
      </c>
      <c r="E1082" s="2">
        <f t="shared" si="17"/>
        <v>0</v>
      </c>
      <c r="F1082" s="9"/>
      <c r="G1082" s="9"/>
      <c r="H1082" s="2">
        <f>IF(SUM(F1082:G1082)&gt;Instructions!$B$5,"Error",SUM(F1082:G1082))</f>
        <v>0</v>
      </c>
      <c r="I1082" s="8"/>
    </row>
    <row r="1083" spans="1:9">
      <c r="A1083" s="8"/>
      <c r="B1083" s="8"/>
      <c r="C1083" s="2">
        <f>F1083/Instructions!$B$5</f>
        <v>0</v>
      </c>
      <c r="D1083" s="2">
        <f>G1083/Instructions!$B$5</f>
        <v>0</v>
      </c>
      <c r="E1083" s="2">
        <f t="shared" si="17"/>
        <v>0</v>
      </c>
      <c r="F1083" s="9"/>
      <c r="G1083" s="9"/>
      <c r="H1083" s="2">
        <f>IF(SUM(F1083:G1083)&gt;Instructions!$B$5,"Error",SUM(F1083:G1083))</f>
        <v>0</v>
      </c>
      <c r="I1083" s="8"/>
    </row>
    <row r="1084" spans="1:9">
      <c r="A1084" s="8"/>
      <c r="B1084" s="8"/>
      <c r="C1084" s="2">
        <f>F1084/Instructions!$B$5</f>
        <v>0</v>
      </c>
      <c r="D1084" s="2">
        <f>G1084/Instructions!$B$5</f>
        <v>0</v>
      </c>
      <c r="E1084" s="2">
        <f t="shared" si="17"/>
        <v>0</v>
      </c>
      <c r="F1084" s="9"/>
      <c r="G1084" s="9"/>
      <c r="H1084" s="2">
        <f>IF(SUM(F1084:G1084)&gt;Instructions!$B$5,"Error",SUM(F1084:G1084))</f>
        <v>0</v>
      </c>
      <c r="I1084" s="8"/>
    </row>
    <row r="1085" spans="1:9">
      <c r="A1085" s="8"/>
      <c r="B1085" s="8"/>
      <c r="C1085" s="2">
        <f>F1085/Instructions!$B$5</f>
        <v>0</v>
      </c>
      <c r="D1085" s="2">
        <f>G1085/Instructions!$B$5</f>
        <v>0</v>
      </c>
      <c r="E1085" s="2">
        <f t="shared" si="17"/>
        <v>0</v>
      </c>
      <c r="F1085" s="9"/>
      <c r="G1085" s="9"/>
      <c r="H1085" s="2">
        <f>IF(SUM(F1085:G1085)&gt;Instructions!$B$5,"Error",SUM(F1085:G1085))</f>
        <v>0</v>
      </c>
      <c r="I1085" s="8"/>
    </row>
    <row r="1086" spans="1:9">
      <c r="A1086" s="8"/>
      <c r="B1086" s="8"/>
      <c r="C1086" s="2">
        <f>F1086/Instructions!$B$5</f>
        <v>0</v>
      </c>
      <c r="D1086" s="2">
        <f>G1086/Instructions!$B$5</f>
        <v>0</v>
      </c>
      <c r="E1086" s="2">
        <f t="shared" si="17"/>
        <v>0</v>
      </c>
      <c r="F1086" s="9"/>
      <c r="G1086" s="9"/>
      <c r="H1086" s="2">
        <f>IF(SUM(F1086:G1086)&gt;Instructions!$B$5,"Error",SUM(F1086:G1086))</f>
        <v>0</v>
      </c>
      <c r="I1086" s="8"/>
    </row>
    <row r="1087" spans="1:9">
      <c r="A1087" s="8"/>
      <c r="B1087" s="8"/>
      <c r="C1087" s="2">
        <f>F1087/Instructions!$B$5</f>
        <v>0</v>
      </c>
      <c r="D1087" s="2">
        <f>G1087/Instructions!$B$5</f>
        <v>0</v>
      </c>
      <c r="E1087" s="2">
        <f t="shared" si="17"/>
        <v>0</v>
      </c>
      <c r="F1087" s="9"/>
      <c r="G1087" s="9"/>
      <c r="H1087" s="2">
        <f>IF(SUM(F1087:G1087)&gt;Instructions!$B$5,"Error",SUM(F1087:G1087))</f>
        <v>0</v>
      </c>
      <c r="I1087" s="8"/>
    </row>
    <row r="1088" spans="1:9">
      <c r="A1088" s="8"/>
      <c r="B1088" s="8"/>
      <c r="C1088" s="2">
        <f>F1088/Instructions!$B$5</f>
        <v>0</v>
      </c>
      <c r="D1088" s="2">
        <f>G1088/Instructions!$B$5</f>
        <v>0</v>
      </c>
      <c r="E1088" s="2">
        <f t="shared" si="17"/>
        <v>0</v>
      </c>
      <c r="F1088" s="9"/>
      <c r="G1088" s="9"/>
      <c r="H1088" s="2">
        <f>IF(SUM(F1088:G1088)&gt;Instructions!$B$5,"Error",SUM(F1088:G1088))</f>
        <v>0</v>
      </c>
      <c r="I1088" s="8"/>
    </row>
    <row r="1089" spans="1:9">
      <c r="A1089" s="8"/>
      <c r="B1089" s="8"/>
      <c r="C1089" s="2">
        <f>F1089/Instructions!$B$5</f>
        <v>0</v>
      </c>
      <c r="D1089" s="2">
        <f>G1089/Instructions!$B$5</f>
        <v>0</v>
      </c>
      <c r="E1089" s="2">
        <f t="shared" si="17"/>
        <v>0</v>
      </c>
      <c r="F1089" s="9"/>
      <c r="G1089" s="9"/>
      <c r="H1089" s="2">
        <f>IF(SUM(F1089:G1089)&gt;Instructions!$B$5,"Error",SUM(F1089:G1089))</f>
        <v>0</v>
      </c>
      <c r="I1089" s="8"/>
    </row>
    <row r="1090" spans="1:9">
      <c r="A1090" s="8"/>
      <c r="B1090" s="8"/>
      <c r="C1090" s="2">
        <f>F1090/Instructions!$B$5</f>
        <v>0</v>
      </c>
      <c r="D1090" s="2">
        <f>G1090/Instructions!$B$5</f>
        <v>0</v>
      </c>
      <c r="E1090" s="2">
        <f t="shared" si="17"/>
        <v>0</v>
      </c>
      <c r="F1090" s="9"/>
      <c r="G1090" s="9"/>
      <c r="H1090" s="2">
        <f>IF(SUM(F1090:G1090)&gt;Instructions!$B$5,"Error",SUM(F1090:G1090))</f>
        <v>0</v>
      </c>
      <c r="I1090" s="8"/>
    </row>
    <row r="1091" spans="1:9">
      <c r="A1091" s="8"/>
      <c r="B1091" s="8"/>
      <c r="C1091" s="2">
        <f>F1091/Instructions!$B$5</f>
        <v>0</v>
      </c>
      <c r="D1091" s="2">
        <f>G1091/Instructions!$B$5</f>
        <v>0</v>
      </c>
      <c r="E1091" s="2">
        <f t="shared" si="17"/>
        <v>0</v>
      </c>
      <c r="F1091" s="9"/>
      <c r="G1091" s="9"/>
      <c r="H1091" s="2">
        <f>IF(SUM(F1091:G1091)&gt;Instructions!$B$5,"Error",SUM(F1091:G1091))</f>
        <v>0</v>
      </c>
      <c r="I1091" s="8"/>
    </row>
    <row r="1092" spans="1:9">
      <c r="A1092" s="8"/>
      <c r="B1092" s="8"/>
      <c r="C1092" s="2">
        <f>F1092/Instructions!$B$5</f>
        <v>0</v>
      </c>
      <c r="D1092" s="2">
        <f>G1092/Instructions!$B$5</f>
        <v>0</v>
      </c>
      <c r="E1092" s="2">
        <f t="shared" si="17"/>
        <v>0</v>
      </c>
      <c r="F1092" s="9"/>
      <c r="G1092" s="9"/>
      <c r="H1092" s="2">
        <f>IF(SUM(F1092:G1092)&gt;Instructions!$B$5,"Error",SUM(F1092:G1092))</f>
        <v>0</v>
      </c>
      <c r="I1092" s="8"/>
    </row>
    <row r="1093" spans="1:9">
      <c r="A1093" s="8"/>
      <c r="B1093" s="8"/>
      <c r="C1093" s="2">
        <f>F1093/Instructions!$B$5</f>
        <v>0</v>
      </c>
      <c r="D1093" s="2">
        <f>G1093/Instructions!$B$5</f>
        <v>0</v>
      </c>
      <c r="E1093" s="2">
        <f t="shared" si="17"/>
        <v>0</v>
      </c>
      <c r="F1093" s="9"/>
      <c r="G1093" s="9"/>
      <c r="H1093" s="2">
        <f>IF(SUM(F1093:G1093)&gt;Instructions!$B$5,"Error",SUM(F1093:G1093))</f>
        <v>0</v>
      </c>
      <c r="I1093" s="8"/>
    </row>
    <row r="1094" spans="1:9">
      <c r="A1094" s="8"/>
      <c r="B1094" s="8"/>
      <c r="C1094" s="2">
        <f>F1094/Instructions!$B$5</f>
        <v>0</v>
      </c>
      <c r="D1094" s="2">
        <f>G1094/Instructions!$B$5</f>
        <v>0</v>
      </c>
      <c r="E1094" s="2">
        <f t="shared" si="17"/>
        <v>0</v>
      </c>
      <c r="F1094" s="9"/>
      <c r="G1094" s="9"/>
      <c r="H1094" s="2">
        <f>IF(SUM(F1094:G1094)&gt;Instructions!$B$5,"Error",SUM(F1094:G1094))</f>
        <v>0</v>
      </c>
      <c r="I1094" s="8"/>
    </row>
    <row r="1095" spans="1:9">
      <c r="A1095" s="8"/>
      <c r="B1095" s="8"/>
      <c r="C1095" s="2">
        <f>F1095/Instructions!$B$5</f>
        <v>0</v>
      </c>
      <c r="D1095" s="2">
        <f>G1095/Instructions!$B$5</f>
        <v>0</v>
      </c>
      <c r="E1095" s="2">
        <f t="shared" si="17"/>
        <v>0</v>
      </c>
      <c r="F1095" s="9"/>
      <c r="G1095" s="9"/>
      <c r="H1095" s="2">
        <f>IF(SUM(F1095:G1095)&gt;Instructions!$B$5,"Error",SUM(F1095:G1095))</f>
        <v>0</v>
      </c>
      <c r="I1095" s="8"/>
    </row>
    <row r="1096" spans="1:9">
      <c r="A1096" s="8"/>
      <c r="B1096" s="8"/>
      <c r="C1096" s="2">
        <f>F1096/Instructions!$B$5</f>
        <v>0</v>
      </c>
      <c r="D1096" s="2">
        <f>G1096/Instructions!$B$5</f>
        <v>0</v>
      </c>
      <c r="E1096" s="2">
        <f t="shared" ref="E1096:E1159" si="18">IF(SUM(C1096:D1096)&gt;1,"Error",SUM(C1096:D1096))</f>
        <v>0</v>
      </c>
      <c r="F1096" s="9"/>
      <c r="G1096" s="9"/>
      <c r="H1096" s="2">
        <f>IF(SUM(F1096:G1096)&gt;Instructions!$B$5,"Error",SUM(F1096:G1096))</f>
        <v>0</v>
      </c>
      <c r="I1096" s="8"/>
    </row>
    <row r="1097" spans="1:9">
      <c r="A1097" s="8"/>
      <c r="B1097" s="8"/>
      <c r="C1097" s="2">
        <f>F1097/Instructions!$B$5</f>
        <v>0</v>
      </c>
      <c r="D1097" s="2">
        <f>G1097/Instructions!$B$5</f>
        <v>0</v>
      </c>
      <c r="E1097" s="2">
        <f t="shared" si="18"/>
        <v>0</v>
      </c>
      <c r="F1097" s="9"/>
      <c r="G1097" s="9"/>
      <c r="H1097" s="2">
        <f>IF(SUM(F1097:G1097)&gt;Instructions!$B$5,"Error",SUM(F1097:G1097))</f>
        <v>0</v>
      </c>
      <c r="I1097" s="8"/>
    </row>
    <row r="1098" spans="1:9">
      <c r="A1098" s="8"/>
      <c r="B1098" s="8"/>
      <c r="C1098" s="2">
        <f>F1098/Instructions!$B$5</f>
        <v>0</v>
      </c>
      <c r="D1098" s="2">
        <f>G1098/Instructions!$B$5</f>
        <v>0</v>
      </c>
      <c r="E1098" s="2">
        <f t="shared" si="18"/>
        <v>0</v>
      </c>
      <c r="F1098" s="9"/>
      <c r="G1098" s="9"/>
      <c r="H1098" s="2">
        <f>IF(SUM(F1098:G1098)&gt;Instructions!$B$5,"Error",SUM(F1098:G1098))</f>
        <v>0</v>
      </c>
      <c r="I1098" s="8"/>
    </row>
    <row r="1099" spans="1:9">
      <c r="A1099" s="8"/>
      <c r="B1099" s="8"/>
      <c r="C1099" s="2">
        <f>F1099/Instructions!$B$5</f>
        <v>0</v>
      </c>
      <c r="D1099" s="2">
        <f>G1099/Instructions!$B$5</f>
        <v>0</v>
      </c>
      <c r="E1099" s="2">
        <f t="shared" si="18"/>
        <v>0</v>
      </c>
      <c r="F1099" s="9"/>
      <c r="G1099" s="9"/>
      <c r="H1099" s="2">
        <f>IF(SUM(F1099:G1099)&gt;Instructions!$B$5,"Error",SUM(F1099:G1099))</f>
        <v>0</v>
      </c>
      <c r="I1099" s="8"/>
    </row>
    <row r="1100" spans="1:9">
      <c r="A1100" s="8"/>
      <c r="B1100" s="8"/>
      <c r="C1100" s="2">
        <f>F1100/Instructions!$B$5</f>
        <v>0</v>
      </c>
      <c r="D1100" s="2">
        <f>G1100/Instructions!$B$5</f>
        <v>0</v>
      </c>
      <c r="E1100" s="2">
        <f t="shared" si="18"/>
        <v>0</v>
      </c>
      <c r="F1100" s="9"/>
      <c r="G1100" s="9"/>
      <c r="H1100" s="2">
        <f>IF(SUM(F1100:G1100)&gt;Instructions!$B$5,"Error",SUM(F1100:G1100))</f>
        <v>0</v>
      </c>
      <c r="I1100" s="8"/>
    </row>
    <row r="1101" spans="1:9">
      <c r="A1101" s="8"/>
      <c r="B1101" s="8"/>
      <c r="C1101" s="2">
        <f>F1101/Instructions!$B$5</f>
        <v>0</v>
      </c>
      <c r="D1101" s="2">
        <f>G1101/Instructions!$B$5</f>
        <v>0</v>
      </c>
      <c r="E1101" s="2">
        <f t="shared" si="18"/>
        <v>0</v>
      </c>
      <c r="F1101" s="9"/>
      <c r="G1101" s="9"/>
      <c r="H1101" s="2">
        <f>IF(SUM(F1101:G1101)&gt;Instructions!$B$5,"Error",SUM(F1101:G1101))</f>
        <v>0</v>
      </c>
      <c r="I1101" s="8"/>
    </row>
    <row r="1102" spans="1:9">
      <c r="A1102" s="8"/>
      <c r="B1102" s="8"/>
      <c r="C1102" s="2">
        <f>F1102/Instructions!$B$5</f>
        <v>0</v>
      </c>
      <c r="D1102" s="2">
        <f>G1102/Instructions!$B$5</f>
        <v>0</v>
      </c>
      <c r="E1102" s="2">
        <f t="shared" si="18"/>
        <v>0</v>
      </c>
      <c r="F1102" s="9"/>
      <c r="G1102" s="9"/>
      <c r="H1102" s="2">
        <f>IF(SUM(F1102:G1102)&gt;Instructions!$B$5,"Error",SUM(F1102:G1102))</f>
        <v>0</v>
      </c>
      <c r="I1102" s="8"/>
    </row>
    <row r="1103" spans="1:9">
      <c r="A1103" s="8"/>
      <c r="B1103" s="8"/>
      <c r="C1103" s="2">
        <f>F1103/Instructions!$B$5</f>
        <v>0</v>
      </c>
      <c r="D1103" s="2">
        <f>G1103/Instructions!$B$5</f>
        <v>0</v>
      </c>
      <c r="E1103" s="2">
        <f t="shared" si="18"/>
        <v>0</v>
      </c>
      <c r="F1103" s="9"/>
      <c r="G1103" s="9"/>
      <c r="H1103" s="2">
        <f>IF(SUM(F1103:G1103)&gt;Instructions!$B$5,"Error",SUM(F1103:G1103))</f>
        <v>0</v>
      </c>
      <c r="I1103" s="8"/>
    </row>
    <row r="1104" spans="1:9">
      <c r="A1104" s="8"/>
      <c r="B1104" s="8"/>
      <c r="C1104" s="2">
        <f>F1104/Instructions!$B$5</f>
        <v>0</v>
      </c>
      <c r="D1104" s="2">
        <f>G1104/Instructions!$B$5</f>
        <v>0</v>
      </c>
      <c r="E1104" s="2">
        <f t="shared" si="18"/>
        <v>0</v>
      </c>
      <c r="F1104" s="9"/>
      <c r="G1104" s="9"/>
      <c r="H1104" s="2">
        <f>IF(SUM(F1104:G1104)&gt;Instructions!$B$5,"Error",SUM(F1104:G1104))</f>
        <v>0</v>
      </c>
      <c r="I1104" s="8"/>
    </row>
    <row r="1105" spans="1:9">
      <c r="A1105" s="8"/>
      <c r="B1105" s="8"/>
      <c r="C1105" s="2">
        <f>F1105/Instructions!$B$5</f>
        <v>0</v>
      </c>
      <c r="D1105" s="2">
        <f>G1105/Instructions!$B$5</f>
        <v>0</v>
      </c>
      <c r="E1105" s="2">
        <f t="shared" si="18"/>
        <v>0</v>
      </c>
      <c r="F1105" s="9"/>
      <c r="G1105" s="9"/>
      <c r="H1105" s="2">
        <f>IF(SUM(F1105:G1105)&gt;Instructions!$B$5,"Error",SUM(F1105:G1105))</f>
        <v>0</v>
      </c>
      <c r="I1105" s="8"/>
    </row>
    <row r="1106" spans="1:9">
      <c r="A1106" s="8"/>
      <c r="B1106" s="8"/>
      <c r="C1106" s="2">
        <f>F1106/Instructions!$B$5</f>
        <v>0</v>
      </c>
      <c r="D1106" s="2">
        <f>G1106/Instructions!$B$5</f>
        <v>0</v>
      </c>
      <c r="E1106" s="2">
        <f t="shared" si="18"/>
        <v>0</v>
      </c>
      <c r="F1106" s="9"/>
      <c r="G1106" s="9"/>
      <c r="H1106" s="2">
        <f>IF(SUM(F1106:G1106)&gt;Instructions!$B$5,"Error",SUM(F1106:G1106))</f>
        <v>0</v>
      </c>
      <c r="I1106" s="8"/>
    </row>
    <row r="1107" spans="1:9">
      <c r="A1107" s="8"/>
      <c r="B1107" s="8"/>
      <c r="C1107" s="2">
        <f>F1107/Instructions!$B$5</f>
        <v>0</v>
      </c>
      <c r="D1107" s="2">
        <f>G1107/Instructions!$B$5</f>
        <v>0</v>
      </c>
      <c r="E1107" s="2">
        <f t="shared" si="18"/>
        <v>0</v>
      </c>
      <c r="F1107" s="9"/>
      <c r="G1107" s="9"/>
      <c r="H1107" s="2">
        <f>IF(SUM(F1107:G1107)&gt;Instructions!$B$5,"Error",SUM(F1107:G1107))</f>
        <v>0</v>
      </c>
      <c r="I1107" s="8"/>
    </row>
    <row r="1108" spans="1:9">
      <c r="A1108" s="8"/>
      <c r="B1108" s="8"/>
      <c r="C1108" s="2">
        <f>F1108/Instructions!$B$5</f>
        <v>0</v>
      </c>
      <c r="D1108" s="2">
        <f>G1108/Instructions!$B$5</f>
        <v>0</v>
      </c>
      <c r="E1108" s="2">
        <f t="shared" si="18"/>
        <v>0</v>
      </c>
      <c r="F1108" s="9"/>
      <c r="G1108" s="9"/>
      <c r="H1108" s="2">
        <f>IF(SUM(F1108:G1108)&gt;Instructions!$B$5,"Error",SUM(F1108:G1108))</f>
        <v>0</v>
      </c>
      <c r="I1108" s="8"/>
    </row>
    <row r="1109" spans="1:9">
      <c r="A1109" s="8"/>
      <c r="B1109" s="8"/>
      <c r="C1109" s="2">
        <f>F1109/Instructions!$B$5</f>
        <v>0</v>
      </c>
      <c r="D1109" s="2">
        <f>G1109/Instructions!$B$5</f>
        <v>0</v>
      </c>
      <c r="E1109" s="2">
        <f t="shared" si="18"/>
        <v>0</v>
      </c>
      <c r="F1109" s="9"/>
      <c r="G1109" s="9"/>
      <c r="H1109" s="2">
        <f>IF(SUM(F1109:G1109)&gt;Instructions!$B$5,"Error",SUM(F1109:G1109))</f>
        <v>0</v>
      </c>
      <c r="I1109" s="8"/>
    </row>
    <row r="1110" spans="1:9">
      <c r="A1110" s="8"/>
      <c r="B1110" s="8"/>
      <c r="C1110" s="2">
        <f>F1110/Instructions!$B$5</f>
        <v>0</v>
      </c>
      <c r="D1110" s="2">
        <f>G1110/Instructions!$B$5</f>
        <v>0</v>
      </c>
      <c r="E1110" s="2">
        <f t="shared" si="18"/>
        <v>0</v>
      </c>
      <c r="F1110" s="9"/>
      <c r="G1110" s="9"/>
      <c r="H1110" s="2">
        <f>IF(SUM(F1110:G1110)&gt;Instructions!$B$5,"Error",SUM(F1110:G1110))</f>
        <v>0</v>
      </c>
      <c r="I1110" s="8"/>
    </row>
    <row r="1111" spans="1:9">
      <c r="A1111" s="8"/>
      <c r="B1111" s="8"/>
      <c r="C1111" s="2">
        <f>F1111/Instructions!$B$5</f>
        <v>0</v>
      </c>
      <c r="D1111" s="2">
        <f>G1111/Instructions!$B$5</f>
        <v>0</v>
      </c>
      <c r="E1111" s="2">
        <f t="shared" si="18"/>
        <v>0</v>
      </c>
      <c r="F1111" s="9"/>
      <c r="G1111" s="9"/>
      <c r="H1111" s="2">
        <f>IF(SUM(F1111:G1111)&gt;Instructions!$B$5,"Error",SUM(F1111:G1111))</f>
        <v>0</v>
      </c>
      <c r="I1111" s="8"/>
    </row>
    <row r="1112" spans="1:9">
      <c r="A1112" s="8"/>
      <c r="B1112" s="8"/>
      <c r="C1112" s="2">
        <f>F1112/Instructions!$B$5</f>
        <v>0</v>
      </c>
      <c r="D1112" s="2">
        <f>G1112/Instructions!$B$5</f>
        <v>0</v>
      </c>
      <c r="E1112" s="2">
        <f t="shared" si="18"/>
        <v>0</v>
      </c>
      <c r="F1112" s="9"/>
      <c r="G1112" s="9"/>
      <c r="H1112" s="2">
        <f>IF(SUM(F1112:G1112)&gt;Instructions!$B$5,"Error",SUM(F1112:G1112))</f>
        <v>0</v>
      </c>
      <c r="I1112" s="8"/>
    </row>
    <row r="1113" spans="1:9">
      <c r="A1113" s="8"/>
      <c r="B1113" s="8"/>
      <c r="C1113" s="2">
        <f>F1113/Instructions!$B$5</f>
        <v>0</v>
      </c>
      <c r="D1113" s="2">
        <f>G1113/Instructions!$B$5</f>
        <v>0</v>
      </c>
      <c r="E1113" s="2">
        <f t="shared" si="18"/>
        <v>0</v>
      </c>
      <c r="F1113" s="9"/>
      <c r="G1113" s="9"/>
      <c r="H1113" s="2">
        <f>IF(SUM(F1113:G1113)&gt;Instructions!$B$5,"Error",SUM(F1113:G1113))</f>
        <v>0</v>
      </c>
      <c r="I1113" s="8"/>
    </row>
    <row r="1114" spans="1:9">
      <c r="A1114" s="8"/>
      <c r="B1114" s="8"/>
      <c r="C1114" s="2">
        <f>F1114/Instructions!$B$5</f>
        <v>0</v>
      </c>
      <c r="D1114" s="2">
        <f>G1114/Instructions!$B$5</f>
        <v>0</v>
      </c>
      <c r="E1114" s="2">
        <f t="shared" si="18"/>
        <v>0</v>
      </c>
      <c r="F1114" s="9"/>
      <c r="G1114" s="9"/>
      <c r="H1114" s="2">
        <f>IF(SUM(F1114:G1114)&gt;Instructions!$B$5,"Error",SUM(F1114:G1114))</f>
        <v>0</v>
      </c>
      <c r="I1114" s="8"/>
    </row>
    <row r="1115" spans="1:9">
      <c r="A1115" s="8"/>
      <c r="B1115" s="8"/>
      <c r="C1115" s="2">
        <f>F1115/Instructions!$B$5</f>
        <v>0</v>
      </c>
      <c r="D1115" s="2">
        <f>G1115/Instructions!$B$5</f>
        <v>0</v>
      </c>
      <c r="E1115" s="2">
        <f t="shared" si="18"/>
        <v>0</v>
      </c>
      <c r="F1115" s="9"/>
      <c r="G1115" s="9"/>
      <c r="H1115" s="2">
        <f>IF(SUM(F1115:G1115)&gt;Instructions!$B$5,"Error",SUM(F1115:G1115))</f>
        <v>0</v>
      </c>
      <c r="I1115" s="8"/>
    </row>
    <row r="1116" spans="1:9">
      <c r="A1116" s="8"/>
      <c r="B1116" s="8"/>
      <c r="C1116" s="2">
        <f>F1116/Instructions!$B$5</f>
        <v>0</v>
      </c>
      <c r="D1116" s="2">
        <f>G1116/Instructions!$B$5</f>
        <v>0</v>
      </c>
      <c r="E1116" s="2">
        <f t="shared" si="18"/>
        <v>0</v>
      </c>
      <c r="F1116" s="9"/>
      <c r="G1116" s="9"/>
      <c r="H1116" s="2">
        <f>IF(SUM(F1116:G1116)&gt;Instructions!$B$5,"Error",SUM(F1116:G1116))</f>
        <v>0</v>
      </c>
      <c r="I1116" s="8"/>
    </row>
    <row r="1117" spans="1:9">
      <c r="A1117" s="8"/>
      <c r="B1117" s="8"/>
      <c r="C1117" s="2">
        <f>F1117/Instructions!$B$5</f>
        <v>0</v>
      </c>
      <c r="D1117" s="2">
        <f>G1117/Instructions!$B$5</f>
        <v>0</v>
      </c>
      <c r="E1117" s="2">
        <f t="shared" si="18"/>
        <v>0</v>
      </c>
      <c r="F1117" s="9"/>
      <c r="G1117" s="9"/>
      <c r="H1117" s="2">
        <f>IF(SUM(F1117:G1117)&gt;Instructions!$B$5,"Error",SUM(F1117:G1117))</f>
        <v>0</v>
      </c>
      <c r="I1117" s="8"/>
    </row>
    <row r="1118" spans="1:9">
      <c r="A1118" s="8"/>
      <c r="B1118" s="8"/>
      <c r="C1118" s="2">
        <f>F1118/Instructions!$B$5</f>
        <v>0</v>
      </c>
      <c r="D1118" s="2">
        <f>G1118/Instructions!$B$5</f>
        <v>0</v>
      </c>
      <c r="E1118" s="2">
        <f t="shared" si="18"/>
        <v>0</v>
      </c>
      <c r="F1118" s="9"/>
      <c r="G1118" s="9"/>
      <c r="H1118" s="2">
        <f>IF(SUM(F1118:G1118)&gt;Instructions!$B$5,"Error",SUM(F1118:G1118))</f>
        <v>0</v>
      </c>
      <c r="I1118" s="8"/>
    </row>
    <row r="1119" spans="1:9">
      <c r="A1119" s="8"/>
      <c r="B1119" s="8"/>
      <c r="C1119" s="2">
        <f>F1119/Instructions!$B$5</f>
        <v>0</v>
      </c>
      <c r="D1119" s="2">
        <f>G1119/Instructions!$B$5</f>
        <v>0</v>
      </c>
      <c r="E1119" s="2">
        <f t="shared" si="18"/>
        <v>0</v>
      </c>
      <c r="F1119" s="9"/>
      <c r="G1119" s="9"/>
      <c r="H1119" s="2">
        <f>IF(SUM(F1119:G1119)&gt;Instructions!$B$5,"Error",SUM(F1119:G1119))</f>
        <v>0</v>
      </c>
      <c r="I1119" s="8"/>
    </row>
    <row r="1120" spans="1:9">
      <c r="A1120" s="8"/>
      <c r="B1120" s="8"/>
      <c r="C1120" s="2">
        <f>F1120/Instructions!$B$5</f>
        <v>0</v>
      </c>
      <c r="D1120" s="2">
        <f>G1120/Instructions!$B$5</f>
        <v>0</v>
      </c>
      <c r="E1120" s="2">
        <f t="shared" si="18"/>
        <v>0</v>
      </c>
      <c r="F1120" s="9"/>
      <c r="G1120" s="9"/>
      <c r="H1120" s="2">
        <f>IF(SUM(F1120:G1120)&gt;Instructions!$B$5,"Error",SUM(F1120:G1120))</f>
        <v>0</v>
      </c>
      <c r="I1120" s="8"/>
    </row>
    <row r="1121" spans="1:9">
      <c r="A1121" s="8"/>
      <c r="B1121" s="8"/>
      <c r="C1121" s="2">
        <f>F1121/Instructions!$B$5</f>
        <v>0</v>
      </c>
      <c r="D1121" s="2">
        <f>G1121/Instructions!$B$5</f>
        <v>0</v>
      </c>
      <c r="E1121" s="2">
        <f t="shared" si="18"/>
        <v>0</v>
      </c>
      <c r="F1121" s="9"/>
      <c r="G1121" s="9"/>
      <c r="H1121" s="2">
        <f>IF(SUM(F1121:G1121)&gt;Instructions!$B$5,"Error",SUM(F1121:G1121))</f>
        <v>0</v>
      </c>
      <c r="I1121" s="8"/>
    </row>
    <row r="1122" spans="1:9">
      <c r="A1122" s="8"/>
      <c r="B1122" s="8"/>
      <c r="C1122" s="2">
        <f>F1122/Instructions!$B$5</f>
        <v>0</v>
      </c>
      <c r="D1122" s="2">
        <f>G1122/Instructions!$B$5</f>
        <v>0</v>
      </c>
      <c r="E1122" s="2">
        <f t="shared" si="18"/>
        <v>0</v>
      </c>
      <c r="F1122" s="9"/>
      <c r="G1122" s="9"/>
      <c r="H1122" s="2">
        <f>IF(SUM(F1122:G1122)&gt;Instructions!$B$5,"Error",SUM(F1122:G1122))</f>
        <v>0</v>
      </c>
      <c r="I1122" s="8"/>
    </row>
    <row r="1123" spans="1:9">
      <c r="A1123" s="8"/>
      <c r="B1123" s="8"/>
      <c r="C1123" s="2">
        <f>F1123/Instructions!$B$5</f>
        <v>0</v>
      </c>
      <c r="D1123" s="2">
        <f>G1123/Instructions!$B$5</f>
        <v>0</v>
      </c>
      <c r="E1123" s="2">
        <f t="shared" si="18"/>
        <v>0</v>
      </c>
      <c r="F1123" s="9"/>
      <c r="G1123" s="9"/>
      <c r="H1123" s="2">
        <f>IF(SUM(F1123:G1123)&gt;Instructions!$B$5,"Error",SUM(F1123:G1123))</f>
        <v>0</v>
      </c>
      <c r="I1123" s="8"/>
    </row>
    <row r="1124" spans="1:9">
      <c r="A1124" s="8"/>
      <c r="B1124" s="8"/>
      <c r="C1124" s="2">
        <f>F1124/Instructions!$B$5</f>
        <v>0</v>
      </c>
      <c r="D1124" s="2">
        <f>G1124/Instructions!$B$5</f>
        <v>0</v>
      </c>
      <c r="E1124" s="2">
        <f t="shared" si="18"/>
        <v>0</v>
      </c>
      <c r="F1124" s="9"/>
      <c r="G1124" s="9"/>
      <c r="H1124" s="2">
        <f>IF(SUM(F1124:G1124)&gt;Instructions!$B$5,"Error",SUM(F1124:G1124))</f>
        <v>0</v>
      </c>
      <c r="I1124" s="8"/>
    </row>
    <row r="1125" spans="1:9">
      <c r="A1125" s="8"/>
      <c r="B1125" s="8"/>
      <c r="C1125" s="2">
        <f>F1125/Instructions!$B$5</f>
        <v>0</v>
      </c>
      <c r="D1125" s="2">
        <f>G1125/Instructions!$B$5</f>
        <v>0</v>
      </c>
      <c r="E1125" s="2">
        <f t="shared" si="18"/>
        <v>0</v>
      </c>
      <c r="F1125" s="9"/>
      <c r="G1125" s="9"/>
      <c r="H1125" s="2">
        <f>IF(SUM(F1125:G1125)&gt;Instructions!$B$5,"Error",SUM(F1125:G1125))</f>
        <v>0</v>
      </c>
      <c r="I1125" s="8"/>
    </row>
    <row r="1126" spans="1:9">
      <c r="A1126" s="8"/>
      <c r="B1126" s="8"/>
      <c r="C1126" s="2">
        <f>F1126/Instructions!$B$5</f>
        <v>0</v>
      </c>
      <c r="D1126" s="2">
        <f>G1126/Instructions!$B$5</f>
        <v>0</v>
      </c>
      <c r="E1126" s="2">
        <f t="shared" si="18"/>
        <v>0</v>
      </c>
      <c r="F1126" s="9"/>
      <c r="G1126" s="9"/>
      <c r="H1126" s="2">
        <f>IF(SUM(F1126:G1126)&gt;Instructions!$B$5,"Error",SUM(F1126:G1126))</f>
        <v>0</v>
      </c>
      <c r="I1126" s="8"/>
    </row>
    <row r="1127" spans="1:9">
      <c r="A1127" s="8"/>
      <c r="B1127" s="8"/>
      <c r="C1127" s="2">
        <f>F1127/Instructions!$B$5</f>
        <v>0</v>
      </c>
      <c r="D1127" s="2">
        <f>G1127/Instructions!$B$5</f>
        <v>0</v>
      </c>
      <c r="E1127" s="2">
        <f t="shared" si="18"/>
        <v>0</v>
      </c>
      <c r="F1127" s="9"/>
      <c r="G1127" s="9"/>
      <c r="H1127" s="2">
        <f>IF(SUM(F1127:G1127)&gt;Instructions!$B$5,"Error",SUM(F1127:G1127))</f>
        <v>0</v>
      </c>
      <c r="I1127" s="8"/>
    </row>
    <row r="1128" spans="1:9">
      <c r="A1128" s="8"/>
      <c r="B1128" s="8"/>
      <c r="C1128" s="2">
        <f>F1128/Instructions!$B$5</f>
        <v>0</v>
      </c>
      <c r="D1128" s="2">
        <f>G1128/Instructions!$B$5</f>
        <v>0</v>
      </c>
      <c r="E1128" s="2">
        <f t="shared" si="18"/>
        <v>0</v>
      </c>
      <c r="F1128" s="9"/>
      <c r="G1128" s="9"/>
      <c r="H1128" s="2">
        <f>IF(SUM(F1128:G1128)&gt;Instructions!$B$5,"Error",SUM(F1128:G1128))</f>
        <v>0</v>
      </c>
      <c r="I1128" s="8"/>
    </row>
    <row r="1129" spans="1:9">
      <c r="A1129" s="8"/>
      <c r="B1129" s="8"/>
      <c r="C1129" s="2">
        <f>F1129/Instructions!$B$5</f>
        <v>0</v>
      </c>
      <c r="D1129" s="2">
        <f>G1129/Instructions!$B$5</f>
        <v>0</v>
      </c>
      <c r="E1129" s="2">
        <f t="shared" si="18"/>
        <v>0</v>
      </c>
      <c r="F1129" s="9"/>
      <c r="G1129" s="9"/>
      <c r="H1129" s="2">
        <f>IF(SUM(F1129:G1129)&gt;Instructions!$B$5,"Error",SUM(F1129:G1129))</f>
        <v>0</v>
      </c>
      <c r="I1129" s="8"/>
    </row>
    <row r="1130" spans="1:9">
      <c r="A1130" s="8"/>
      <c r="B1130" s="8"/>
      <c r="C1130" s="2">
        <f>F1130/Instructions!$B$5</f>
        <v>0</v>
      </c>
      <c r="D1130" s="2">
        <f>G1130/Instructions!$B$5</f>
        <v>0</v>
      </c>
      <c r="E1130" s="2">
        <f t="shared" si="18"/>
        <v>0</v>
      </c>
      <c r="F1130" s="9"/>
      <c r="G1130" s="9"/>
      <c r="H1130" s="2">
        <f>IF(SUM(F1130:G1130)&gt;Instructions!$B$5,"Error",SUM(F1130:G1130))</f>
        <v>0</v>
      </c>
      <c r="I1130" s="8"/>
    </row>
    <row r="1131" spans="1:9">
      <c r="A1131" s="8"/>
      <c r="B1131" s="8"/>
      <c r="C1131" s="2">
        <f>F1131/Instructions!$B$5</f>
        <v>0</v>
      </c>
      <c r="D1131" s="2">
        <f>G1131/Instructions!$B$5</f>
        <v>0</v>
      </c>
      <c r="E1131" s="2">
        <f t="shared" si="18"/>
        <v>0</v>
      </c>
      <c r="F1131" s="9"/>
      <c r="G1131" s="9"/>
      <c r="H1131" s="2">
        <f>IF(SUM(F1131:G1131)&gt;Instructions!$B$5,"Error",SUM(F1131:G1131))</f>
        <v>0</v>
      </c>
      <c r="I1131" s="8"/>
    </row>
    <row r="1132" spans="1:9">
      <c r="A1132" s="8"/>
      <c r="B1132" s="8"/>
      <c r="C1132" s="2">
        <f>F1132/Instructions!$B$5</f>
        <v>0</v>
      </c>
      <c r="D1132" s="2">
        <f>G1132/Instructions!$B$5</f>
        <v>0</v>
      </c>
      <c r="E1132" s="2">
        <f t="shared" si="18"/>
        <v>0</v>
      </c>
      <c r="F1132" s="9"/>
      <c r="G1132" s="9"/>
      <c r="H1132" s="2">
        <f>IF(SUM(F1132:G1132)&gt;Instructions!$B$5,"Error",SUM(F1132:G1132))</f>
        <v>0</v>
      </c>
      <c r="I1132" s="8"/>
    </row>
    <row r="1133" spans="1:9">
      <c r="A1133" s="8"/>
      <c r="B1133" s="8"/>
      <c r="C1133" s="2">
        <f>F1133/Instructions!$B$5</f>
        <v>0</v>
      </c>
      <c r="D1133" s="2">
        <f>G1133/Instructions!$B$5</f>
        <v>0</v>
      </c>
      <c r="E1133" s="2">
        <f t="shared" si="18"/>
        <v>0</v>
      </c>
      <c r="F1133" s="9"/>
      <c r="G1133" s="9"/>
      <c r="H1133" s="2">
        <f>IF(SUM(F1133:G1133)&gt;Instructions!$B$5,"Error",SUM(F1133:G1133))</f>
        <v>0</v>
      </c>
      <c r="I1133" s="8"/>
    </row>
    <row r="1134" spans="1:9">
      <c r="A1134" s="8"/>
      <c r="B1134" s="8"/>
      <c r="C1134" s="2">
        <f>F1134/Instructions!$B$5</f>
        <v>0</v>
      </c>
      <c r="D1134" s="2">
        <f>G1134/Instructions!$B$5</f>
        <v>0</v>
      </c>
      <c r="E1134" s="2">
        <f t="shared" si="18"/>
        <v>0</v>
      </c>
      <c r="F1134" s="9"/>
      <c r="G1134" s="9"/>
      <c r="H1134" s="2">
        <f>IF(SUM(F1134:G1134)&gt;Instructions!$B$5,"Error",SUM(F1134:G1134))</f>
        <v>0</v>
      </c>
      <c r="I1134" s="8"/>
    </row>
    <row r="1135" spans="1:9">
      <c r="A1135" s="8"/>
      <c r="B1135" s="8"/>
      <c r="C1135" s="2">
        <f>F1135/Instructions!$B$5</f>
        <v>0</v>
      </c>
      <c r="D1135" s="2">
        <f>G1135/Instructions!$B$5</f>
        <v>0</v>
      </c>
      <c r="E1135" s="2">
        <f t="shared" si="18"/>
        <v>0</v>
      </c>
      <c r="F1135" s="9"/>
      <c r="G1135" s="9"/>
      <c r="H1135" s="2">
        <f>IF(SUM(F1135:G1135)&gt;Instructions!$B$5,"Error",SUM(F1135:G1135))</f>
        <v>0</v>
      </c>
      <c r="I1135" s="8"/>
    </row>
    <row r="1136" spans="1:9">
      <c r="A1136" s="8"/>
      <c r="B1136" s="8"/>
      <c r="C1136" s="2">
        <f>F1136/Instructions!$B$5</f>
        <v>0</v>
      </c>
      <c r="D1136" s="2">
        <f>G1136/Instructions!$B$5</f>
        <v>0</v>
      </c>
      <c r="E1136" s="2">
        <f t="shared" si="18"/>
        <v>0</v>
      </c>
      <c r="F1136" s="9"/>
      <c r="G1136" s="9"/>
      <c r="H1136" s="2">
        <f>IF(SUM(F1136:G1136)&gt;Instructions!$B$5,"Error",SUM(F1136:G1136))</f>
        <v>0</v>
      </c>
      <c r="I1136" s="8"/>
    </row>
    <row r="1137" spans="1:9">
      <c r="A1137" s="8"/>
      <c r="B1137" s="8"/>
      <c r="C1137" s="2">
        <f>F1137/Instructions!$B$5</f>
        <v>0</v>
      </c>
      <c r="D1137" s="2">
        <f>G1137/Instructions!$B$5</f>
        <v>0</v>
      </c>
      <c r="E1137" s="2">
        <f t="shared" si="18"/>
        <v>0</v>
      </c>
      <c r="F1137" s="9"/>
      <c r="G1137" s="9"/>
      <c r="H1137" s="2">
        <f>IF(SUM(F1137:G1137)&gt;Instructions!$B$5,"Error",SUM(F1137:G1137))</f>
        <v>0</v>
      </c>
      <c r="I1137" s="8"/>
    </row>
    <row r="1138" spans="1:9">
      <c r="A1138" s="8"/>
      <c r="B1138" s="8"/>
      <c r="C1138" s="2">
        <f>F1138/Instructions!$B$5</f>
        <v>0</v>
      </c>
      <c r="D1138" s="2">
        <f>G1138/Instructions!$B$5</f>
        <v>0</v>
      </c>
      <c r="E1138" s="2">
        <f t="shared" si="18"/>
        <v>0</v>
      </c>
      <c r="F1138" s="9"/>
      <c r="G1138" s="9"/>
      <c r="H1138" s="2">
        <f>IF(SUM(F1138:G1138)&gt;Instructions!$B$5,"Error",SUM(F1138:G1138))</f>
        <v>0</v>
      </c>
      <c r="I1138" s="8"/>
    </row>
    <row r="1139" spans="1:9">
      <c r="A1139" s="8"/>
      <c r="B1139" s="8"/>
      <c r="C1139" s="2">
        <f>F1139/Instructions!$B$5</f>
        <v>0</v>
      </c>
      <c r="D1139" s="2">
        <f>G1139/Instructions!$B$5</f>
        <v>0</v>
      </c>
      <c r="E1139" s="2">
        <f t="shared" si="18"/>
        <v>0</v>
      </c>
      <c r="F1139" s="9"/>
      <c r="G1139" s="9"/>
      <c r="H1139" s="2">
        <f>IF(SUM(F1139:G1139)&gt;Instructions!$B$5,"Error",SUM(F1139:G1139))</f>
        <v>0</v>
      </c>
      <c r="I1139" s="8"/>
    </row>
    <row r="1140" spans="1:9">
      <c r="A1140" s="8"/>
      <c r="B1140" s="8"/>
      <c r="C1140" s="2">
        <f>F1140/Instructions!$B$5</f>
        <v>0</v>
      </c>
      <c r="D1140" s="2">
        <f>G1140/Instructions!$B$5</f>
        <v>0</v>
      </c>
      <c r="E1140" s="2">
        <f t="shared" si="18"/>
        <v>0</v>
      </c>
      <c r="F1140" s="9"/>
      <c r="G1140" s="9"/>
      <c r="H1140" s="2">
        <f>IF(SUM(F1140:G1140)&gt;Instructions!$B$5,"Error",SUM(F1140:G1140))</f>
        <v>0</v>
      </c>
      <c r="I1140" s="8"/>
    </row>
    <row r="1141" spans="1:9">
      <c r="A1141" s="8"/>
      <c r="B1141" s="8"/>
      <c r="C1141" s="2">
        <f>F1141/Instructions!$B$5</f>
        <v>0</v>
      </c>
      <c r="D1141" s="2">
        <f>G1141/Instructions!$B$5</f>
        <v>0</v>
      </c>
      <c r="E1141" s="2">
        <f t="shared" si="18"/>
        <v>0</v>
      </c>
      <c r="F1141" s="9"/>
      <c r="G1141" s="9"/>
      <c r="H1141" s="2">
        <f>IF(SUM(F1141:G1141)&gt;Instructions!$B$5,"Error",SUM(F1141:G1141))</f>
        <v>0</v>
      </c>
      <c r="I1141" s="8"/>
    </row>
    <row r="1142" spans="1:9">
      <c r="A1142" s="8"/>
      <c r="B1142" s="8"/>
      <c r="C1142" s="2">
        <f>F1142/Instructions!$B$5</f>
        <v>0</v>
      </c>
      <c r="D1142" s="2">
        <f>G1142/Instructions!$B$5</f>
        <v>0</v>
      </c>
      <c r="E1142" s="2">
        <f t="shared" si="18"/>
        <v>0</v>
      </c>
      <c r="F1142" s="9"/>
      <c r="G1142" s="9"/>
      <c r="H1142" s="2">
        <f>IF(SUM(F1142:G1142)&gt;Instructions!$B$5,"Error",SUM(F1142:G1142))</f>
        <v>0</v>
      </c>
      <c r="I1142" s="8"/>
    </row>
    <row r="1143" spans="1:9">
      <c r="A1143" s="8"/>
      <c r="B1143" s="8"/>
      <c r="C1143" s="2">
        <f>F1143/Instructions!$B$5</f>
        <v>0</v>
      </c>
      <c r="D1143" s="2">
        <f>G1143/Instructions!$B$5</f>
        <v>0</v>
      </c>
      <c r="E1143" s="2">
        <f t="shared" si="18"/>
        <v>0</v>
      </c>
      <c r="F1143" s="9"/>
      <c r="G1143" s="9"/>
      <c r="H1143" s="2">
        <f>IF(SUM(F1143:G1143)&gt;Instructions!$B$5,"Error",SUM(F1143:G1143))</f>
        <v>0</v>
      </c>
      <c r="I1143" s="8"/>
    </row>
    <row r="1144" spans="1:9">
      <c r="A1144" s="8"/>
      <c r="B1144" s="8"/>
      <c r="C1144" s="2">
        <f>F1144/Instructions!$B$5</f>
        <v>0</v>
      </c>
      <c r="D1144" s="2">
        <f>G1144/Instructions!$B$5</f>
        <v>0</v>
      </c>
      <c r="E1144" s="2">
        <f t="shared" si="18"/>
        <v>0</v>
      </c>
      <c r="F1144" s="9"/>
      <c r="G1144" s="9"/>
      <c r="H1144" s="2">
        <f>IF(SUM(F1144:G1144)&gt;Instructions!$B$5,"Error",SUM(F1144:G1144))</f>
        <v>0</v>
      </c>
      <c r="I1144" s="8"/>
    </row>
    <row r="1145" spans="1:9">
      <c r="A1145" s="8"/>
      <c r="B1145" s="8"/>
      <c r="C1145" s="2">
        <f>F1145/Instructions!$B$5</f>
        <v>0</v>
      </c>
      <c r="D1145" s="2">
        <f>G1145/Instructions!$B$5</f>
        <v>0</v>
      </c>
      <c r="E1145" s="2">
        <f t="shared" si="18"/>
        <v>0</v>
      </c>
      <c r="F1145" s="9"/>
      <c r="G1145" s="9"/>
      <c r="H1145" s="2">
        <f>IF(SUM(F1145:G1145)&gt;Instructions!$B$5,"Error",SUM(F1145:G1145))</f>
        <v>0</v>
      </c>
      <c r="I1145" s="8"/>
    </row>
    <row r="1146" spans="1:9">
      <c r="A1146" s="8"/>
      <c r="B1146" s="8"/>
      <c r="C1146" s="2">
        <f>F1146/Instructions!$B$5</f>
        <v>0</v>
      </c>
      <c r="D1146" s="2">
        <f>G1146/Instructions!$B$5</f>
        <v>0</v>
      </c>
      <c r="E1146" s="2">
        <f t="shared" si="18"/>
        <v>0</v>
      </c>
      <c r="F1146" s="9"/>
      <c r="G1146" s="9"/>
      <c r="H1146" s="2">
        <f>IF(SUM(F1146:G1146)&gt;Instructions!$B$5,"Error",SUM(F1146:G1146))</f>
        <v>0</v>
      </c>
      <c r="I1146" s="8"/>
    </row>
    <row r="1147" spans="1:9">
      <c r="A1147" s="8"/>
      <c r="B1147" s="8"/>
      <c r="C1147" s="2">
        <f>F1147/Instructions!$B$5</f>
        <v>0</v>
      </c>
      <c r="D1147" s="2">
        <f>G1147/Instructions!$B$5</f>
        <v>0</v>
      </c>
      <c r="E1147" s="2">
        <f t="shared" si="18"/>
        <v>0</v>
      </c>
      <c r="F1147" s="9"/>
      <c r="G1147" s="9"/>
      <c r="H1147" s="2">
        <f>IF(SUM(F1147:G1147)&gt;Instructions!$B$5,"Error",SUM(F1147:G1147))</f>
        <v>0</v>
      </c>
      <c r="I1147" s="8"/>
    </row>
    <row r="1148" spans="1:9">
      <c r="A1148" s="8"/>
      <c r="B1148" s="8"/>
      <c r="C1148" s="2">
        <f>F1148/Instructions!$B$5</f>
        <v>0</v>
      </c>
      <c r="D1148" s="2">
        <f>G1148/Instructions!$B$5</f>
        <v>0</v>
      </c>
      <c r="E1148" s="2">
        <f t="shared" si="18"/>
        <v>0</v>
      </c>
      <c r="F1148" s="9"/>
      <c r="G1148" s="9"/>
      <c r="H1148" s="2">
        <f>IF(SUM(F1148:G1148)&gt;Instructions!$B$5,"Error",SUM(F1148:G1148))</f>
        <v>0</v>
      </c>
      <c r="I1148" s="8"/>
    </row>
    <row r="1149" spans="1:9">
      <c r="A1149" s="8"/>
      <c r="B1149" s="8"/>
      <c r="C1149" s="2">
        <f>F1149/Instructions!$B$5</f>
        <v>0</v>
      </c>
      <c r="D1149" s="2">
        <f>G1149/Instructions!$B$5</f>
        <v>0</v>
      </c>
      <c r="E1149" s="2">
        <f t="shared" si="18"/>
        <v>0</v>
      </c>
      <c r="F1149" s="9"/>
      <c r="G1149" s="9"/>
      <c r="H1149" s="2">
        <f>IF(SUM(F1149:G1149)&gt;Instructions!$B$5,"Error",SUM(F1149:G1149))</f>
        <v>0</v>
      </c>
      <c r="I1149" s="8"/>
    </row>
    <row r="1150" spans="1:9">
      <c r="A1150" s="8"/>
      <c r="B1150" s="8"/>
      <c r="C1150" s="2">
        <f>F1150/Instructions!$B$5</f>
        <v>0</v>
      </c>
      <c r="D1150" s="2">
        <f>G1150/Instructions!$B$5</f>
        <v>0</v>
      </c>
      <c r="E1150" s="2">
        <f t="shared" si="18"/>
        <v>0</v>
      </c>
      <c r="F1150" s="9"/>
      <c r="G1150" s="9"/>
      <c r="H1150" s="2">
        <f>IF(SUM(F1150:G1150)&gt;Instructions!$B$5,"Error",SUM(F1150:G1150))</f>
        <v>0</v>
      </c>
      <c r="I1150" s="8"/>
    </row>
    <row r="1151" spans="1:9">
      <c r="A1151" s="8"/>
      <c r="B1151" s="8"/>
      <c r="C1151" s="2">
        <f>F1151/Instructions!$B$5</f>
        <v>0</v>
      </c>
      <c r="D1151" s="2">
        <f>G1151/Instructions!$B$5</f>
        <v>0</v>
      </c>
      <c r="E1151" s="2">
        <f t="shared" si="18"/>
        <v>0</v>
      </c>
      <c r="F1151" s="9"/>
      <c r="G1151" s="9"/>
      <c r="H1151" s="2">
        <f>IF(SUM(F1151:G1151)&gt;Instructions!$B$5,"Error",SUM(F1151:G1151))</f>
        <v>0</v>
      </c>
      <c r="I1151" s="8"/>
    </row>
    <row r="1152" spans="1:9">
      <c r="A1152" s="8"/>
      <c r="B1152" s="8"/>
      <c r="C1152" s="2">
        <f>F1152/Instructions!$B$5</f>
        <v>0</v>
      </c>
      <c r="D1152" s="2">
        <f>G1152/Instructions!$B$5</f>
        <v>0</v>
      </c>
      <c r="E1152" s="2">
        <f t="shared" si="18"/>
        <v>0</v>
      </c>
      <c r="F1152" s="9"/>
      <c r="G1152" s="9"/>
      <c r="H1152" s="2">
        <f>IF(SUM(F1152:G1152)&gt;Instructions!$B$5,"Error",SUM(F1152:G1152))</f>
        <v>0</v>
      </c>
      <c r="I1152" s="8"/>
    </row>
    <row r="1153" spans="1:9">
      <c r="A1153" s="8"/>
      <c r="B1153" s="8"/>
      <c r="C1153" s="2">
        <f>F1153/Instructions!$B$5</f>
        <v>0</v>
      </c>
      <c r="D1153" s="2">
        <f>G1153/Instructions!$B$5</f>
        <v>0</v>
      </c>
      <c r="E1153" s="2">
        <f t="shared" si="18"/>
        <v>0</v>
      </c>
      <c r="F1153" s="9"/>
      <c r="G1153" s="9"/>
      <c r="H1153" s="2">
        <f>IF(SUM(F1153:G1153)&gt;Instructions!$B$5,"Error",SUM(F1153:G1153))</f>
        <v>0</v>
      </c>
      <c r="I1153" s="8"/>
    </row>
    <row r="1154" spans="1:9">
      <c r="A1154" s="8"/>
      <c r="B1154" s="8"/>
      <c r="C1154" s="2">
        <f>F1154/Instructions!$B$5</f>
        <v>0</v>
      </c>
      <c r="D1154" s="2">
        <f>G1154/Instructions!$B$5</f>
        <v>0</v>
      </c>
      <c r="E1154" s="2">
        <f t="shared" si="18"/>
        <v>0</v>
      </c>
      <c r="F1154" s="9"/>
      <c r="G1154" s="9"/>
      <c r="H1154" s="2">
        <f>IF(SUM(F1154:G1154)&gt;Instructions!$B$5,"Error",SUM(F1154:G1154))</f>
        <v>0</v>
      </c>
      <c r="I1154" s="8"/>
    </row>
    <row r="1155" spans="1:9">
      <c r="A1155" s="8"/>
      <c r="B1155" s="8"/>
      <c r="C1155" s="2">
        <f>F1155/Instructions!$B$5</f>
        <v>0</v>
      </c>
      <c r="D1155" s="2">
        <f>G1155/Instructions!$B$5</f>
        <v>0</v>
      </c>
      <c r="E1155" s="2">
        <f t="shared" si="18"/>
        <v>0</v>
      </c>
      <c r="F1155" s="9"/>
      <c r="G1155" s="9"/>
      <c r="H1155" s="2">
        <f>IF(SUM(F1155:G1155)&gt;Instructions!$B$5,"Error",SUM(F1155:G1155))</f>
        <v>0</v>
      </c>
      <c r="I1155" s="8"/>
    </row>
    <row r="1156" spans="1:9">
      <c r="A1156" s="8"/>
      <c r="B1156" s="8"/>
      <c r="C1156" s="2">
        <f>F1156/Instructions!$B$5</f>
        <v>0</v>
      </c>
      <c r="D1156" s="2">
        <f>G1156/Instructions!$B$5</f>
        <v>0</v>
      </c>
      <c r="E1156" s="2">
        <f t="shared" si="18"/>
        <v>0</v>
      </c>
      <c r="F1156" s="9"/>
      <c r="G1156" s="9"/>
      <c r="H1156" s="2">
        <f>IF(SUM(F1156:G1156)&gt;Instructions!$B$5,"Error",SUM(F1156:G1156))</f>
        <v>0</v>
      </c>
      <c r="I1156" s="8"/>
    </row>
    <row r="1157" spans="1:9">
      <c r="A1157" s="8"/>
      <c r="B1157" s="8"/>
      <c r="C1157" s="2">
        <f>F1157/Instructions!$B$5</f>
        <v>0</v>
      </c>
      <c r="D1157" s="2">
        <f>G1157/Instructions!$B$5</f>
        <v>0</v>
      </c>
      <c r="E1157" s="2">
        <f t="shared" si="18"/>
        <v>0</v>
      </c>
      <c r="F1157" s="9"/>
      <c r="G1157" s="9"/>
      <c r="H1157" s="2">
        <f>IF(SUM(F1157:G1157)&gt;Instructions!$B$5,"Error",SUM(F1157:G1157))</f>
        <v>0</v>
      </c>
      <c r="I1157" s="8"/>
    </row>
    <row r="1158" spans="1:9">
      <c r="A1158" s="8"/>
      <c r="B1158" s="8"/>
      <c r="C1158" s="2">
        <f>F1158/Instructions!$B$5</f>
        <v>0</v>
      </c>
      <c r="D1158" s="2">
        <f>G1158/Instructions!$B$5</f>
        <v>0</v>
      </c>
      <c r="E1158" s="2">
        <f t="shared" si="18"/>
        <v>0</v>
      </c>
      <c r="F1158" s="9"/>
      <c r="G1158" s="9"/>
      <c r="H1158" s="2">
        <f>IF(SUM(F1158:G1158)&gt;Instructions!$B$5,"Error",SUM(F1158:G1158))</f>
        <v>0</v>
      </c>
      <c r="I1158" s="8"/>
    </row>
    <row r="1159" spans="1:9">
      <c r="A1159" s="8"/>
      <c r="B1159" s="8"/>
      <c r="C1159" s="2">
        <f>F1159/Instructions!$B$5</f>
        <v>0</v>
      </c>
      <c r="D1159" s="2">
        <f>G1159/Instructions!$B$5</f>
        <v>0</v>
      </c>
      <c r="E1159" s="2">
        <f t="shared" si="18"/>
        <v>0</v>
      </c>
      <c r="F1159" s="9"/>
      <c r="G1159" s="9"/>
      <c r="H1159" s="2">
        <f>IF(SUM(F1159:G1159)&gt;Instructions!$B$5,"Error",SUM(F1159:G1159))</f>
        <v>0</v>
      </c>
      <c r="I1159" s="8"/>
    </row>
    <row r="1160" spans="1:9">
      <c r="A1160" s="8"/>
      <c r="B1160" s="8"/>
      <c r="C1160" s="2">
        <f>F1160/Instructions!$B$5</f>
        <v>0</v>
      </c>
      <c r="D1160" s="2">
        <f>G1160/Instructions!$B$5</f>
        <v>0</v>
      </c>
      <c r="E1160" s="2">
        <f t="shared" ref="E1160:E1223" si="19">IF(SUM(C1160:D1160)&gt;1,"Error",SUM(C1160:D1160))</f>
        <v>0</v>
      </c>
      <c r="F1160" s="9"/>
      <c r="G1160" s="9"/>
      <c r="H1160" s="2">
        <f>IF(SUM(F1160:G1160)&gt;Instructions!$B$5,"Error",SUM(F1160:G1160))</f>
        <v>0</v>
      </c>
      <c r="I1160" s="8"/>
    </row>
    <row r="1161" spans="1:9">
      <c r="A1161" s="8"/>
      <c r="B1161" s="8"/>
      <c r="C1161" s="2">
        <f>F1161/Instructions!$B$5</f>
        <v>0</v>
      </c>
      <c r="D1161" s="2">
        <f>G1161/Instructions!$B$5</f>
        <v>0</v>
      </c>
      <c r="E1161" s="2">
        <f t="shared" si="19"/>
        <v>0</v>
      </c>
      <c r="F1161" s="9"/>
      <c r="G1161" s="9"/>
      <c r="H1161" s="2">
        <f>IF(SUM(F1161:G1161)&gt;Instructions!$B$5,"Error",SUM(F1161:G1161))</f>
        <v>0</v>
      </c>
      <c r="I1161" s="8"/>
    </row>
    <row r="1162" spans="1:9">
      <c r="A1162" s="8"/>
      <c r="B1162" s="8"/>
      <c r="C1162" s="2">
        <f>F1162/Instructions!$B$5</f>
        <v>0</v>
      </c>
      <c r="D1162" s="2">
        <f>G1162/Instructions!$B$5</f>
        <v>0</v>
      </c>
      <c r="E1162" s="2">
        <f t="shared" si="19"/>
        <v>0</v>
      </c>
      <c r="F1162" s="9"/>
      <c r="G1162" s="9"/>
      <c r="H1162" s="2">
        <f>IF(SUM(F1162:G1162)&gt;Instructions!$B$5,"Error",SUM(F1162:G1162))</f>
        <v>0</v>
      </c>
      <c r="I1162" s="8"/>
    </row>
    <row r="1163" spans="1:9">
      <c r="A1163" s="8"/>
      <c r="B1163" s="8"/>
      <c r="C1163" s="2">
        <f>F1163/Instructions!$B$5</f>
        <v>0</v>
      </c>
      <c r="D1163" s="2">
        <f>G1163/Instructions!$B$5</f>
        <v>0</v>
      </c>
      <c r="E1163" s="2">
        <f t="shared" si="19"/>
        <v>0</v>
      </c>
      <c r="F1163" s="9"/>
      <c r="G1163" s="9"/>
      <c r="H1163" s="2">
        <f>IF(SUM(F1163:G1163)&gt;Instructions!$B$5,"Error",SUM(F1163:G1163))</f>
        <v>0</v>
      </c>
      <c r="I1163" s="8"/>
    </row>
    <row r="1164" spans="1:9">
      <c r="A1164" s="8"/>
      <c r="B1164" s="8"/>
      <c r="C1164" s="2">
        <f>F1164/Instructions!$B$5</f>
        <v>0</v>
      </c>
      <c r="D1164" s="2">
        <f>G1164/Instructions!$B$5</f>
        <v>0</v>
      </c>
      <c r="E1164" s="2">
        <f t="shared" si="19"/>
        <v>0</v>
      </c>
      <c r="F1164" s="9"/>
      <c r="G1164" s="9"/>
      <c r="H1164" s="2">
        <f>IF(SUM(F1164:G1164)&gt;Instructions!$B$5,"Error",SUM(F1164:G1164))</f>
        <v>0</v>
      </c>
      <c r="I1164" s="8"/>
    </row>
    <row r="1165" spans="1:9">
      <c r="A1165" s="8"/>
      <c r="B1165" s="8"/>
      <c r="C1165" s="2">
        <f>F1165/Instructions!$B$5</f>
        <v>0</v>
      </c>
      <c r="D1165" s="2">
        <f>G1165/Instructions!$B$5</f>
        <v>0</v>
      </c>
      <c r="E1165" s="2">
        <f t="shared" si="19"/>
        <v>0</v>
      </c>
      <c r="F1165" s="9"/>
      <c r="G1165" s="9"/>
      <c r="H1165" s="2">
        <f>IF(SUM(F1165:G1165)&gt;Instructions!$B$5,"Error",SUM(F1165:G1165))</f>
        <v>0</v>
      </c>
      <c r="I1165" s="8"/>
    </row>
    <row r="1166" spans="1:9">
      <c r="A1166" s="8"/>
      <c r="B1166" s="8"/>
      <c r="C1166" s="2">
        <f>F1166/Instructions!$B$5</f>
        <v>0</v>
      </c>
      <c r="D1166" s="2">
        <f>G1166/Instructions!$B$5</f>
        <v>0</v>
      </c>
      <c r="E1166" s="2">
        <f t="shared" si="19"/>
        <v>0</v>
      </c>
      <c r="F1166" s="9"/>
      <c r="G1166" s="9"/>
      <c r="H1166" s="2">
        <f>IF(SUM(F1166:G1166)&gt;Instructions!$B$5,"Error",SUM(F1166:G1166))</f>
        <v>0</v>
      </c>
      <c r="I1166" s="8"/>
    </row>
    <row r="1167" spans="1:9">
      <c r="A1167" s="8"/>
      <c r="B1167" s="8"/>
      <c r="C1167" s="2">
        <f>F1167/Instructions!$B$5</f>
        <v>0</v>
      </c>
      <c r="D1167" s="2">
        <f>G1167/Instructions!$B$5</f>
        <v>0</v>
      </c>
      <c r="E1167" s="2">
        <f t="shared" si="19"/>
        <v>0</v>
      </c>
      <c r="F1167" s="9"/>
      <c r="G1167" s="9"/>
      <c r="H1167" s="2">
        <f>IF(SUM(F1167:G1167)&gt;Instructions!$B$5,"Error",SUM(F1167:G1167))</f>
        <v>0</v>
      </c>
      <c r="I1167" s="8"/>
    </row>
    <row r="1168" spans="1:9">
      <c r="A1168" s="8"/>
      <c r="B1168" s="8"/>
      <c r="C1168" s="2">
        <f>F1168/Instructions!$B$5</f>
        <v>0</v>
      </c>
      <c r="D1168" s="2">
        <f>G1168/Instructions!$B$5</f>
        <v>0</v>
      </c>
      <c r="E1168" s="2">
        <f t="shared" si="19"/>
        <v>0</v>
      </c>
      <c r="F1168" s="9"/>
      <c r="G1168" s="9"/>
      <c r="H1168" s="2">
        <f>IF(SUM(F1168:G1168)&gt;Instructions!$B$5,"Error",SUM(F1168:G1168))</f>
        <v>0</v>
      </c>
      <c r="I1168" s="8"/>
    </row>
    <row r="1169" spans="1:9">
      <c r="A1169" s="8"/>
      <c r="B1169" s="8"/>
      <c r="C1169" s="2">
        <f>F1169/Instructions!$B$5</f>
        <v>0</v>
      </c>
      <c r="D1169" s="2">
        <f>G1169/Instructions!$B$5</f>
        <v>0</v>
      </c>
      <c r="E1169" s="2">
        <f t="shared" si="19"/>
        <v>0</v>
      </c>
      <c r="F1169" s="9"/>
      <c r="G1169" s="9"/>
      <c r="H1169" s="2">
        <f>IF(SUM(F1169:G1169)&gt;Instructions!$B$5,"Error",SUM(F1169:G1169))</f>
        <v>0</v>
      </c>
      <c r="I1169" s="8"/>
    </row>
    <row r="1170" spans="1:9">
      <c r="A1170" s="8"/>
      <c r="B1170" s="8"/>
      <c r="C1170" s="2">
        <f>F1170/Instructions!$B$5</f>
        <v>0</v>
      </c>
      <c r="D1170" s="2">
        <f>G1170/Instructions!$B$5</f>
        <v>0</v>
      </c>
      <c r="E1170" s="2">
        <f t="shared" si="19"/>
        <v>0</v>
      </c>
      <c r="F1170" s="9"/>
      <c r="G1170" s="9"/>
      <c r="H1170" s="2">
        <f>IF(SUM(F1170:G1170)&gt;Instructions!$B$5,"Error",SUM(F1170:G1170))</f>
        <v>0</v>
      </c>
      <c r="I1170" s="8"/>
    </row>
    <row r="1171" spans="1:9">
      <c r="A1171" s="8"/>
      <c r="B1171" s="8"/>
      <c r="C1171" s="2">
        <f>F1171/Instructions!$B$5</f>
        <v>0</v>
      </c>
      <c r="D1171" s="2">
        <f>G1171/Instructions!$B$5</f>
        <v>0</v>
      </c>
      <c r="E1171" s="2">
        <f t="shared" si="19"/>
        <v>0</v>
      </c>
      <c r="F1171" s="9"/>
      <c r="G1171" s="9"/>
      <c r="H1171" s="2">
        <f>IF(SUM(F1171:G1171)&gt;Instructions!$B$5,"Error",SUM(F1171:G1171))</f>
        <v>0</v>
      </c>
      <c r="I1171" s="8"/>
    </row>
    <row r="1172" spans="1:9">
      <c r="A1172" s="8"/>
      <c r="B1172" s="8"/>
      <c r="C1172" s="2">
        <f>F1172/Instructions!$B$5</f>
        <v>0</v>
      </c>
      <c r="D1172" s="2">
        <f>G1172/Instructions!$B$5</f>
        <v>0</v>
      </c>
      <c r="E1172" s="2">
        <f t="shared" si="19"/>
        <v>0</v>
      </c>
      <c r="F1172" s="9"/>
      <c r="G1172" s="9"/>
      <c r="H1172" s="2">
        <f>IF(SUM(F1172:G1172)&gt;Instructions!$B$5,"Error",SUM(F1172:G1172))</f>
        <v>0</v>
      </c>
      <c r="I1172" s="8"/>
    </row>
    <row r="1173" spans="1:9">
      <c r="A1173" s="8"/>
      <c r="B1173" s="8"/>
      <c r="C1173" s="2">
        <f>F1173/Instructions!$B$5</f>
        <v>0</v>
      </c>
      <c r="D1173" s="2">
        <f>G1173/Instructions!$B$5</f>
        <v>0</v>
      </c>
      <c r="E1173" s="2">
        <f t="shared" si="19"/>
        <v>0</v>
      </c>
      <c r="F1173" s="9"/>
      <c r="G1173" s="9"/>
      <c r="H1173" s="2">
        <f>IF(SUM(F1173:G1173)&gt;Instructions!$B$5,"Error",SUM(F1173:G1173))</f>
        <v>0</v>
      </c>
      <c r="I1173" s="8"/>
    </row>
    <row r="1174" spans="1:9">
      <c r="A1174" s="8"/>
      <c r="B1174" s="8"/>
      <c r="C1174" s="2">
        <f>F1174/Instructions!$B$5</f>
        <v>0</v>
      </c>
      <c r="D1174" s="2">
        <f>G1174/Instructions!$B$5</f>
        <v>0</v>
      </c>
      <c r="E1174" s="2">
        <f t="shared" si="19"/>
        <v>0</v>
      </c>
      <c r="F1174" s="9"/>
      <c r="G1174" s="9"/>
      <c r="H1174" s="2">
        <f>IF(SUM(F1174:G1174)&gt;Instructions!$B$5,"Error",SUM(F1174:G1174))</f>
        <v>0</v>
      </c>
      <c r="I1174" s="8"/>
    </row>
    <row r="1175" spans="1:9">
      <c r="A1175" s="8"/>
      <c r="B1175" s="8"/>
      <c r="C1175" s="2">
        <f>F1175/Instructions!$B$5</f>
        <v>0</v>
      </c>
      <c r="D1175" s="2">
        <f>G1175/Instructions!$B$5</f>
        <v>0</v>
      </c>
      <c r="E1175" s="2">
        <f t="shared" si="19"/>
        <v>0</v>
      </c>
      <c r="F1175" s="9"/>
      <c r="G1175" s="9"/>
      <c r="H1175" s="2">
        <f>IF(SUM(F1175:G1175)&gt;Instructions!$B$5,"Error",SUM(F1175:G1175))</f>
        <v>0</v>
      </c>
      <c r="I1175" s="8"/>
    </row>
    <row r="1176" spans="1:9">
      <c r="A1176" s="8"/>
      <c r="B1176" s="8"/>
      <c r="C1176" s="2">
        <f>F1176/Instructions!$B$5</f>
        <v>0</v>
      </c>
      <c r="D1176" s="2">
        <f>G1176/Instructions!$B$5</f>
        <v>0</v>
      </c>
      <c r="E1176" s="2">
        <f t="shared" si="19"/>
        <v>0</v>
      </c>
      <c r="F1176" s="9"/>
      <c r="G1176" s="9"/>
      <c r="H1176" s="2">
        <f>IF(SUM(F1176:G1176)&gt;Instructions!$B$5,"Error",SUM(F1176:G1176))</f>
        <v>0</v>
      </c>
      <c r="I1176" s="8"/>
    </row>
    <row r="1177" spans="1:9">
      <c r="A1177" s="8"/>
      <c r="B1177" s="8"/>
      <c r="C1177" s="2">
        <f>F1177/Instructions!$B$5</f>
        <v>0</v>
      </c>
      <c r="D1177" s="2">
        <f>G1177/Instructions!$B$5</f>
        <v>0</v>
      </c>
      <c r="E1177" s="2">
        <f t="shared" si="19"/>
        <v>0</v>
      </c>
      <c r="F1177" s="9"/>
      <c r="G1177" s="9"/>
      <c r="H1177" s="2">
        <f>IF(SUM(F1177:G1177)&gt;Instructions!$B$5,"Error",SUM(F1177:G1177))</f>
        <v>0</v>
      </c>
      <c r="I1177" s="8"/>
    </row>
    <row r="1178" spans="1:9">
      <c r="A1178" s="8"/>
      <c r="B1178" s="8"/>
      <c r="C1178" s="2">
        <f>F1178/Instructions!$B$5</f>
        <v>0</v>
      </c>
      <c r="D1178" s="2">
        <f>G1178/Instructions!$B$5</f>
        <v>0</v>
      </c>
      <c r="E1178" s="2">
        <f t="shared" si="19"/>
        <v>0</v>
      </c>
      <c r="F1178" s="9"/>
      <c r="G1178" s="9"/>
      <c r="H1178" s="2">
        <f>IF(SUM(F1178:G1178)&gt;Instructions!$B$5,"Error",SUM(F1178:G1178))</f>
        <v>0</v>
      </c>
      <c r="I1178" s="8"/>
    </row>
    <row r="1179" spans="1:9">
      <c r="A1179" s="8"/>
      <c r="B1179" s="8"/>
      <c r="C1179" s="2">
        <f>F1179/Instructions!$B$5</f>
        <v>0</v>
      </c>
      <c r="D1179" s="2">
        <f>G1179/Instructions!$B$5</f>
        <v>0</v>
      </c>
      <c r="E1179" s="2">
        <f t="shared" si="19"/>
        <v>0</v>
      </c>
      <c r="F1179" s="9"/>
      <c r="G1179" s="9"/>
      <c r="H1179" s="2">
        <f>IF(SUM(F1179:G1179)&gt;Instructions!$B$5,"Error",SUM(F1179:G1179))</f>
        <v>0</v>
      </c>
      <c r="I1179" s="8"/>
    </row>
    <row r="1180" spans="1:9">
      <c r="A1180" s="8"/>
      <c r="B1180" s="8"/>
      <c r="C1180" s="2">
        <f>F1180/Instructions!$B$5</f>
        <v>0</v>
      </c>
      <c r="D1180" s="2">
        <f>G1180/Instructions!$B$5</f>
        <v>0</v>
      </c>
      <c r="E1180" s="2">
        <f t="shared" si="19"/>
        <v>0</v>
      </c>
      <c r="F1180" s="9"/>
      <c r="G1180" s="9"/>
      <c r="H1180" s="2">
        <f>IF(SUM(F1180:G1180)&gt;Instructions!$B$5,"Error",SUM(F1180:G1180))</f>
        <v>0</v>
      </c>
      <c r="I1180" s="8"/>
    </row>
    <row r="1181" spans="1:9">
      <c r="A1181" s="8"/>
      <c r="B1181" s="8"/>
      <c r="C1181" s="2">
        <f>F1181/Instructions!$B$5</f>
        <v>0</v>
      </c>
      <c r="D1181" s="2">
        <f>G1181/Instructions!$B$5</f>
        <v>0</v>
      </c>
      <c r="E1181" s="2">
        <f t="shared" si="19"/>
        <v>0</v>
      </c>
      <c r="F1181" s="9"/>
      <c r="G1181" s="9"/>
      <c r="H1181" s="2">
        <f>IF(SUM(F1181:G1181)&gt;Instructions!$B$5,"Error",SUM(F1181:G1181))</f>
        <v>0</v>
      </c>
      <c r="I1181" s="8"/>
    </row>
    <row r="1182" spans="1:9">
      <c r="A1182" s="8"/>
      <c r="B1182" s="8"/>
      <c r="C1182" s="2">
        <f>F1182/Instructions!$B$5</f>
        <v>0</v>
      </c>
      <c r="D1182" s="2">
        <f>G1182/Instructions!$B$5</f>
        <v>0</v>
      </c>
      <c r="E1182" s="2">
        <f t="shared" si="19"/>
        <v>0</v>
      </c>
      <c r="F1182" s="9"/>
      <c r="G1182" s="9"/>
      <c r="H1182" s="2">
        <f>IF(SUM(F1182:G1182)&gt;Instructions!$B$5,"Error",SUM(F1182:G1182))</f>
        <v>0</v>
      </c>
      <c r="I1182" s="8"/>
    </row>
    <row r="1183" spans="1:9">
      <c r="A1183" s="8"/>
      <c r="B1183" s="8"/>
      <c r="C1183" s="2">
        <f>F1183/Instructions!$B$5</f>
        <v>0</v>
      </c>
      <c r="D1183" s="2">
        <f>G1183/Instructions!$B$5</f>
        <v>0</v>
      </c>
      <c r="E1183" s="2">
        <f t="shared" si="19"/>
        <v>0</v>
      </c>
      <c r="F1183" s="9"/>
      <c r="G1183" s="9"/>
      <c r="H1183" s="2">
        <f>IF(SUM(F1183:G1183)&gt;Instructions!$B$5,"Error",SUM(F1183:G1183))</f>
        <v>0</v>
      </c>
      <c r="I1183" s="8"/>
    </row>
    <row r="1184" spans="1:9">
      <c r="A1184" s="8"/>
      <c r="B1184" s="8"/>
      <c r="C1184" s="2">
        <f>F1184/Instructions!$B$5</f>
        <v>0</v>
      </c>
      <c r="D1184" s="2">
        <f>G1184/Instructions!$B$5</f>
        <v>0</v>
      </c>
      <c r="E1184" s="2">
        <f t="shared" si="19"/>
        <v>0</v>
      </c>
      <c r="F1184" s="9"/>
      <c r="G1184" s="9"/>
      <c r="H1184" s="2">
        <f>IF(SUM(F1184:G1184)&gt;Instructions!$B$5,"Error",SUM(F1184:G1184))</f>
        <v>0</v>
      </c>
      <c r="I1184" s="8"/>
    </row>
    <row r="1185" spans="1:9">
      <c r="A1185" s="8"/>
      <c r="B1185" s="8"/>
      <c r="C1185" s="2">
        <f>F1185/Instructions!$B$5</f>
        <v>0</v>
      </c>
      <c r="D1185" s="2">
        <f>G1185/Instructions!$B$5</f>
        <v>0</v>
      </c>
      <c r="E1185" s="2">
        <f t="shared" si="19"/>
        <v>0</v>
      </c>
      <c r="F1185" s="9"/>
      <c r="G1185" s="9"/>
      <c r="H1185" s="2">
        <f>IF(SUM(F1185:G1185)&gt;Instructions!$B$5,"Error",SUM(F1185:G1185))</f>
        <v>0</v>
      </c>
      <c r="I1185" s="8"/>
    </row>
    <row r="1186" spans="1:9">
      <c r="A1186" s="8"/>
      <c r="B1186" s="8"/>
      <c r="C1186" s="2">
        <f>F1186/Instructions!$B$5</f>
        <v>0</v>
      </c>
      <c r="D1186" s="2">
        <f>G1186/Instructions!$B$5</f>
        <v>0</v>
      </c>
      <c r="E1186" s="2">
        <f t="shared" si="19"/>
        <v>0</v>
      </c>
      <c r="F1186" s="9"/>
      <c r="G1186" s="9"/>
      <c r="H1186" s="2">
        <f>IF(SUM(F1186:G1186)&gt;Instructions!$B$5,"Error",SUM(F1186:G1186))</f>
        <v>0</v>
      </c>
      <c r="I1186" s="8"/>
    </row>
    <row r="1187" spans="1:9">
      <c r="A1187" s="8"/>
      <c r="B1187" s="8"/>
      <c r="C1187" s="2">
        <f>F1187/Instructions!$B$5</f>
        <v>0</v>
      </c>
      <c r="D1187" s="2">
        <f>G1187/Instructions!$B$5</f>
        <v>0</v>
      </c>
      <c r="E1187" s="2">
        <f t="shared" si="19"/>
        <v>0</v>
      </c>
      <c r="F1187" s="9"/>
      <c r="G1187" s="9"/>
      <c r="H1187" s="2">
        <f>IF(SUM(F1187:G1187)&gt;Instructions!$B$5,"Error",SUM(F1187:G1187))</f>
        <v>0</v>
      </c>
      <c r="I1187" s="8"/>
    </row>
    <row r="1188" spans="1:9">
      <c r="A1188" s="8"/>
      <c r="B1188" s="8"/>
      <c r="C1188" s="2">
        <f>F1188/Instructions!$B$5</f>
        <v>0</v>
      </c>
      <c r="D1188" s="2">
        <f>G1188/Instructions!$B$5</f>
        <v>0</v>
      </c>
      <c r="E1188" s="2">
        <f t="shared" si="19"/>
        <v>0</v>
      </c>
      <c r="F1188" s="9"/>
      <c r="G1188" s="9"/>
      <c r="H1188" s="2">
        <f>IF(SUM(F1188:G1188)&gt;Instructions!$B$5,"Error",SUM(F1188:G1188))</f>
        <v>0</v>
      </c>
      <c r="I1188" s="8"/>
    </row>
    <row r="1189" spans="1:9">
      <c r="A1189" s="8"/>
      <c r="B1189" s="8"/>
      <c r="C1189" s="2">
        <f>F1189/Instructions!$B$5</f>
        <v>0</v>
      </c>
      <c r="D1189" s="2">
        <f>G1189/Instructions!$B$5</f>
        <v>0</v>
      </c>
      <c r="E1189" s="2">
        <f t="shared" si="19"/>
        <v>0</v>
      </c>
      <c r="F1189" s="9"/>
      <c r="G1189" s="9"/>
      <c r="H1189" s="2">
        <f>IF(SUM(F1189:G1189)&gt;Instructions!$B$5,"Error",SUM(F1189:G1189))</f>
        <v>0</v>
      </c>
      <c r="I1189" s="8"/>
    </row>
    <row r="1190" spans="1:9">
      <c r="A1190" s="8"/>
      <c r="B1190" s="8"/>
      <c r="C1190" s="2">
        <f>F1190/Instructions!$B$5</f>
        <v>0</v>
      </c>
      <c r="D1190" s="2">
        <f>G1190/Instructions!$B$5</f>
        <v>0</v>
      </c>
      <c r="E1190" s="2">
        <f t="shared" si="19"/>
        <v>0</v>
      </c>
      <c r="F1190" s="9"/>
      <c r="G1190" s="9"/>
      <c r="H1190" s="2">
        <f>IF(SUM(F1190:G1190)&gt;Instructions!$B$5,"Error",SUM(F1190:G1190))</f>
        <v>0</v>
      </c>
      <c r="I1190" s="8"/>
    </row>
    <row r="1191" spans="1:9">
      <c r="A1191" s="8"/>
      <c r="B1191" s="8"/>
      <c r="C1191" s="2">
        <f>F1191/Instructions!$B$5</f>
        <v>0</v>
      </c>
      <c r="D1191" s="2">
        <f>G1191/Instructions!$B$5</f>
        <v>0</v>
      </c>
      <c r="E1191" s="2">
        <f t="shared" si="19"/>
        <v>0</v>
      </c>
      <c r="F1191" s="9"/>
      <c r="G1191" s="9"/>
      <c r="H1191" s="2">
        <f>IF(SUM(F1191:G1191)&gt;Instructions!$B$5,"Error",SUM(F1191:G1191))</f>
        <v>0</v>
      </c>
      <c r="I1191" s="8"/>
    </row>
    <row r="1192" spans="1:9">
      <c r="A1192" s="8"/>
      <c r="B1192" s="8"/>
      <c r="C1192" s="2">
        <f>F1192/Instructions!$B$5</f>
        <v>0</v>
      </c>
      <c r="D1192" s="2">
        <f>G1192/Instructions!$B$5</f>
        <v>0</v>
      </c>
      <c r="E1192" s="2">
        <f t="shared" si="19"/>
        <v>0</v>
      </c>
      <c r="F1192" s="9"/>
      <c r="G1192" s="9"/>
      <c r="H1192" s="2">
        <f>IF(SUM(F1192:G1192)&gt;Instructions!$B$5,"Error",SUM(F1192:G1192))</f>
        <v>0</v>
      </c>
      <c r="I1192" s="8"/>
    </row>
    <row r="1193" spans="1:9">
      <c r="A1193" s="8"/>
      <c r="B1193" s="8"/>
      <c r="C1193" s="2">
        <f>F1193/Instructions!$B$5</f>
        <v>0</v>
      </c>
      <c r="D1193" s="2">
        <f>G1193/Instructions!$B$5</f>
        <v>0</v>
      </c>
      <c r="E1193" s="2">
        <f t="shared" si="19"/>
        <v>0</v>
      </c>
      <c r="F1193" s="9"/>
      <c r="G1193" s="9"/>
      <c r="H1193" s="2">
        <f>IF(SUM(F1193:G1193)&gt;Instructions!$B$5,"Error",SUM(F1193:G1193))</f>
        <v>0</v>
      </c>
      <c r="I1193" s="8"/>
    </row>
    <row r="1194" spans="1:9">
      <c r="A1194" s="8"/>
      <c r="B1194" s="8"/>
      <c r="C1194" s="2">
        <f>F1194/Instructions!$B$5</f>
        <v>0</v>
      </c>
      <c r="D1194" s="2">
        <f>G1194/Instructions!$B$5</f>
        <v>0</v>
      </c>
      <c r="E1194" s="2">
        <f t="shared" si="19"/>
        <v>0</v>
      </c>
      <c r="F1194" s="9"/>
      <c r="G1194" s="9"/>
      <c r="H1194" s="2">
        <f>IF(SUM(F1194:G1194)&gt;Instructions!$B$5,"Error",SUM(F1194:G1194))</f>
        <v>0</v>
      </c>
      <c r="I1194" s="8"/>
    </row>
    <row r="1195" spans="1:9">
      <c r="A1195" s="8"/>
      <c r="B1195" s="8"/>
      <c r="C1195" s="2">
        <f>F1195/Instructions!$B$5</f>
        <v>0</v>
      </c>
      <c r="D1195" s="2">
        <f>G1195/Instructions!$B$5</f>
        <v>0</v>
      </c>
      <c r="E1195" s="2">
        <f t="shared" si="19"/>
        <v>0</v>
      </c>
      <c r="F1195" s="9"/>
      <c r="G1195" s="9"/>
      <c r="H1195" s="2">
        <f>IF(SUM(F1195:G1195)&gt;Instructions!$B$5,"Error",SUM(F1195:G1195))</f>
        <v>0</v>
      </c>
      <c r="I1195" s="8"/>
    </row>
    <row r="1196" spans="1:9">
      <c r="A1196" s="8"/>
      <c r="B1196" s="8"/>
      <c r="C1196" s="2">
        <f>F1196/Instructions!$B$5</f>
        <v>0</v>
      </c>
      <c r="D1196" s="2">
        <f>G1196/Instructions!$B$5</f>
        <v>0</v>
      </c>
      <c r="E1196" s="2">
        <f t="shared" si="19"/>
        <v>0</v>
      </c>
      <c r="F1196" s="9"/>
      <c r="G1196" s="9"/>
      <c r="H1196" s="2">
        <f>IF(SUM(F1196:G1196)&gt;Instructions!$B$5,"Error",SUM(F1196:G1196))</f>
        <v>0</v>
      </c>
      <c r="I1196" s="8"/>
    </row>
    <row r="1197" spans="1:9">
      <c r="A1197" s="8"/>
      <c r="B1197" s="8"/>
      <c r="C1197" s="2">
        <f>F1197/Instructions!$B$5</f>
        <v>0</v>
      </c>
      <c r="D1197" s="2">
        <f>G1197/Instructions!$B$5</f>
        <v>0</v>
      </c>
      <c r="E1197" s="2">
        <f t="shared" si="19"/>
        <v>0</v>
      </c>
      <c r="F1197" s="9"/>
      <c r="G1197" s="9"/>
      <c r="H1197" s="2">
        <f>IF(SUM(F1197:G1197)&gt;Instructions!$B$5,"Error",SUM(F1197:G1197))</f>
        <v>0</v>
      </c>
      <c r="I1197" s="8"/>
    </row>
    <row r="1198" spans="1:9">
      <c r="A1198" s="8"/>
      <c r="B1198" s="8"/>
      <c r="C1198" s="2">
        <f>F1198/Instructions!$B$5</f>
        <v>0</v>
      </c>
      <c r="D1198" s="2">
        <f>G1198/Instructions!$B$5</f>
        <v>0</v>
      </c>
      <c r="E1198" s="2">
        <f t="shared" si="19"/>
        <v>0</v>
      </c>
      <c r="F1198" s="9"/>
      <c r="G1198" s="9"/>
      <c r="H1198" s="2">
        <f>IF(SUM(F1198:G1198)&gt;Instructions!$B$5,"Error",SUM(F1198:G1198))</f>
        <v>0</v>
      </c>
      <c r="I1198" s="8"/>
    </row>
    <row r="1199" spans="1:9">
      <c r="A1199" s="8"/>
      <c r="B1199" s="8"/>
      <c r="C1199" s="2">
        <f>F1199/Instructions!$B$5</f>
        <v>0</v>
      </c>
      <c r="D1199" s="2">
        <f>G1199/Instructions!$B$5</f>
        <v>0</v>
      </c>
      <c r="E1199" s="2">
        <f t="shared" si="19"/>
        <v>0</v>
      </c>
      <c r="F1199" s="9"/>
      <c r="G1199" s="9"/>
      <c r="H1199" s="2">
        <f>IF(SUM(F1199:G1199)&gt;Instructions!$B$5,"Error",SUM(F1199:G1199))</f>
        <v>0</v>
      </c>
      <c r="I1199" s="8"/>
    </row>
    <row r="1200" spans="1:9">
      <c r="A1200" s="8"/>
      <c r="B1200" s="8"/>
      <c r="C1200" s="2">
        <f>F1200/Instructions!$B$5</f>
        <v>0</v>
      </c>
      <c r="D1200" s="2">
        <f>G1200/Instructions!$B$5</f>
        <v>0</v>
      </c>
      <c r="E1200" s="2">
        <f t="shared" si="19"/>
        <v>0</v>
      </c>
      <c r="F1200" s="9"/>
      <c r="G1200" s="9"/>
      <c r="H1200" s="2">
        <f>IF(SUM(F1200:G1200)&gt;Instructions!$B$5,"Error",SUM(F1200:G1200))</f>
        <v>0</v>
      </c>
      <c r="I1200" s="8"/>
    </row>
    <row r="1201" spans="1:9">
      <c r="A1201" s="8"/>
      <c r="B1201" s="8"/>
      <c r="C1201" s="2">
        <f>F1201/Instructions!$B$5</f>
        <v>0</v>
      </c>
      <c r="D1201" s="2">
        <f>G1201/Instructions!$B$5</f>
        <v>0</v>
      </c>
      <c r="E1201" s="2">
        <f t="shared" si="19"/>
        <v>0</v>
      </c>
      <c r="F1201" s="9"/>
      <c r="G1201" s="9"/>
      <c r="H1201" s="2">
        <f>IF(SUM(F1201:G1201)&gt;Instructions!$B$5,"Error",SUM(F1201:G1201))</f>
        <v>0</v>
      </c>
      <c r="I1201" s="8"/>
    </row>
    <row r="1202" spans="1:9">
      <c r="A1202" s="8"/>
      <c r="B1202" s="8"/>
      <c r="C1202" s="2">
        <f>F1202/Instructions!$B$5</f>
        <v>0</v>
      </c>
      <c r="D1202" s="2">
        <f>G1202/Instructions!$B$5</f>
        <v>0</v>
      </c>
      <c r="E1202" s="2">
        <f t="shared" si="19"/>
        <v>0</v>
      </c>
      <c r="F1202" s="9"/>
      <c r="G1202" s="9"/>
      <c r="H1202" s="2">
        <f>IF(SUM(F1202:G1202)&gt;Instructions!$B$5,"Error",SUM(F1202:G1202))</f>
        <v>0</v>
      </c>
      <c r="I1202" s="8"/>
    </row>
    <row r="1203" spans="1:9">
      <c r="A1203" s="8"/>
      <c r="B1203" s="8"/>
      <c r="C1203" s="2">
        <f>F1203/Instructions!$B$5</f>
        <v>0</v>
      </c>
      <c r="D1203" s="2">
        <f>G1203/Instructions!$B$5</f>
        <v>0</v>
      </c>
      <c r="E1203" s="2">
        <f t="shared" si="19"/>
        <v>0</v>
      </c>
      <c r="F1203" s="9"/>
      <c r="G1203" s="9"/>
      <c r="H1203" s="2">
        <f>IF(SUM(F1203:G1203)&gt;Instructions!$B$5,"Error",SUM(F1203:G1203))</f>
        <v>0</v>
      </c>
      <c r="I1203" s="8"/>
    </row>
    <row r="1204" spans="1:9">
      <c r="A1204" s="8"/>
      <c r="B1204" s="8"/>
      <c r="C1204" s="2">
        <f>F1204/Instructions!$B$5</f>
        <v>0</v>
      </c>
      <c r="D1204" s="2">
        <f>G1204/Instructions!$B$5</f>
        <v>0</v>
      </c>
      <c r="E1204" s="2">
        <f t="shared" si="19"/>
        <v>0</v>
      </c>
      <c r="F1204" s="9"/>
      <c r="G1204" s="9"/>
      <c r="H1204" s="2">
        <f>IF(SUM(F1204:G1204)&gt;Instructions!$B$5,"Error",SUM(F1204:G1204))</f>
        <v>0</v>
      </c>
      <c r="I1204" s="8"/>
    </row>
    <row r="1205" spans="1:9">
      <c r="A1205" s="8"/>
      <c r="B1205" s="8"/>
      <c r="C1205" s="2">
        <f>F1205/Instructions!$B$5</f>
        <v>0</v>
      </c>
      <c r="D1205" s="2">
        <f>G1205/Instructions!$B$5</f>
        <v>0</v>
      </c>
      <c r="E1205" s="2">
        <f t="shared" si="19"/>
        <v>0</v>
      </c>
      <c r="F1205" s="9"/>
      <c r="G1205" s="9"/>
      <c r="H1205" s="2">
        <f>IF(SUM(F1205:G1205)&gt;Instructions!$B$5,"Error",SUM(F1205:G1205))</f>
        <v>0</v>
      </c>
      <c r="I1205" s="8"/>
    </row>
    <row r="1206" spans="1:9">
      <c r="A1206" s="8"/>
      <c r="B1206" s="8"/>
      <c r="C1206" s="2">
        <f>F1206/Instructions!$B$5</f>
        <v>0</v>
      </c>
      <c r="D1206" s="2">
        <f>G1206/Instructions!$B$5</f>
        <v>0</v>
      </c>
      <c r="E1206" s="2">
        <f t="shared" si="19"/>
        <v>0</v>
      </c>
      <c r="F1206" s="9"/>
      <c r="G1206" s="9"/>
      <c r="H1206" s="2">
        <f>IF(SUM(F1206:G1206)&gt;Instructions!$B$5,"Error",SUM(F1206:G1206))</f>
        <v>0</v>
      </c>
      <c r="I1206" s="8"/>
    </row>
    <row r="1207" spans="1:9">
      <c r="A1207" s="8"/>
      <c r="B1207" s="8"/>
      <c r="C1207" s="2">
        <f>F1207/Instructions!$B$5</f>
        <v>0</v>
      </c>
      <c r="D1207" s="2">
        <f>G1207/Instructions!$B$5</f>
        <v>0</v>
      </c>
      <c r="E1207" s="2">
        <f t="shared" si="19"/>
        <v>0</v>
      </c>
      <c r="F1207" s="9"/>
      <c r="G1207" s="9"/>
      <c r="H1207" s="2">
        <f>IF(SUM(F1207:G1207)&gt;Instructions!$B$5,"Error",SUM(F1207:G1207))</f>
        <v>0</v>
      </c>
      <c r="I1207" s="8"/>
    </row>
    <row r="1208" spans="1:9">
      <c r="A1208" s="8"/>
      <c r="B1208" s="8"/>
      <c r="C1208" s="2">
        <f>F1208/Instructions!$B$5</f>
        <v>0</v>
      </c>
      <c r="D1208" s="2">
        <f>G1208/Instructions!$B$5</f>
        <v>0</v>
      </c>
      <c r="E1208" s="2">
        <f t="shared" si="19"/>
        <v>0</v>
      </c>
      <c r="F1208" s="9"/>
      <c r="G1208" s="9"/>
      <c r="H1208" s="2">
        <f>IF(SUM(F1208:G1208)&gt;Instructions!$B$5,"Error",SUM(F1208:G1208))</f>
        <v>0</v>
      </c>
      <c r="I1208" s="8"/>
    </row>
    <row r="1209" spans="1:9">
      <c r="A1209" s="8"/>
      <c r="B1209" s="8"/>
      <c r="C1209" s="2">
        <f>F1209/Instructions!$B$5</f>
        <v>0</v>
      </c>
      <c r="D1209" s="2">
        <f>G1209/Instructions!$B$5</f>
        <v>0</v>
      </c>
      <c r="E1209" s="2">
        <f t="shared" si="19"/>
        <v>0</v>
      </c>
      <c r="F1209" s="9"/>
      <c r="G1209" s="9"/>
      <c r="H1209" s="2">
        <f>IF(SUM(F1209:G1209)&gt;Instructions!$B$5,"Error",SUM(F1209:G1209))</f>
        <v>0</v>
      </c>
      <c r="I1209" s="8"/>
    </row>
    <row r="1210" spans="1:9">
      <c r="A1210" s="8"/>
      <c r="B1210" s="8"/>
      <c r="C1210" s="2">
        <f>F1210/Instructions!$B$5</f>
        <v>0</v>
      </c>
      <c r="D1210" s="2">
        <f>G1210/Instructions!$B$5</f>
        <v>0</v>
      </c>
      <c r="E1210" s="2">
        <f t="shared" si="19"/>
        <v>0</v>
      </c>
      <c r="F1210" s="9"/>
      <c r="G1210" s="9"/>
      <c r="H1210" s="2">
        <f>IF(SUM(F1210:G1210)&gt;Instructions!$B$5,"Error",SUM(F1210:G1210))</f>
        <v>0</v>
      </c>
      <c r="I1210" s="8"/>
    </row>
    <row r="1211" spans="1:9">
      <c r="A1211" s="8"/>
      <c r="B1211" s="8"/>
      <c r="C1211" s="2">
        <f>F1211/Instructions!$B$5</f>
        <v>0</v>
      </c>
      <c r="D1211" s="2">
        <f>G1211/Instructions!$B$5</f>
        <v>0</v>
      </c>
      <c r="E1211" s="2">
        <f t="shared" si="19"/>
        <v>0</v>
      </c>
      <c r="F1211" s="9"/>
      <c r="G1211" s="9"/>
      <c r="H1211" s="2">
        <f>IF(SUM(F1211:G1211)&gt;Instructions!$B$5,"Error",SUM(F1211:G1211))</f>
        <v>0</v>
      </c>
      <c r="I1211" s="8"/>
    </row>
    <row r="1212" spans="1:9">
      <c r="A1212" s="8"/>
      <c r="B1212" s="8"/>
      <c r="C1212" s="2">
        <f>F1212/Instructions!$B$5</f>
        <v>0</v>
      </c>
      <c r="D1212" s="2">
        <f>G1212/Instructions!$B$5</f>
        <v>0</v>
      </c>
      <c r="E1212" s="2">
        <f t="shared" si="19"/>
        <v>0</v>
      </c>
      <c r="F1212" s="9"/>
      <c r="G1212" s="9"/>
      <c r="H1212" s="2">
        <f>IF(SUM(F1212:G1212)&gt;Instructions!$B$5,"Error",SUM(F1212:G1212))</f>
        <v>0</v>
      </c>
      <c r="I1212" s="8"/>
    </row>
    <row r="1213" spans="1:9">
      <c r="A1213" s="8"/>
      <c r="B1213" s="8"/>
      <c r="C1213" s="2">
        <f>F1213/Instructions!$B$5</f>
        <v>0</v>
      </c>
      <c r="D1213" s="2">
        <f>G1213/Instructions!$B$5</f>
        <v>0</v>
      </c>
      <c r="E1213" s="2">
        <f t="shared" si="19"/>
        <v>0</v>
      </c>
      <c r="F1213" s="9"/>
      <c r="G1213" s="9"/>
      <c r="H1213" s="2">
        <f>IF(SUM(F1213:G1213)&gt;Instructions!$B$5,"Error",SUM(F1213:G1213))</f>
        <v>0</v>
      </c>
      <c r="I1213" s="8"/>
    </row>
    <row r="1214" spans="1:9">
      <c r="A1214" s="8"/>
      <c r="B1214" s="8"/>
      <c r="C1214" s="2">
        <f>F1214/Instructions!$B$5</f>
        <v>0</v>
      </c>
      <c r="D1214" s="2">
        <f>G1214/Instructions!$B$5</f>
        <v>0</v>
      </c>
      <c r="E1214" s="2">
        <f t="shared" si="19"/>
        <v>0</v>
      </c>
      <c r="F1214" s="9"/>
      <c r="G1214" s="9"/>
      <c r="H1214" s="2">
        <f>IF(SUM(F1214:G1214)&gt;Instructions!$B$5,"Error",SUM(F1214:G1214))</f>
        <v>0</v>
      </c>
      <c r="I1214" s="8"/>
    </row>
    <row r="1215" spans="1:9">
      <c r="A1215" s="8"/>
      <c r="B1215" s="8"/>
      <c r="C1215" s="2">
        <f>F1215/Instructions!$B$5</f>
        <v>0</v>
      </c>
      <c r="D1215" s="2">
        <f>G1215/Instructions!$B$5</f>
        <v>0</v>
      </c>
      <c r="E1215" s="2">
        <f t="shared" si="19"/>
        <v>0</v>
      </c>
      <c r="F1215" s="9"/>
      <c r="G1215" s="9"/>
      <c r="H1215" s="2">
        <f>IF(SUM(F1215:G1215)&gt;Instructions!$B$5,"Error",SUM(F1215:G1215))</f>
        <v>0</v>
      </c>
      <c r="I1215" s="8"/>
    </row>
    <row r="1216" spans="1:9">
      <c r="A1216" s="8"/>
      <c r="B1216" s="8"/>
      <c r="C1216" s="2">
        <f>F1216/Instructions!$B$5</f>
        <v>0</v>
      </c>
      <c r="D1216" s="2">
        <f>G1216/Instructions!$B$5</f>
        <v>0</v>
      </c>
      <c r="E1216" s="2">
        <f t="shared" si="19"/>
        <v>0</v>
      </c>
      <c r="F1216" s="9"/>
      <c r="G1216" s="9"/>
      <c r="H1216" s="2">
        <f>IF(SUM(F1216:G1216)&gt;Instructions!$B$5,"Error",SUM(F1216:G1216))</f>
        <v>0</v>
      </c>
      <c r="I1216" s="8"/>
    </row>
    <row r="1217" spans="1:9">
      <c r="A1217" s="8"/>
      <c r="B1217" s="8"/>
      <c r="C1217" s="2">
        <f>F1217/Instructions!$B$5</f>
        <v>0</v>
      </c>
      <c r="D1217" s="2">
        <f>G1217/Instructions!$B$5</f>
        <v>0</v>
      </c>
      <c r="E1217" s="2">
        <f t="shared" si="19"/>
        <v>0</v>
      </c>
      <c r="F1217" s="9"/>
      <c r="G1217" s="9"/>
      <c r="H1217" s="2">
        <f>IF(SUM(F1217:G1217)&gt;Instructions!$B$5,"Error",SUM(F1217:G1217))</f>
        <v>0</v>
      </c>
      <c r="I1217" s="8"/>
    </row>
    <row r="1218" spans="1:9">
      <c r="A1218" s="8"/>
      <c r="B1218" s="8"/>
      <c r="C1218" s="2">
        <f>F1218/Instructions!$B$5</f>
        <v>0</v>
      </c>
      <c r="D1218" s="2">
        <f>G1218/Instructions!$B$5</f>
        <v>0</v>
      </c>
      <c r="E1218" s="2">
        <f t="shared" si="19"/>
        <v>0</v>
      </c>
      <c r="F1218" s="9"/>
      <c r="G1218" s="9"/>
      <c r="H1218" s="2">
        <f>IF(SUM(F1218:G1218)&gt;Instructions!$B$5,"Error",SUM(F1218:G1218))</f>
        <v>0</v>
      </c>
      <c r="I1218" s="8"/>
    </row>
    <row r="1219" spans="1:9">
      <c r="A1219" s="8"/>
      <c r="B1219" s="8"/>
      <c r="C1219" s="2">
        <f>F1219/Instructions!$B$5</f>
        <v>0</v>
      </c>
      <c r="D1219" s="2">
        <f>G1219/Instructions!$B$5</f>
        <v>0</v>
      </c>
      <c r="E1219" s="2">
        <f t="shared" si="19"/>
        <v>0</v>
      </c>
      <c r="F1219" s="9"/>
      <c r="G1219" s="9"/>
      <c r="H1219" s="2">
        <f>IF(SUM(F1219:G1219)&gt;Instructions!$B$5,"Error",SUM(F1219:G1219))</f>
        <v>0</v>
      </c>
      <c r="I1219" s="8"/>
    </row>
    <row r="1220" spans="1:9">
      <c r="A1220" s="8"/>
      <c r="B1220" s="8"/>
      <c r="C1220" s="2">
        <f>F1220/Instructions!$B$5</f>
        <v>0</v>
      </c>
      <c r="D1220" s="2">
        <f>G1220/Instructions!$B$5</f>
        <v>0</v>
      </c>
      <c r="E1220" s="2">
        <f t="shared" si="19"/>
        <v>0</v>
      </c>
      <c r="F1220" s="9"/>
      <c r="G1220" s="9"/>
      <c r="H1220" s="2">
        <f>IF(SUM(F1220:G1220)&gt;Instructions!$B$5,"Error",SUM(F1220:G1220))</f>
        <v>0</v>
      </c>
      <c r="I1220" s="8"/>
    </row>
    <row r="1221" spans="1:9">
      <c r="A1221" s="8"/>
      <c r="B1221" s="8"/>
      <c r="C1221" s="2">
        <f>F1221/Instructions!$B$5</f>
        <v>0</v>
      </c>
      <c r="D1221" s="2">
        <f>G1221/Instructions!$B$5</f>
        <v>0</v>
      </c>
      <c r="E1221" s="2">
        <f t="shared" si="19"/>
        <v>0</v>
      </c>
      <c r="F1221" s="9"/>
      <c r="G1221" s="9"/>
      <c r="H1221" s="2">
        <f>IF(SUM(F1221:G1221)&gt;Instructions!$B$5,"Error",SUM(F1221:G1221))</f>
        <v>0</v>
      </c>
      <c r="I1221" s="8"/>
    </row>
    <row r="1222" spans="1:9">
      <c r="A1222" s="8"/>
      <c r="B1222" s="8"/>
      <c r="C1222" s="2">
        <f>F1222/Instructions!$B$5</f>
        <v>0</v>
      </c>
      <c r="D1222" s="2">
        <f>G1222/Instructions!$B$5</f>
        <v>0</v>
      </c>
      <c r="E1222" s="2">
        <f t="shared" si="19"/>
        <v>0</v>
      </c>
      <c r="F1222" s="9"/>
      <c r="G1222" s="9"/>
      <c r="H1222" s="2">
        <f>IF(SUM(F1222:G1222)&gt;Instructions!$B$5,"Error",SUM(F1222:G1222))</f>
        <v>0</v>
      </c>
      <c r="I1222" s="8"/>
    </row>
    <row r="1223" spans="1:9">
      <c r="A1223" s="8"/>
      <c r="B1223" s="8"/>
      <c r="C1223" s="2">
        <f>F1223/Instructions!$B$5</f>
        <v>0</v>
      </c>
      <c r="D1223" s="2">
        <f>G1223/Instructions!$B$5</f>
        <v>0</v>
      </c>
      <c r="E1223" s="2">
        <f t="shared" si="19"/>
        <v>0</v>
      </c>
      <c r="F1223" s="9"/>
      <c r="G1223" s="9"/>
      <c r="H1223" s="2">
        <f>IF(SUM(F1223:G1223)&gt;Instructions!$B$5,"Error",SUM(F1223:G1223))</f>
        <v>0</v>
      </c>
      <c r="I1223" s="8"/>
    </row>
    <row r="1224" spans="1:9">
      <c r="A1224" s="8"/>
      <c r="B1224" s="8"/>
      <c r="C1224" s="2">
        <f>F1224/Instructions!$B$5</f>
        <v>0</v>
      </c>
      <c r="D1224" s="2">
        <f>G1224/Instructions!$B$5</f>
        <v>0</v>
      </c>
      <c r="E1224" s="2">
        <f t="shared" ref="E1224:E1287" si="20">IF(SUM(C1224:D1224)&gt;1,"Error",SUM(C1224:D1224))</f>
        <v>0</v>
      </c>
      <c r="F1224" s="9"/>
      <c r="G1224" s="9"/>
      <c r="H1224" s="2">
        <f>IF(SUM(F1224:G1224)&gt;Instructions!$B$5,"Error",SUM(F1224:G1224))</f>
        <v>0</v>
      </c>
      <c r="I1224" s="8"/>
    </row>
    <row r="1225" spans="1:9">
      <c r="A1225" s="8"/>
      <c r="B1225" s="8"/>
      <c r="C1225" s="2">
        <f>F1225/Instructions!$B$5</f>
        <v>0</v>
      </c>
      <c r="D1225" s="2">
        <f>G1225/Instructions!$B$5</f>
        <v>0</v>
      </c>
      <c r="E1225" s="2">
        <f t="shared" si="20"/>
        <v>0</v>
      </c>
      <c r="F1225" s="9"/>
      <c r="G1225" s="9"/>
      <c r="H1225" s="2">
        <f>IF(SUM(F1225:G1225)&gt;Instructions!$B$5,"Error",SUM(F1225:G1225))</f>
        <v>0</v>
      </c>
      <c r="I1225" s="8"/>
    </row>
    <row r="1226" spans="1:9">
      <c r="A1226" s="8"/>
      <c r="B1226" s="8"/>
      <c r="C1226" s="2">
        <f>F1226/Instructions!$B$5</f>
        <v>0</v>
      </c>
      <c r="D1226" s="2">
        <f>G1226/Instructions!$B$5</f>
        <v>0</v>
      </c>
      <c r="E1226" s="2">
        <f t="shared" si="20"/>
        <v>0</v>
      </c>
      <c r="F1226" s="9"/>
      <c r="G1226" s="9"/>
      <c r="H1226" s="2">
        <f>IF(SUM(F1226:G1226)&gt;Instructions!$B$5,"Error",SUM(F1226:G1226))</f>
        <v>0</v>
      </c>
      <c r="I1226" s="8"/>
    </row>
    <row r="1227" spans="1:9">
      <c r="A1227" s="8"/>
      <c r="B1227" s="8"/>
      <c r="C1227" s="2">
        <f>F1227/Instructions!$B$5</f>
        <v>0</v>
      </c>
      <c r="D1227" s="2">
        <f>G1227/Instructions!$B$5</f>
        <v>0</v>
      </c>
      <c r="E1227" s="2">
        <f t="shared" si="20"/>
        <v>0</v>
      </c>
      <c r="F1227" s="9"/>
      <c r="G1227" s="9"/>
      <c r="H1227" s="2">
        <f>IF(SUM(F1227:G1227)&gt;Instructions!$B$5,"Error",SUM(F1227:G1227))</f>
        <v>0</v>
      </c>
      <c r="I1227" s="8"/>
    </row>
    <row r="1228" spans="1:9">
      <c r="A1228" s="8"/>
      <c r="B1228" s="8"/>
      <c r="C1228" s="2">
        <f>F1228/Instructions!$B$5</f>
        <v>0</v>
      </c>
      <c r="D1228" s="2">
        <f>G1228/Instructions!$B$5</f>
        <v>0</v>
      </c>
      <c r="E1228" s="2">
        <f t="shared" si="20"/>
        <v>0</v>
      </c>
      <c r="F1228" s="9"/>
      <c r="G1228" s="9"/>
      <c r="H1228" s="2">
        <f>IF(SUM(F1228:G1228)&gt;Instructions!$B$5,"Error",SUM(F1228:G1228))</f>
        <v>0</v>
      </c>
      <c r="I1228" s="8"/>
    </row>
    <row r="1229" spans="1:9">
      <c r="A1229" s="8"/>
      <c r="B1229" s="8"/>
      <c r="C1229" s="2">
        <f>F1229/Instructions!$B$5</f>
        <v>0</v>
      </c>
      <c r="D1229" s="2">
        <f>G1229/Instructions!$B$5</f>
        <v>0</v>
      </c>
      <c r="E1229" s="2">
        <f t="shared" si="20"/>
        <v>0</v>
      </c>
      <c r="F1229" s="9"/>
      <c r="G1229" s="9"/>
      <c r="H1229" s="2">
        <f>IF(SUM(F1229:G1229)&gt;Instructions!$B$5,"Error",SUM(F1229:G1229))</f>
        <v>0</v>
      </c>
      <c r="I1229" s="8"/>
    </row>
    <row r="1230" spans="1:9">
      <c r="A1230" s="8"/>
      <c r="B1230" s="8"/>
      <c r="C1230" s="2">
        <f>F1230/Instructions!$B$5</f>
        <v>0</v>
      </c>
      <c r="D1230" s="2">
        <f>G1230/Instructions!$B$5</f>
        <v>0</v>
      </c>
      <c r="E1230" s="2">
        <f t="shared" si="20"/>
        <v>0</v>
      </c>
      <c r="F1230" s="9"/>
      <c r="G1230" s="9"/>
      <c r="H1230" s="2">
        <f>IF(SUM(F1230:G1230)&gt;Instructions!$B$5,"Error",SUM(F1230:G1230))</f>
        <v>0</v>
      </c>
      <c r="I1230" s="8"/>
    </row>
    <row r="1231" spans="1:9">
      <c r="A1231" s="8"/>
      <c r="B1231" s="8"/>
      <c r="C1231" s="2">
        <f>F1231/Instructions!$B$5</f>
        <v>0</v>
      </c>
      <c r="D1231" s="2">
        <f>G1231/Instructions!$B$5</f>
        <v>0</v>
      </c>
      <c r="E1231" s="2">
        <f t="shared" si="20"/>
        <v>0</v>
      </c>
      <c r="F1231" s="9"/>
      <c r="G1231" s="9"/>
      <c r="H1231" s="2">
        <f>IF(SUM(F1231:G1231)&gt;Instructions!$B$5,"Error",SUM(F1231:G1231))</f>
        <v>0</v>
      </c>
      <c r="I1231" s="8"/>
    </row>
    <row r="1232" spans="1:9">
      <c r="A1232" s="8"/>
      <c r="B1232" s="8"/>
      <c r="C1232" s="2">
        <f>F1232/Instructions!$B$5</f>
        <v>0</v>
      </c>
      <c r="D1232" s="2">
        <f>G1232/Instructions!$B$5</f>
        <v>0</v>
      </c>
      <c r="E1232" s="2">
        <f t="shared" si="20"/>
        <v>0</v>
      </c>
      <c r="F1232" s="9"/>
      <c r="G1232" s="9"/>
      <c r="H1232" s="2">
        <f>IF(SUM(F1232:G1232)&gt;Instructions!$B$5,"Error",SUM(F1232:G1232))</f>
        <v>0</v>
      </c>
      <c r="I1232" s="8"/>
    </row>
    <row r="1233" spans="1:9">
      <c r="A1233" s="8"/>
      <c r="B1233" s="8"/>
      <c r="C1233" s="2">
        <f>F1233/Instructions!$B$5</f>
        <v>0</v>
      </c>
      <c r="D1233" s="2">
        <f>G1233/Instructions!$B$5</f>
        <v>0</v>
      </c>
      <c r="E1233" s="2">
        <f t="shared" si="20"/>
        <v>0</v>
      </c>
      <c r="F1233" s="9"/>
      <c r="G1233" s="9"/>
      <c r="H1233" s="2">
        <f>IF(SUM(F1233:G1233)&gt;Instructions!$B$5,"Error",SUM(F1233:G1233))</f>
        <v>0</v>
      </c>
      <c r="I1233" s="8"/>
    </row>
    <row r="1234" spans="1:9">
      <c r="A1234" s="8"/>
      <c r="B1234" s="8"/>
      <c r="C1234" s="2">
        <f>F1234/Instructions!$B$5</f>
        <v>0</v>
      </c>
      <c r="D1234" s="2">
        <f>G1234/Instructions!$B$5</f>
        <v>0</v>
      </c>
      <c r="E1234" s="2">
        <f t="shared" si="20"/>
        <v>0</v>
      </c>
      <c r="F1234" s="9"/>
      <c r="G1234" s="9"/>
      <c r="H1234" s="2">
        <f>IF(SUM(F1234:G1234)&gt;Instructions!$B$5,"Error",SUM(F1234:G1234))</f>
        <v>0</v>
      </c>
      <c r="I1234" s="8"/>
    </row>
    <row r="1235" spans="1:9">
      <c r="A1235" s="8"/>
      <c r="B1235" s="8"/>
      <c r="C1235" s="2">
        <f>F1235/Instructions!$B$5</f>
        <v>0</v>
      </c>
      <c r="D1235" s="2">
        <f>G1235/Instructions!$B$5</f>
        <v>0</v>
      </c>
      <c r="E1235" s="2">
        <f t="shared" si="20"/>
        <v>0</v>
      </c>
      <c r="F1235" s="9"/>
      <c r="G1235" s="9"/>
      <c r="H1235" s="2">
        <f>IF(SUM(F1235:G1235)&gt;Instructions!$B$5,"Error",SUM(F1235:G1235))</f>
        <v>0</v>
      </c>
      <c r="I1235" s="8"/>
    </row>
    <row r="1236" spans="1:9">
      <c r="A1236" s="8"/>
      <c r="B1236" s="8"/>
      <c r="C1236" s="2">
        <f>F1236/Instructions!$B$5</f>
        <v>0</v>
      </c>
      <c r="D1236" s="2">
        <f>G1236/Instructions!$B$5</f>
        <v>0</v>
      </c>
      <c r="E1236" s="2">
        <f t="shared" si="20"/>
        <v>0</v>
      </c>
      <c r="F1236" s="9"/>
      <c r="G1236" s="9"/>
      <c r="H1236" s="2">
        <f>IF(SUM(F1236:G1236)&gt;Instructions!$B$5,"Error",SUM(F1236:G1236))</f>
        <v>0</v>
      </c>
      <c r="I1236" s="8"/>
    </row>
    <row r="1237" spans="1:9">
      <c r="A1237" s="8"/>
      <c r="B1237" s="8"/>
      <c r="C1237" s="2">
        <f>F1237/Instructions!$B$5</f>
        <v>0</v>
      </c>
      <c r="D1237" s="2">
        <f>G1237/Instructions!$B$5</f>
        <v>0</v>
      </c>
      <c r="E1237" s="2">
        <f t="shared" si="20"/>
        <v>0</v>
      </c>
      <c r="F1237" s="9"/>
      <c r="G1237" s="9"/>
      <c r="H1237" s="2">
        <f>IF(SUM(F1237:G1237)&gt;Instructions!$B$5,"Error",SUM(F1237:G1237))</f>
        <v>0</v>
      </c>
      <c r="I1237" s="8"/>
    </row>
    <row r="1238" spans="1:9">
      <c r="A1238" s="8"/>
      <c r="B1238" s="8"/>
      <c r="C1238" s="2">
        <f>F1238/Instructions!$B$5</f>
        <v>0</v>
      </c>
      <c r="D1238" s="2">
        <f>G1238/Instructions!$B$5</f>
        <v>0</v>
      </c>
      <c r="E1238" s="2">
        <f t="shared" si="20"/>
        <v>0</v>
      </c>
      <c r="F1238" s="9"/>
      <c r="G1238" s="9"/>
      <c r="H1238" s="2">
        <f>IF(SUM(F1238:G1238)&gt;Instructions!$B$5,"Error",SUM(F1238:G1238))</f>
        <v>0</v>
      </c>
      <c r="I1238" s="8"/>
    </row>
    <row r="1239" spans="1:9">
      <c r="A1239" s="8"/>
      <c r="B1239" s="8"/>
      <c r="C1239" s="2">
        <f>F1239/Instructions!$B$5</f>
        <v>0</v>
      </c>
      <c r="D1239" s="2">
        <f>G1239/Instructions!$B$5</f>
        <v>0</v>
      </c>
      <c r="E1239" s="2">
        <f t="shared" si="20"/>
        <v>0</v>
      </c>
      <c r="F1239" s="9"/>
      <c r="G1239" s="9"/>
      <c r="H1239" s="2">
        <f>IF(SUM(F1239:G1239)&gt;Instructions!$B$5,"Error",SUM(F1239:G1239))</f>
        <v>0</v>
      </c>
      <c r="I1239" s="8"/>
    </row>
    <row r="1240" spans="1:9">
      <c r="A1240" s="8"/>
      <c r="B1240" s="8"/>
      <c r="C1240" s="2">
        <f>F1240/Instructions!$B$5</f>
        <v>0</v>
      </c>
      <c r="D1240" s="2">
        <f>G1240/Instructions!$B$5</f>
        <v>0</v>
      </c>
      <c r="E1240" s="2">
        <f t="shared" si="20"/>
        <v>0</v>
      </c>
      <c r="F1240" s="9"/>
      <c r="G1240" s="9"/>
      <c r="H1240" s="2">
        <f>IF(SUM(F1240:G1240)&gt;Instructions!$B$5,"Error",SUM(F1240:G1240))</f>
        <v>0</v>
      </c>
      <c r="I1240" s="8"/>
    </row>
    <row r="1241" spans="1:9">
      <c r="A1241" s="8"/>
      <c r="B1241" s="8"/>
      <c r="C1241" s="2">
        <f>F1241/Instructions!$B$5</f>
        <v>0</v>
      </c>
      <c r="D1241" s="2">
        <f>G1241/Instructions!$B$5</f>
        <v>0</v>
      </c>
      <c r="E1241" s="2">
        <f t="shared" si="20"/>
        <v>0</v>
      </c>
      <c r="F1241" s="9"/>
      <c r="G1241" s="9"/>
      <c r="H1241" s="2">
        <f>IF(SUM(F1241:G1241)&gt;Instructions!$B$5,"Error",SUM(F1241:G1241))</f>
        <v>0</v>
      </c>
      <c r="I1241" s="8"/>
    </row>
    <row r="1242" spans="1:9">
      <c r="A1242" s="8"/>
      <c r="B1242" s="8"/>
      <c r="C1242" s="2">
        <f>F1242/Instructions!$B$5</f>
        <v>0</v>
      </c>
      <c r="D1242" s="2">
        <f>G1242/Instructions!$B$5</f>
        <v>0</v>
      </c>
      <c r="E1242" s="2">
        <f t="shared" si="20"/>
        <v>0</v>
      </c>
      <c r="F1242" s="9"/>
      <c r="G1242" s="9"/>
      <c r="H1242" s="2">
        <f>IF(SUM(F1242:G1242)&gt;Instructions!$B$5,"Error",SUM(F1242:G1242))</f>
        <v>0</v>
      </c>
      <c r="I1242" s="8"/>
    </row>
    <row r="1243" spans="1:9">
      <c r="A1243" s="8"/>
      <c r="B1243" s="8"/>
      <c r="C1243" s="2">
        <f>F1243/Instructions!$B$5</f>
        <v>0</v>
      </c>
      <c r="D1243" s="2">
        <f>G1243/Instructions!$B$5</f>
        <v>0</v>
      </c>
      <c r="E1243" s="2">
        <f t="shared" si="20"/>
        <v>0</v>
      </c>
      <c r="F1243" s="9"/>
      <c r="G1243" s="9"/>
      <c r="H1243" s="2">
        <f>IF(SUM(F1243:G1243)&gt;Instructions!$B$5,"Error",SUM(F1243:G1243))</f>
        <v>0</v>
      </c>
      <c r="I1243" s="8"/>
    </row>
    <row r="1244" spans="1:9">
      <c r="A1244" s="8"/>
      <c r="B1244" s="8"/>
      <c r="C1244" s="2">
        <f>F1244/Instructions!$B$5</f>
        <v>0</v>
      </c>
      <c r="D1244" s="2">
        <f>G1244/Instructions!$B$5</f>
        <v>0</v>
      </c>
      <c r="E1244" s="2">
        <f t="shared" si="20"/>
        <v>0</v>
      </c>
      <c r="F1244" s="9"/>
      <c r="G1244" s="9"/>
      <c r="H1244" s="2">
        <f>IF(SUM(F1244:G1244)&gt;Instructions!$B$5,"Error",SUM(F1244:G1244))</f>
        <v>0</v>
      </c>
      <c r="I1244" s="8"/>
    </row>
    <row r="1245" spans="1:9">
      <c r="A1245" s="8"/>
      <c r="B1245" s="8"/>
      <c r="C1245" s="2">
        <f>F1245/Instructions!$B$5</f>
        <v>0</v>
      </c>
      <c r="D1245" s="2">
        <f>G1245/Instructions!$B$5</f>
        <v>0</v>
      </c>
      <c r="E1245" s="2">
        <f t="shared" si="20"/>
        <v>0</v>
      </c>
      <c r="F1245" s="9"/>
      <c r="G1245" s="9"/>
      <c r="H1245" s="2">
        <f>IF(SUM(F1245:G1245)&gt;Instructions!$B$5,"Error",SUM(F1245:G1245))</f>
        <v>0</v>
      </c>
      <c r="I1245" s="8"/>
    </row>
    <row r="1246" spans="1:9">
      <c r="A1246" s="8"/>
      <c r="B1246" s="8"/>
      <c r="C1246" s="2">
        <f>F1246/Instructions!$B$5</f>
        <v>0</v>
      </c>
      <c r="D1246" s="2">
        <f>G1246/Instructions!$B$5</f>
        <v>0</v>
      </c>
      <c r="E1246" s="2">
        <f t="shared" si="20"/>
        <v>0</v>
      </c>
      <c r="F1246" s="9"/>
      <c r="G1246" s="9"/>
      <c r="H1246" s="2">
        <f>IF(SUM(F1246:G1246)&gt;Instructions!$B$5,"Error",SUM(F1246:G1246))</f>
        <v>0</v>
      </c>
      <c r="I1246" s="8"/>
    </row>
    <row r="1247" spans="1:9">
      <c r="A1247" s="8"/>
      <c r="B1247" s="8"/>
      <c r="C1247" s="2">
        <f>F1247/Instructions!$B$5</f>
        <v>0</v>
      </c>
      <c r="D1247" s="2">
        <f>G1247/Instructions!$B$5</f>
        <v>0</v>
      </c>
      <c r="E1247" s="2">
        <f t="shared" si="20"/>
        <v>0</v>
      </c>
      <c r="F1247" s="9"/>
      <c r="G1247" s="9"/>
      <c r="H1247" s="2">
        <f>IF(SUM(F1247:G1247)&gt;Instructions!$B$5,"Error",SUM(F1247:G1247))</f>
        <v>0</v>
      </c>
      <c r="I1247" s="8"/>
    </row>
    <row r="1248" spans="1:9">
      <c r="A1248" s="8"/>
      <c r="B1248" s="8"/>
      <c r="C1248" s="2">
        <f>F1248/Instructions!$B$5</f>
        <v>0</v>
      </c>
      <c r="D1248" s="2">
        <f>G1248/Instructions!$B$5</f>
        <v>0</v>
      </c>
      <c r="E1248" s="2">
        <f t="shared" si="20"/>
        <v>0</v>
      </c>
      <c r="F1248" s="9"/>
      <c r="G1248" s="9"/>
      <c r="H1248" s="2">
        <f>IF(SUM(F1248:G1248)&gt;Instructions!$B$5,"Error",SUM(F1248:G1248))</f>
        <v>0</v>
      </c>
      <c r="I1248" s="8"/>
    </row>
    <row r="1249" spans="1:9">
      <c r="A1249" s="8"/>
      <c r="B1249" s="8"/>
      <c r="C1249" s="2">
        <f>F1249/Instructions!$B$5</f>
        <v>0</v>
      </c>
      <c r="D1249" s="2">
        <f>G1249/Instructions!$B$5</f>
        <v>0</v>
      </c>
      <c r="E1249" s="2">
        <f t="shared" si="20"/>
        <v>0</v>
      </c>
      <c r="F1249" s="9"/>
      <c r="G1249" s="9"/>
      <c r="H1249" s="2">
        <f>IF(SUM(F1249:G1249)&gt;Instructions!$B$5,"Error",SUM(F1249:G1249))</f>
        <v>0</v>
      </c>
      <c r="I1249" s="8"/>
    </row>
    <row r="1250" spans="1:9">
      <c r="A1250" s="8"/>
      <c r="B1250" s="8"/>
      <c r="C1250" s="2">
        <f>F1250/Instructions!$B$5</f>
        <v>0</v>
      </c>
      <c r="D1250" s="2">
        <f>G1250/Instructions!$B$5</f>
        <v>0</v>
      </c>
      <c r="E1250" s="2">
        <f t="shared" si="20"/>
        <v>0</v>
      </c>
      <c r="F1250" s="9"/>
      <c r="G1250" s="9"/>
      <c r="H1250" s="2">
        <f>IF(SUM(F1250:G1250)&gt;Instructions!$B$5,"Error",SUM(F1250:G1250))</f>
        <v>0</v>
      </c>
      <c r="I1250" s="8"/>
    </row>
    <row r="1251" spans="1:9">
      <c r="A1251" s="8"/>
      <c r="B1251" s="8"/>
      <c r="C1251" s="2">
        <f>F1251/Instructions!$B$5</f>
        <v>0</v>
      </c>
      <c r="D1251" s="2">
        <f>G1251/Instructions!$B$5</f>
        <v>0</v>
      </c>
      <c r="E1251" s="2">
        <f t="shared" si="20"/>
        <v>0</v>
      </c>
      <c r="F1251" s="9"/>
      <c r="G1251" s="9"/>
      <c r="H1251" s="2">
        <f>IF(SUM(F1251:G1251)&gt;Instructions!$B$5,"Error",SUM(F1251:G1251))</f>
        <v>0</v>
      </c>
      <c r="I1251" s="8"/>
    </row>
    <row r="1252" spans="1:9">
      <c r="A1252" s="8"/>
      <c r="B1252" s="8"/>
      <c r="C1252" s="2">
        <f>F1252/Instructions!$B$5</f>
        <v>0</v>
      </c>
      <c r="D1252" s="2">
        <f>G1252/Instructions!$B$5</f>
        <v>0</v>
      </c>
      <c r="E1252" s="2">
        <f t="shared" si="20"/>
        <v>0</v>
      </c>
      <c r="F1252" s="9"/>
      <c r="G1252" s="9"/>
      <c r="H1252" s="2">
        <f>IF(SUM(F1252:G1252)&gt;Instructions!$B$5,"Error",SUM(F1252:G1252))</f>
        <v>0</v>
      </c>
      <c r="I1252" s="8"/>
    </row>
    <row r="1253" spans="1:9">
      <c r="A1253" s="8"/>
      <c r="B1253" s="8"/>
      <c r="C1253" s="2">
        <f>F1253/Instructions!$B$5</f>
        <v>0</v>
      </c>
      <c r="D1253" s="2">
        <f>G1253/Instructions!$B$5</f>
        <v>0</v>
      </c>
      <c r="E1253" s="2">
        <f t="shared" si="20"/>
        <v>0</v>
      </c>
      <c r="F1253" s="9"/>
      <c r="G1253" s="9"/>
      <c r="H1253" s="2">
        <f>IF(SUM(F1253:G1253)&gt;Instructions!$B$5,"Error",SUM(F1253:G1253))</f>
        <v>0</v>
      </c>
      <c r="I1253" s="8"/>
    </row>
    <row r="1254" spans="1:9">
      <c r="A1254" s="8"/>
      <c r="B1254" s="8"/>
      <c r="C1254" s="2">
        <f>F1254/Instructions!$B$5</f>
        <v>0</v>
      </c>
      <c r="D1254" s="2">
        <f>G1254/Instructions!$B$5</f>
        <v>0</v>
      </c>
      <c r="E1254" s="2">
        <f t="shared" si="20"/>
        <v>0</v>
      </c>
      <c r="F1254" s="9"/>
      <c r="G1254" s="9"/>
      <c r="H1254" s="2">
        <f>IF(SUM(F1254:G1254)&gt;Instructions!$B$5,"Error",SUM(F1254:G1254))</f>
        <v>0</v>
      </c>
      <c r="I1254" s="8"/>
    </row>
    <row r="1255" spans="1:9">
      <c r="A1255" s="8"/>
      <c r="B1255" s="8"/>
      <c r="C1255" s="2">
        <f>F1255/Instructions!$B$5</f>
        <v>0</v>
      </c>
      <c r="D1255" s="2">
        <f>G1255/Instructions!$B$5</f>
        <v>0</v>
      </c>
      <c r="E1255" s="2">
        <f t="shared" si="20"/>
        <v>0</v>
      </c>
      <c r="F1255" s="9"/>
      <c r="G1255" s="9"/>
      <c r="H1255" s="2">
        <f>IF(SUM(F1255:G1255)&gt;Instructions!$B$5,"Error",SUM(F1255:G1255))</f>
        <v>0</v>
      </c>
      <c r="I1255" s="8"/>
    </row>
    <row r="1256" spans="1:9">
      <c r="A1256" s="8"/>
      <c r="B1256" s="8"/>
      <c r="C1256" s="2">
        <f>F1256/Instructions!$B$5</f>
        <v>0</v>
      </c>
      <c r="D1256" s="2">
        <f>G1256/Instructions!$B$5</f>
        <v>0</v>
      </c>
      <c r="E1256" s="2">
        <f t="shared" si="20"/>
        <v>0</v>
      </c>
      <c r="F1256" s="9"/>
      <c r="G1256" s="9"/>
      <c r="H1256" s="2">
        <f>IF(SUM(F1256:G1256)&gt;Instructions!$B$5,"Error",SUM(F1256:G1256))</f>
        <v>0</v>
      </c>
      <c r="I1256" s="8"/>
    </row>
    <row r="1257" spans="1:9">
      <c r="A1257" s="8"/>
      <c r="B1257" s="8"/>
      <c r="C1257" s="2">
        <f>F1257/Instructions!$B$5</f>
        <v>0</v>
      </c>
      <c r="D1257" s="2">
        <f>G1257/Instructions!$B$5</f>
        <v>0</v>
      </c>
      <c r="E1257" s="2">
        <f t="shared" si="20"/>
        <v>0</v>
      </c>
      <c r="F1257" s="9"/>
      <c r="G1257" s="9"/>
      <c r="H1257" s="2">
        <f>IF(SUM(F1257:G1257)&gt;Instructions!$B$5,"Error",SUM(F1257:G1257))</f>
        <v>0</v>
      </c>
      <c r="I1257" s="8"/>
    </row>
    <row r="1258" spans="1:9">
      <c r="A1258" s="8"/>
      <c r="B1258" s="8"/>
      <c r="C1258" s="2">
        <f>F1258/Instructions!$B$5</f>
        <v>0</v>
      </c>
      <c r="D1258" s="2">
        <f>G1258/Instructions!$B$5</f>
        <v>0</v>
      </c>
      <c r="E1258" s="2">
        <f t="shared" si="20"/>
        <v>0</v>
      </c>
      <c r="F1258" s="9"/>
      <c r="G1258" s="9"/>
      <c r="H1258" s="2">
        <f>IF(SUM(F1258:G1258)&gt;Instructions!$B$5,"Error",SUM(F1258:G1258))</f>
        <v>0</v>
      </c>
      <c r="I1258" s="8"/>
    </row>
    <row r="1259" spans="1:9">
      <c r="A1259" s="8"/>
      <c r="B1259" s="8"/>
      <c r="C1259" s="2">
        <f>F1259/Instructions!$B$5</f>
        <v>0</v>
      </c>
      <c r="D1259" s="2">
        <f>G1259/Instructions!$B$5</f>
        <v>0</v>
      </c>
      <c r="E1259" s="2">
        <f t="shared" si="20"/>
        <v>0</v>
      </c>
      <c r="F1259" s="9"/>
      <c r="G1259" s="9"/>
      <c r="H1259" s="2">
        <f>IF(SUM(F1259:G1259)&gt;Instructions!$B$5,"Error",SUM(F1259:G1259))</f>
        <v>0</v>
      </c>
      <c r="I1259" s="8"/>
    </row>
    <row r="1260" spans="1:9">
      <c r="A1260" s="8"/>
      <c r="B1260" s="8"/>
      <c r="C1260" s="2">
        <f>F1260/Instructions!$B$5</f>
        <v>0</v>
      </c>
      <c r="D1260" s="2">
        <f>G1260/Instructions!$B$5</f>
        <v>0</v>
      </c>
      <c r="E1260" s="2">
        <f t="shared" si="20"/>
        <v>0</v>
      </c>
      <c r="F1260" s="9"/>
      <c r="G1260" s="9"/>
      <c r="H1260" s="2">
        <f>IF(SUM(F1260:G1260)&gt;Instructions!$B$5,"Error",SUM(F1260:G1260))</f>
        <v>0</v>
      </c>
      <c r="I1260" s="8"/>
    </row>
    <row r="1261" spans="1:9">
      <c r="A1261" s="8"/>
      <c r="B1261" s="8"/>
      <c r="C1261" s="2">
        <f>F1261/Instructions!$B$5</f>
        <v>0</v>
      </c>
      <c r="D1261" s="2">
        <f>G1261/Instructions!$B$5</f>
        <v>0</v>
      </c>
      <c r="E1261" s="2">
        <f t="shared" si="20"/>
        <v>0</v>
      </c>
      <c r="F1261" s="9"/>
      <c r="G1261" s="9"/>
      <c r="H1261" s="2">
        <f>IF(SUM(F1261:G1261)&gt;Instructions!$B$5,"Error",SUM(F1261:G1261))</f>
        <v>0</v>
      </c>
      <c r="I1261" s="8"/>
    </row>
    <row r="1262" spans="1:9">
      <c r="A1262" s="8"/>
      <c r="B1262" s="8"/>
      <c r="C1262" s="2">
        <f>F1262/Instructions!$B$5</f>
        <v>0</v>
      </c>
      <c r="D1262" s="2">
        <f>G1262/Instructions!$B$5</f>
        <v>0</v>
      </c>
      <c r="E1262" s="2">
        <f t="shared" si="20"/>
        <v>0</v>
      </c>
      <c r="F1262" s="9"/>
      <c r="G1262" s="9"/>
      <c r="H1262" s="2">
        <f>IF(SUM(F1262:G1262)&gt;Instructions!$B$5,"Error",SUM(F1262:G1262))</f>
        <v>0</v>
      </c>
      <c r="I1262" s="8"/>
    </row>
    <row r="1263" spans="1:9">
      <c r="A1263" s="8"/>
      <c r="B1263" s="8"/>
      <c r="C1263" s="2">
        <f>F1263/Instructions!$B$5</f>
        <v>0</v>
      </c>
      <c r="D1263" s="2">
        <f>G1263/Instructions!$B$5</f>
        <v>0</v>
      </c>
      <c r="E1263" s="2">
        <f t="shared" si="20"/>
        <v>0</v>
      </c>
      <c r="F1263" s="9"/>
      <c r="G1263" s="9"/>
      <c r="H1263" s="2">
        <f>IF(SUM(F1263:G1263)&gt;Instructions!$B$5,"Error",SUM(F1263:G1263))</f>
        <v>0</v>
      </c>
      <c r="I1263" s="8"/>
    </row>
    <row r="1264" spans="1:9">
      <c r="A1264" s="8"/>
      <c r="B1264" s="8"/>
      <c r="C1264" s="2">
        <f>F1264/Instructions!$B$5</f>
        <v>0</v>
      </c>
      <c r="D1264" s="2">
        <f>G1264/Instructions!$B$5</f>
        <v>0</v>
      </c>
      <c r="E1264" s="2">
        <f t="shared" si="20"/>
        <v>0</v>
      </c>
      <c r="F1264" s="9"/>
      <c r="G1264" s="9"/>
      <c r="H1264" s="2">
        <f>IF(SUM(F1264:G1264)&gt;Instructions!$B$5,"Error",SUM(F1264:G1264))</f>
        <v>0</v>
      </c>
      <c r="I1264" s="8"/>
    </row>
    <row r="1265" spans="1:9">
      <c r="A1265" s="8"/>
      <c r="B1265" s="8"/>
      <c r="C1265" s="2">
        <f>F1265/Instructions!$B$5</f>
        <v>0</v>
      </c>
      <c r="D1265" s="2">
        <f>G1265/Instructions!$B$5</f>
        <v>0</v>
      </c>
      <c r="E1265" s="2">
        <f t="shared" si="20"/>
        <v>0</v>
      </c>
      <c r="F1265" s="9"/>
      <c r="G1265" s="9"/>
      <c r="H1265" s="2">
        <f>IF(SUM(F1265:G1265)&gt;Instructions!$B$5,"Error",SUM(F1265:G1265))</f>
        <v>0</v>
      </c>
      <c r="I1265" s="8"/>
    </row>
    <row r="1266" spans="1:9">
      <c r="A1266" s="8"/>
      <c r="B1266" s="8"/>
      <c r="C1266" s="2">
        <f>F1266/Instructions!$B$5</f>
        <v>0</v>
      </c>
      <c r="D1266" s="2">
        <f>G1266/Instructions!$B$5</f>
        <v>0</v>
      </c>
      <c r="E1266" s="2">
        <f t="shared" si="20"/>
        <v>0</v>
      </c>
      <c r="F1266" s="9"/>
      <c r="G1266" s="9"/>
      <c r="H1266" s="2">
        <f>IF(SUM(F1266:G1266)&gt;Instructions!$B$5,"Error",SUM(F1266:G1266))</f>
        <v>0</v>
      </c>
      <c r="I1266" s="8"/>
    </row>
    <row r="1267" spans="1:9">
      <c r="A1267" s="8"/>
      <c r="B1267" s="8"/>
      <c r="C1267" s="2">
        <f>F1267/Instructions!$B$5</f>
        <v>0</v>
      </c>
      <c r="D1267" s="2">
        <f>G1267/Instructions!$B$5</f>
        <v>0</v>
      </c>
      <c r="E1267" s="2">
        <f t="shared" si="20"/>
        <v>0</v>
      </c>
      <c r="F1267" s="9"/>
      <c r="G1267" s="9"/>
      <c r="H1267" s="2">
        <f>IF(SUM(F1267:G1267)&gt;Instructions!$B$5,"Error",SUM(F1267:G1267))</f>
        <v>0</v>
      </c>
      <c r="I1267" s="8"/>
    </row>
    <row r="1268" spans="1:9">
      <c r="A1268" s="8"/>
      <c r="B1268" s="8"/>
      <c r="C1268" s="2">
        <f>F1268/Instructions!$B$5</f>
        <v>0</v>
      </c>
      <c r="D1268" s="2">
        <f>G1268/Instructions!$B$5</f>
        <v>0</v>
      </c>
      <c r="E1268" s="2">
        <f t="shared" si="20"/>
        <v>0</v>
      </c>
      <c r="F1268" s="9"/>
      <c r="G1268" s="9"/>
      <c r="H1268" s="2">
        <f>IF(SUM(F1268:G1268)&gt;Instructions!$B$5,"Error",SUM(F1268:G1268))</f>
        <v>0</v>
      </c>
      <c r="I1268" s="8"/>
    </row>
    <row r="1269" spans="1:9">
      <c r="A1269" s="8"/>
      <c r="B1269" s="8"/>
      <c r="C1269" s="2">
        <f>F1269/Instructions!$B$5</f>
        <v>0</v>
      </c>
      <c r="D1269" s="2">
        <f>G1269/Instructions!$B$5</f>
        <v>0</v>
      </c>
      <c r="E1269" s="2">
        <f t="shared" si="20"/>
        <v>0</v>
      </c>
      <c r="F1269" s="9"/>
      <c r="G1269" s="9"/>
      <c r="H1269" s="2">
        <f>IF(SUM(F1269:G1269)&gt;Instructions!$B$5,"Error",SUM(F1269:G1269))</f>
        <v>0</v>
      </c>
      <c r="I1269" s="8"/>
    </row>
    <row r="1270" spans="1:9">
      <c r="A1270" s="8"/>
      <c r="B1270" s="8"/>
      <c r="C1270" s="2">
        <f>F1270/Instructions!$B$5</f>
        <v>0</v>
      </c>
      <c r="D1270" s="2">
        <f>G1270/Instructions!$B$5</f>
        <v>0</v>
      </c>
      <c r="E1270" s="2">
        <f t="shared" si="20"/>
        <v>0</v>
      </c>
      <c r="F1270" s="9"/>
      <c r="G1270" s="9"/>
      <c r="H1270" s="2">
        <f>IF(SUM(F1270:G1270)&gt;Instructions!$B$5,"Error",SUM(F1270:G1270))</f>
        <v>0</v>
      </c>
      <c r="I1270" s="8"/>
    </row>
    <row r="1271" spans="1:9">
      <c r="A1271" s="8"/>
      <c r="B1271" s="8"/>
      <c r="C1271" s="2">
        <f>F1271/Instructions!$B$5</f>
        <v>0</v>
      </c>
      <c r="D1271" s="2">
        <f>G1271/Instructions!$B$5</f>
        <v>0</v>
      </c>
      <c r="E1271" s="2">
        <f t="shared" si="20"/>
        <v>0</v>
      </c>
      <c r="F1271" s="9"/>
      <c r="G1271" s="9"/>
      <c r="H1271" s="2">
        <f>IF(SUM(F1271:G1271)&gt;Instructions!$B$5,"Error",SUM(F1271:G1271))</f>
        <v>0</v>
      </c>
      <c r="I1271" s="8"/>
    </row>
    <row r="1272" spans="1:9">
      <c r="A1272" s="8"/>
      <c r="B1272" s="8"/>
      <c r="C1272" s="2">
        <f>F1272/Instructions!$B$5</f>
        <v>0</v>
      </c>
      <c r="D1272" s="2">
        <f>G1272/Instructions!$B$5</f>
        <v>0</v>
      </c>
      <c r="E1272" s="2">
        <f t="shared" si="20"/>
        <v>0</v>
      </c>
      <c r="F1272" s="9"/>
      <c r="G1272" s="9"/>
      <c r="H1272" s="2">
        <f>IF(SUM(F1272:G1272)&gt;Instructions!$B$5,"Error",SUM(F1272:G1272))</f>
        <v>0</v>
      </c>
      <c r="I1272" s="8"/>
    </row>
    <row r="1273" spans="1:9">
      <c r="A1273" s="8"/>
      <c r="B1273" s="8"/>
      <c r="C1273" s="2">
        <f>F1273/Instructions!$B$5</f>
        <v>0</v>
      </c>
      <c r="D1273" s="2">
        <f>G1273/Instructions!$B$5</f>
        <v>0</v>
      </c>
      <c r="E1273" s="2">
        <f t="shared" si="20"/>
        <v>0</v>
      </c>
      <c r="F1273" s="9"/>
      <c r="G1273" s="9"/>
      <c r="H1273" s="2">
        <f>IF(SUM(F1273:G1273)&gt;Instructions!$B$5,"Error",SUM(F1273:G1273))</f>
        <v>0</v>
      </c>
      <c r="I1273" s="8"/>
    </row>
    <row r="1274" spans="1:9">
      <c r="A1274" s="8"/>
      <c r="B1274" s="8"/>
      <c r="C1274" s="2">
        <f>F1274/Instructions!$B$5</f>
        <v>0</v>
      </c>
      <c r="D1274" s="2">
        <f>G1274/Instructions!$B$5</f>
        <v>0</v>
      </c>
      <c r="E1274" s="2">
        <f t="shared" si="20"/>
        <v>0</v>
      </c>
      <c r="F1274" s="9"/>
      <c r="G1274" s="9"/>
      <c r="H1274" s="2">
        <f>IF(SUM(F1274:G1274)&gt;Instructions!$B$5,"Error",SUM(F1274:G1274))</f>
        <v>0</v>
      </c>
      <c r="I1274" s="8"/>
    </row>
    <row r="1275" spans="1:9">
      <c r="A1275" s="8"/>
      <c r="B1275" s="8"/>
      <c r="C1275" s="2">
        <f>F1275/Instructions!$B$5</f>
        <v>0</v>
      </c>
      <c r="D1275" s="2">
        <f>G1275/Instructions!$B$5</f>
        <v>0</v>
      </c>
      <c r="E1275" s="2">
        <f t="shared" si="20"/>
        <v>0</v>
      </c>
      <c r="F1275" s="9"/>
      <c r="G1275" s="9"/>
      <c r="H1275" s="2">
        <f>IF(SUM(F1275:G1275)&gt;Instructions!$B$5,"Error",SUM(F1275:G1275))</f>
        <v>0</v>
      </c>
      <c r="I1275" s="8"/>
    </row>
    <row r="1276" spans="1:9">
      <c r="A1276" s="8"/>
      <c r="B1276" s="8"/>
      <c r="C1276" s="2">
        <f>F1276/Instructions!$B$5</f>
        <v>0</v>
      </c>
      <c r="D1276" s="2">
        <f>G1276/Instructions!$B$5</f>
        <v>0</v>
      </c>
      <c r="E1276" s="2">
        <f t="shared" si="20"/>
        <v>0</v>
      </c>
      <c r="F1276" s="9"/>
      <c r="G1276" s="9"/>
      <c r="H1276" s="2">
        <f>IF(SUM(F1276:G1276)&gt;Instructions!$B$5,"Error",SUM(F1276:G1276))</f>
        <v>0</v>
      </c>
      <c r="I1276" s="8"/>
    </row>
    <row r="1277" spans="1:9">
      <c r="A1277" s="8"/>
      <c r="B1277" s="8"/>
      <c r="C1277" s="2">
        <f>F1277/Instructions!$B$5</f>
        <v>0</v>
      </c>
      <c r="D1277" s="2">
        <f>G1277/Instructions!$B$5</f>
        <v>0</v>
      </c>
      <c r="E1277" s="2">
        <f t="shared" si="20"/>
        <v>0</v>
      </c>
      <c r="F1277" s="9"/>
      <c r="G1277" s="9"/>
      <c r="H1277" s="2">
        <f>IF(SUM(F1277:G1277)&gt;Instructions!$B$5,"Error",SUM(F1277:G1277))</f>
        <v>0</v>
      </c>
      <c r="I1277" s="8"/>
    </row>
    <row r="1278" spans="1:9">
      <c r="A1278" s="8"/>
      <c r="B1278" s="8"/>
      <c r="C1278" s="2">
        <f>F1278/Instructions!$B$5</f>
        <v>0</v>
      </c>
      <c r="D1278" s="2">
        <f>G1278/Instructions!$B$5</f>
        <v>0</v>
      </c>
      <c r="E1278" s="2">
        <f t="shared" si="20"/>
        <v>0</v>
      </c>
      <c r="F1278" s="9"/>
      <c r="G1278" s="9"/>
      <c r="H1278" s="2">
        <f>IF(SUM(F1278:G1278)&gt;Instructions!$B$5,"Error",SUM(F1278:G1278))</f>
        <v>0</v>
      </c>
      <c r="I1278" s="8"/>
    </row>
    <row r="1279" spans="1:9">
      <c r="A1279" s="8"/>
      <c r="B1279" s="8"/>
      <c r="C1279" s="2">
        <f>F1279/Instructions!$B$5</f>
        <v>0</v>
      </c>
      <c r="D1279" s="2">
        <f>G1279/Instructions!$B$5</f>
        <v>0</v>
      </c>
      <c r="E1279" s="2">
        <f t="shared" si="20"/>
        <v>0</v>
      </c>
      <c r="F1279" s="9"/>
      <c r="G1279" s="9"/>
      <c r="H1279" s="2">
        <f>IF(SUM(F1279:G1279)&gt;Instructions!$B$5,"Error",SUM(F1279:G1279))</f>
        <v>0</v>
      </c>
      <c r="I1279" s="8"/>
    </row>
    <row r="1280" spans="1:9">
      <c r="A1280" s="8"/>
      <c r="B1280" s="8"/>
      <c r="C1280" s="2">
        <f>F1280/Instructions!$B$5</f>
        <v>0</v>
      </c>
      <c r="D1280" s="2">
        <f>G1280/Instructions!$B$5</f>
        <v>0</v>
      </c>
      <c r="E1280" s="2">
        <f t="shared" si="20"/>
        <v>0</v>
      </c>
      <c r="F1280" s="9"/>
      <c r="G1280" s="9"/>
      <c r="H1280" s="2">
        <f>IF(SUM(F1280:G1280)&gt;Instructions!$B$5,"Error",SUM(F1280:G1280))</f>
        <v>0</v>
      </c>
      <c r="I1280" s="8"/>
    </row>
    <row r="1281" spans="1:9">
      <c r="A1281" s="8"/>
      <c r="B1281" s="8"/>
      <c r="C1281" s="2">
        <f>F1281/Instructions!$B$5</f>
        <v>0</v>
      </c>
      <c r="D1281" s="2">
        <f>G1281/Instructions!$B$5</f>
        <v>0</v>
      </c>
      <c r="E1281" s="2">
        <f t="shared" si="20"/>
        <v>0</v>
      </c>
      <c r="F1281" s="9"/>
      <c r="G1281" s="9"/>
      <c r="H1281" s="2">
        <f>IF(SUM(F1281:G1281)&gt;Instructions!$B$5,"Error",SUM(F1281:G1281))</f>
        <v>0</v>
      </c>
      <c r="I1281" s="8"/>
    </row>
    <row r="1282" spans="1:9">
      <c r="A1282" s="8"/>
      <c r="B1282" s="8"/>
      <c r="C1282" s="2">
        <f>F1282/Instructions!$B$5</f>
        <v>0</v>
      </c>
      <c r="D1282" s="2">
        <f>G1282/Instructions!$B$5</f>
        <v>0</v>
      </c>
      <c r="E1282" s="2">
        <f t="shared" si="20"/>
        <v>0</v>
      </c>
      <c r="F1282" s="9"/>
      <c r="G1282" s="9"/>
      <c r="H1282" s="2">
        <f>IF(SUM(F1282:G1282)&gt;Instructions!$B$5,"Error",SUM(F1282:G1282))</f>
        <v>0</v>
      </c>
      <c r="I1282" s="8"/>
    </row>
    <row r="1283" spans="1:9">
      <c r="A1283" s="8"/>
      <c r="B1283" s="8"/>
      <c r="C1283" s="2">
        <f>F1283/Instructions!$B$5</f>
        <v>0</v>
      </c>
      <c r="D1283" s="2">
        <f>G1283/Instructions!$B$5</f>
        <v>0</v>
      </c>
      <c r="E1283" s="2">
        <f t="shared" si="20"/>
        <v>0</v>
      </c>
      <c r="F1283" s="9"/>
      <c r="G1283" s="9"/>
      <c r="H1283" s="2">
        <f>IF(SUM(F1283:G1283)&gt;Instructions!$B$5,"Error",SUM(F1283:G1283))</f>
        <v>0</v>
      </c>
      <c r="I1283" s="8"/>
    </row>
    <row r="1284" spans="1:9">
      <c r="A1284" s="8"/>
      <c r="B1284" s="8"/>
      <c r="C1284" s="2">
        <f>F1284/Instructions!$B$5</f>
        <v>0</v>
      </c>
      <c r="D1284" s="2">
        <f>G1284/Instructions!$B$5</f>
        <v>0</v>
      </c>
      <c r="E1284" s="2">
        <f t="shared" si="20"/>
        <v>0</v>
      </c>
      <c r="F1284" s="9"/>
      <c r="G1284" s="9"/>
      <c r="H1284" s="2">
        <f>IF(SUM(F1284:G1284)&gt;Instructions!$B$5,"Error",SUM(F1284:G1284))</f>
        <v>0</v>
      </c>
      <c r="I1284" s="8"/>
    </row>
    <row r="1285" spans="1:9">
      <c r="A1285" s="8"/>
      <c r="B1285" s="8"/>
      <c r="C1285" s="2">
        <f>F1285/Instructions!$B$5</f>
        <v>0</v>
      </c>
      <c r="D1285" s="2">
        <f>G1285/Instructions!$B$5</f>
        <v>0</v>
      </c>
      <c r="E1285" s="2">
        <f t="shared" si="20"/>
        <v>0</v>
      </c>
      <c r="F1285" s="9"/>
      <c r="G1285" s="9"/>
      <c r="H1285" s="2">
        <f>IF(SUM(F1285:G1285)&gt;Instructions!$B$5,"Error",SUM(F1285:G1285))</f>
        <v>0</v>
      </c>
      <c r="I1285" s="8"/>
    </row>
    <row r="1286" spans="1:9">
      <c r="A1286" s="8"/>
      <c r="B1286" s="8"/>
      <c r="C1286" s="2">
        <f>F1286/Instructions!$B$5</f>
        <v>0</v>
      </c>
      <c r="D1286" s="2">
        <f>G1286/Instructions!$B$5</f>
        <v>0</v>
      </c>
      <c r="E1286" s="2">
        <f t="shared" si="20"/>
        <v>0</v>
      </c>
      <c r="F1286" s="9"/>
      <c r="G1286" s="9"/>
      <c r="H1286" s="2">
        <f>IF(SUM(F1286:G1286)&gt;Instructions!$B$5,"Error",SUM(F1286:G1286))</f>
        <v>0</v>
      </c>
      <c r="I1286" s="8"/>
    </row>
    <row r="1287" spans="1:9">
      <c r="A1287" s="8"/>
      <c r="B1287" s="8"/>
      <c r="C1287" s="2">
        <f>F1287/Instructions!$B$5</f>
        <v>0</v>
      </c>
      <c r="D1287" s="2">
        <f>G1287/Instructions!$B$5</f>
        <v>0</v>
      </c>
      <c r="E1287" s="2">
        <f t="shared" si="20"/>
        <v>0</v>
      </c>
      <c r="F1287" s="9"/>
      <c r="G1287" s="9"/>
      <c r="H1287" s="2">
        <f>IF(SUM(F1287:G1287)&gt;Instructions!$B$5,"Error",SUM(F1287:G1287))</f>
        <v>0</v>
      </c>
      <c r="I1287" s="8"/>
    </row>
    <row r="1288" spans="1:9">
      <c r="A1288" s="8"/>
      <c r="B1288" s="8"/>
      <c r="C1288" s="2">
        <f>F1288/Instructions!$B$5</f>
        <v>0</v>
      </c>
      <c r="D1288" s="2">
        <f>G1288/Instructions!$B$5</f>
        <v>0</v>
      </c>
      <c r="E1288" s="2">
        <f t="shared" ref="E1288:E1351" si="21">IF(SUM(C1288:D1288)&gt;1,"Error",SUM(C1288:D1288))</f>
        <v>0</v>
      </c>
      <c r="F1288" s="9"/>
      <c r="G1288" s="9"/>
      <c r="H1288" s="2">
        <f>IF(SUM(F1288:G1288)&gt;Instructions!$B$5,"Error",SUM(F1288:G1288))</f>
        <v>0</v>
      </c>
      <c r="I1288" s="8"/>
    </row>
    <row r="1289" spans="1:9">
      <c r="A1289" s="8"/>
      <c r="B1289" s="8"/>
      <c r="C1289" s="2">
        <f>F1289/Instructions!$B$5</f>
        <v>0</v>
      </c>
      <c r="D1289" s="2">
        <f>G1289/Instructions!$B$5</f>
        <v>0</v>
      </c>
      <c r="E1289" s="2">
        <f t="shared" si="21"/>
        <v>0</v>
      </c>
      <c r="F1289" s="9"/>
      <c r="G1289" s="9"/>
      <c r="H1289" s="2">
        <f>IF(SUM(F1289:G1289)&gt;Instructions!$B$5,"Error",SUM(F1289:G1289))</f>
        <v>0</v>
      </c>
      <c r="I1289" s="8"/>
    </row>
    <row r="1290" spans="1:9">
      <c r="A1290" s="8"/>
      <c r="B1290" s="8"/>
      <c r="C1290" s="2">
        <f>F1290/Instructions!$B$5</f>
        <v>0</v>
      </c>
      <c r="D1290" s="2">
        <f>G1290/Instructions!$B$5</f>
        <v>0</v>
      </c>
      <c r="E1290" s="2">
        <f t="shared" si="21"/>
        <v>0</v>
      </c>
      <c r="F1290" s="9"/>
      <c r="G1290" s="9"/>
      <c r="H1290" s="2">
        <f>IF(SUM(F1290:G1290)&gt;Instructions!$B$5,"Error",SUM(F1290:G1290))</f>
        <v>0</v>
      </c>
      <c r="I1290" s="8"/>
    </row>
    <row r="1291" spans="1:9">
      <c r="A1291" s="8"/>
      <c r="B1291" s="8"/>
      <c r="C1291" s="2">
        <f>F1291/Instructions!$B$5</f>
        <v>0</v>
      </c>
      <c r="D1291" s="2">
        <f>G1291/Instructions!$B$5</f>
        <v>0</v>
      </c>
      <c r="E1291" s="2">
        <f t="shared" si="21"/>
        <v>0</v>
      </c>
      <c r="F1291" s="9"/>
      <c r="G1291" s="9"/>
      <c r="H1291" s="2">
        <f>IF(SUM(F1291:G1291)&gt;Instructions!$B$5,"Error",SUM(F1291:G1291))</f>
        <v>0</v>
      </c>
      <c r="I1291" s="8"/>
    </row>
    <row r="1292" spans="1:9">
      <c r="A1292" s="8"/>
      <c r="B1292" s="8"/>
      <c r="C1292" s="2">
        <f>F1292/Instructions!$B$5</f>
        <v>0</v>
      </c>
      <c r="D1292" s="2">
        <f>G1292/Instructions!$B$5</f>
        <v>0</v>
      </c>
      <c r="E1292" s="2">
        <f t="shared" si="21"/>
        <v>0</v>
      </c>
      <c r="F1292" s="9"/>
      <c r="G1292" s="9"/>
      <c r="H1292" s="2">
        <f>IF(SUM(F1292:G1292)&gt;Instructions!$B$5,"Error",SUM(F1292:G1292))</f>
        <v>0</v>
      </c>
      <c r="I1292" s="8"/>
    </row>
    <row r="1293" spans="1:9">
      <c r="A1293" s="8"/>
      <c r="B1293" s="8"/>
      <c r="C1293" s="2">
        <f>F1293/Instructions!$B$5</f>
        <v>0</v>
      </c>
      <c r="D1293" s="2">
        <f>G1293/Instructions!$B$5</f>
        <v>0</v>
      </c>
      <c r="E1293" s="2">
        <f t="shared" si="21"/>
        <v>0</v>
      </c>
      <c r="F1293" s="9"/>
      <c r="G1293" s="9"/>
      <c r="H1293" s="2">
        <f>IF(SUM(F1293:G1293)&gt;Instructions!$B$5,"Error",SUM(F1293:G1293))</f>
        <v>0</v>
      </c>
      <c r="I1293" s="8"/>
    </row>
    <row r="1294" spans="1:9">
      <c r="A1294" s="8"/>
      <c r="B1294" s="8"/>
      <c r="C1294" s="2">
        <f>F1294/Instructions!$B$5</f>
        <v>0</v>
      </c>
      <c r="D1294" s="2">
        <f>G1294/Instructions!$B$5</f>
        <v>0</v>
      </c>
      <c r="E1294" s="2">
        <f t="shared" si="21"/>
        <v>0</v>
      </c>
      <c r="F1294" s="9"/>
      <c r="G1294" s="9"/>
      <c r="H1294" s="2">
        <f>IF(SUM(F1294:G1294)&gt;Instructions!$B$5,"Error",SUM(F1294:G1294))</f>
        <v>0</v>
      </c>
      <c r="I1294" s="8"/>
    </row>
    <row r="1295" spans="1:9">
      <c r="A1295" s="8"/>
      <c r="B1295" s="8"/>
      <c r="C1295" s="2">
        <f>F1295/Instructions!$B$5</f>
        <v>0</v>
      </c>
      <c r="D1295" s="2">
        <f>G1295/Instructions!$B$5</f>
        <v>0</v>
      </c>
      <c r="E1295" s="2">
        <f t="shared" si="21"/>
        <v>0</v>
      </c>
      <c r="F1295" s="9"/>
      <c r="G1295" s="9"/>
      <c r="H1295" s="2">
        <f>IF(SUM(F1295:G1295)&gt;Instructions!$B$5,"Error",SUM(F1295:G1295))</f>
        <v>0</v>
      </c>
      <c r="I1295" s="8"/>
    </row>
    <row r="1296" spans="1:9">
      <c r="A1296" s="8"/>
      <c r="B1296" s="8"/>
      <c r="C1296" s="2">
        <f>F1296/Instructions!$B$5</f>
        <v>0</v>
      </c>
      <c r="D1296" s="2">
        <f>G1296/Instructions!$B$5</f>
        <v>0</v>
      </c>
      <c r="E1296" s="2">
        <f t="shared" si="21"/>
        <v>0</v>
      </c>
      <c r="F1296" s="9"/>
      <c r="G1296" s="9"/>
      <c r="H1296" s="2">
        <f>IF(SUM(F1296:G1296)&gt;Instructions!$B$5,"Error",SUM(F1296:G1296))</f>
        <v>0</v>
      </c>
      <c r="I1296" s="8"/>
    </row>
    <row r="1297" spans="1:9">
      <c r="A1297" s="8"/>
      <c r="B1297" s="8"/>
      <c r="C1297" s="2">
        <f>F1297/Instructions!$B$5</f>
        <v>0</v>
      </c>
      <c r="D1297" s="2">
        <f>G1297/Instructions!$B$5</f>
        <v>0</v>
      </c>
      <c r="E1297" s="2">
        <f t="shared" si="21"/>
        <v>0</v>
      </c>
      <c r="F1297" s="9"/>
      <c r="G1297" s="9"/>
      <c r="H1297" s="2">
        <f>IF(SUM(F1297:G1297)&gt;Instructions!$B$5,"Error",SUM(F1297:G1297))</f>
        <v>0</v>
      </c>
      <c r="I1297" s="8"/>
    </row>
    <row r="1298" spans="1:9">
      <c r="A1298" s="8"/>
      <c r="B1298" s="8"/>
      <c r="C1298" s="2">
        <f>F1298/Instructions!$B$5</f>
        <v>0</v>
      </c>
      <c r="D1298" s="2">
        <f>G1298/Instructions!$B$5</f>
        <v>0</v>
      </c>
      <c r="E1298" s="2">
        <f t="shared" si="21"/>
        <v>0</v>
      </c>
      <c r="F1298" s="9"/>
      <c r="G1298" s="9"/>
      <c r="H1298" s="2">
        <f>IF(SUM(F1298:G1298)&gt;Instructions!$B$5,"Error",SUM(F1298:G1298))</f>
        <v>0</v>
      </c>
      <c r="I1298" s="8"/>
    </row>
    <row r="1299" spans="1:9">
      <c r="A1299" s="8"/>
      <c r="B1299" s="8"/>
      <c r="C1299" s="2">
        <f>F1299/Instructions!$B$5</f>
        <v>0</v>
      </c>
      <c r="D1299" s="2">
        <f>G1299/Instructions!$B$5</f>
        <v>0</v>
      </c>
      <c r="E1299" s="2">
        <f t="shared" si="21"/>
        <v>0</v>
      </c>
      <c r="F1299" s="9"/>
      <c r="G1299" s="9"/>
      <c r="H1299" s="2">
        <f>IF(SUM(F1299:G1299)&gt;Instructions!$B$5,"Error",SUM(F1299:G1299))</f>
        <v>0</v>
      </c>
      <c r="I1299" s="8"/>
    </row>
    <row r="1300" spans="1:9">
      <c r="A1300" s="8"/>
      <c r="B1300" s="8"/>
      <c r="C1300" s="2">
        <f>F1300/Instructions!$B$5</f>
        <v>0</v>
      </c>
      <c r="D1300" s="2">
        <f>G1300/Instructions!$B$5</f>
        <v>0</v>
      </c>
      <c r="E1300" s="2">
        <f t="shared" si="21"/>
        <v>0</v>
      </c>
      <c r="F1300" s="9"/>
      <c r="G1300" s="9"/>
      <c r="H1300" s="2">
        <f>IF(SUM(F1300:G1300)&gt;Instructions!$B$5,"Error",SUM(F1300:G1300))</f>
        <v>0</v>
      </c>
      <c r="I1300" s="8"/>
    </row>
    <row r="1301" spans="1:9">
      <c r="A1301" s="8"/>
      <c r="B1301" s="8"/>
      <c r="C1301" s="2">
        <f>F1301/Instructions!$B$5</f>
        <v>0</v>
      </c>
      <c r="D1301" s="2">
        <f>G1301/Instructions!$B$5</f>
        <v>0</v>
      </c>
      <c r="E1301" s="2">
        <f t="shared" si="21"/>
        <v>0</v>
      </c>
      <c r="F1301" s="9"/>
      <c r="G1301" s="9"/>
      <c r="H1301" s="2">
        <f>IF(SUM(F1301:G1301)&gt;Instructions!$B$5,"Error",SUM(F1301:G1301))</f>
        <v>0</v>
      </c>
      <c r="I1301" s="8"/>
    </row>
    <row r="1302" spans="1:9">
      <c r="A1302" s="8"/>
      <c r="B1302" s="8"/>
      <c r="C1302" s="2">
        <f>F1302/Instructions!$B$5</f>
        <v>0</v>
      </c>
      <c r="D1302" s="2">
        <f>G1302/Instructions!$B$5</f>
        <v>0</v>
      </c>
      <c r="E1302" s="2">
        <f t="shared" si="21"/>
        <v>0</v>
      </c>
      <c r="F1302" s="9"/>
      <c r="G1302" s="9"/>
      <c r="H1302" s="2">
        <f>IF(SUM(F1302:G1302)&gt;Instructions!$B$5,"Error",SUM(F1302:G1302))</f>
        <v>0</v>
      </c>
      <c r="I1302" s="8"/>
    </row>
    <row r="1303" spans="1:9">
      <c r="A1303" s="8"/>
      <c r="B1303" s="8"/>
      <c r="C1303" s="2">
        <f>F1303/Instructions!$B$5</f>
        <v>0</v>
      </c>
      <c r="D1303" s="2">
        <f>G1303/Instructions!$B$5</f>
        <v>0</v>
      </c>
      <c r="E1303" s="2">
        <f t="shared" si="21"/>
        <v>0</v>
      </c>
      <c r="F1303" s="9"/>
      <c r="G1303" s="9"/>
      <c r="H1303" s="2">
        <f>IF(SUM(F1303:G1303)&gt;Instructions!$B$5,"Error",SUM(F1303:G1303))</f>
        <v>0</v>
      </c>
      <c r="I1303" s="8"/>
    </row>
    <row r="1304" spans="1:9">
      <c r="A1304" s="8"/>
      <c r="B1304" s="8"/>
      <c r="C1304" s="2">
        <f>F1304/Instructions!$B$5</f>
        <v>0</v>
      </c>
      <c r="D1304" s="2">
        <f>G1304/Instructions!$B$5</f>
        <v>0</v>
      </c>
      <c r="E1304" s="2">
        <f t="shared" si="21"/>
        <v>0</v>
      </c>
      <c r="F1304" s="9"/>
      <c r="G1304" s="9"/>
      <c r="H1304" s="2">
        <f>IF(SUM(F1304:G1304)&gt;Instructions!$B$5,"Error",SUM(F1304:G1304))</f>
        <v>0</v>
      </c>
      <c r="I1304" s="8"/>
    </row>
    <row r="1305" spans="1:9">
      <c r="A1305" s="8"/>
      <c r="B1305" s="8"/>
      <c r="C1305" s="2">
        <f>F1305/Instructions!$B$5</f>
        <v>0</v>
      </c>
      <c r="D1305" s="2">
        <f>G1305/Instructions!$B$5</f>
        <v>0</v>
      </c>
      <c r="E1305" s="2">
        <f t="shared" si="21"/>
        <v>0</v>
      </c>
      <c r="F1305" s="9"/>
      <c r="G1305" s="9"/>
      <c r="H1305" s="2">
        <f>IF(SUM(F1305:G1305)&gt;Instructions!$B$5,"Error",SUM(F1305:G1305))</f>
        <v>0</v>
      </c>
      <c r="I1305" s="8"/>
    </row>
    <row r="1306" spans="1:9">
      <c r="A1306" s="8"/>
      <c r="B1306" s="8"/>
      <c r="C1306" s="2">
        <f>F1306/Instructions!$B$5</f>
        <v>0</v>
      </c>
      <c r="D1306" s="2">
        <f>G1306/Instructions!$B$5</f>
        <v>0</v>
      </c>
      <c r="E1306" s="2">
        <f t="shared" si="21"/>
        <v>0</v>
      </c>
      <c r="F1306" s="9"/>
      <c r="G1306" s="9"/>
      <c r="H1306" s="2">
        <f>IF(SUM(F1306:G1306)&gt;Instructions!$B$5,"Error",SUM(F1306:G1306))</f>
        <v>0</v>
      </c>
      <c r="I1306" s="8"/>
    </row>
    <row r="1307" spans="1:9">
      <c r="A1307" s="8"/>
      <c r="B1307" s="8"/>
      <c r="C1307" s="2">
        <f>F1307/Instructions!$B$5</f>
        <v>0</v>
      </c>
      <c r="D1307" s="2">
        <f>G1307/Instructions!$B$5</f>
        <v>0</v>
      </c>
      <c r="E1307" s="2">
        <f t="shared" si="21"/>
        <v>0</v>
      </c>
      <c r="F1307" s="9"/>
      <c r="G1307" s="9"/>
      <c r="H1307" s="2">
        <f>IF(SUM(F1307:G1307)&gt;Instructions!$B$5,"Error",SUM(F1307:G1307))</f>
        <v>0</v>
      </c>
      <c r="I1307" s="8"/>
    </row>
    <row r="1308" spans="1:9">
      <c r="A1308" s="8"/>
      <c r="B1308" s="8"/>
      <c r="C1308" s="2">
        <f>F1308/Instructions!$B$5</f>
        <v>0</v>
      </c>
      <c r="D1308" s="2">
        <f>G1308/Instructions!$B$5</f>
        <v>0</v>
      </c>
      <c r="E1308" s="2">
        <f t="shared" si="21"/>
        <v>0</v>
      </c>
      <c r="F1308" s="9"/>
      <c r="G1308" s="9"/>
      <c r="H1308" s="2">
        <f>IF(SUM(F1308:G1308)&gt;Instructions!$B$5,"Error",SUM(F1308:G1308))</f>
        <v>0</v>
      </c>
      <c r="I1308" s="8"/>
    </row>
    <row r="1309" spans="1:9">
      <c r="A1309" s="8"/>
      <c r="B1309" s="8"/>
      <c r="C1309" s="2">
        <f>F1309/Instructions!$B$5</f>
        <v>0</v>
      </c>
      <c r="D1309" s="2">
        <f>G1309/Instructions!$B$5</f>
        <v>0</v>
      </c>
      <c r="E1309" s="2">
        <f t="shared" si="21"/>
        <v>0</v>
      </c>
      <c r="F1309" s="9"/>
      <c r="G1309" s="9"/>
      <c r="H1309" s="2">
        <f>IF(SUM(F1309:G1309)&gt;Instructions!$B$5,"Error",SUM(F1309:G1309))</f>
        <v>0</v>
      </c>
      <c r="I1309" s="8"/>
    </row>
    <row r="1310" spans="1:9">
      <c r="A1310" s="8"/>
      <c r="B1310" s="8"/>
      <c r="C1310" s="2">
        <f>F1310/Instructions!$B$5</f>
        <v>0</v>
      </c>
      <c r="D1310" s="2">
        <f>G1310/Instructions!$B$5</f>
        <v>0</v>
      </c>
      <c r="E1310" s="2">
        <f t="shared" si="21"/>
        <v>0</v>
      </c>
      <c r="F1310" s="9"/>
      <c r="G1310" s="9"/>
      <c r="H1310" s="2">
        <f>IF(SUM(F1310:G1310)&gt;Instructions!$B$5,"Error",SUM(F1310:G1310))</f>
        <v>0</v>
      </c>
      <c r="I1310" s="8"/>
    </row>
    <row r="1311" spans="1:9">
      <c r="A1311" s="8"/>
      <c r="B1311" s="8"/>
      <c r="C1311" s="2">
        <f>F1311/Instructions!$B$5</f>
        <v>0</v>
      </c>
      <c r="D1311" s="2">
        <f>G1311/Instructions!$B$5</f>
        <v>0</v>
      </c>
      <c r="E1311" s="2">
        <f t="shared" si="21"/>
        <v>0</v>
      </c>
      <c r="F1311" s="9"/>
      <c r="G1311" s="9"/>
      <c r="H1311" s="2">
        <f>IF(SUM(F1311:G1311)&gt;Instructions!$B$5,"Error",SUM(F1311:G1311))</f>
        <v>0</v>
      </c>
      <c r="I1311" s="8"/>
    </row>
    <row r="1312" spans="1:9">
      <c r="A1312" s="8"/>
      <c r="B1312" s="8"/>
      <c r="C1312" s="2">
        <f>F1312/Instructions!$B$5</f>
        <v>0</v>
      </c>
      <c r="D1312" s="2">
        <f>G1312/Instructions!$B$5</f>
        <v>0</v>
      </c>
      <c r="E1312" s="2">
        <f t="shared" si="21"/>
        <v>0</v>
      </c>
      <c r="F1312" s="9"/>
      <c r="G1312" s="9"/>
      <c r="H1312" s="2">
        <f>IF(SUM(F1312:G1312)&gt;Instructions!$B$5,"Error",SUM(F1312:G1312))</f>
        <v>0</v>
      </c>
      <c r="I1312" s="8"/>
    </row>
    <row r="1313" spans="1:9">
      <c r="A1313" s="8"/>
      <c r="B1313" s="8"/>
      <c r="C1313" s="2">
        <f>F1313/Instructions!$B$5</f>
        <v>0</v>
      </c>
      <c r="D1313" s="2">
        <f>G1313/Instructions!$B$5</f>
        <v>0</v>
      </c>
      <c r="E1313" s="2">
        <f t="shared" si="21"/>
        <v>0</v>
      </c>
      <c r="F1313" s="9"/>
      <c r="G1313" s="9"/>
      <c r="H1313" s="2">
        <f>IF(SUM(F1313:G1313)&gt;Instructions!$B$5,"Error",SUM(F1313:G1313))</f>
        <v>0</v>
      </c>
      <c r="I1313" s="8"/>
    </row>
    <row r="1314" spans="1:9">
      <c r="A1314" s="8"/>
      <c r="B1314" s="8"/>
      <c r="C1314" s="2">
        <f>F1314/Instructions!$B$5</f>
        <v>0</v>
      </c>
      <c r="D1314" s="2">
        <f>G1314/Instructions!$B$5</f>
        <v>0</v>
      </c>
      <c r="E1314" s="2">
        <f t="shared" si="21"/>
        <v>0</v>
      </c>
      <c r="F1314" s="9"/>
      <c r="G1314" s="9"/>
      <c r="H1314" s="2">
        <f>IF(SUM(F1314:G1314)&gt;Instructions!$B$5,"Error",SUM(F1314:G1314))</f>
        <v>0</v>
      </c>
      <c r="I1314" s="8"/>
    </row>
    <row r="1315" spans="1:9">
      <c r="A1315" s="8"/>
      <c r="B1315" s="8"/>
      <c r="C1315" s="2">
        <f>F1315/Instructions!$B$5</f>
        <v>0</v>
      </c>
      <c r="D1315" s="2">
        <f>G1315/Instructions!$B$5</f>
        <v>0</v>
      </c>
      <c r="E1315" s="2">
        <f t="shared" si="21"/>
        <v>0</v>
      </c>
      <c r="F1315" s="9"/>
      <c r="G1315" s="9"/>
      <c r="H1315" s="2">
        <f>IF(SUM(F1315:G1315)&gt;Instructions!$B$5,"Error",SUM(F1315:G1315))</f>
        <v>0</v>
      </c>
      <c r="I1315" s="8"/>
    </row>
    <row r="1316" spans="1:9">
      <c r="A1316" s="8"/>
      <c r="B1316" s="8"/>
      <c r="C1316" s="2">
        <f>F1316/Instructions!$B$5</f>
        <v>0</v>
      </c>
      <c r="D1316" s="2">
        <f>G1316/Instructions!$B$5</f>
        <v>0</v>
      </c>
      <c r="E1316" s="2">
        <f t="shared" si="21"/>
        <v>0</v>
      </c>
      <c r="F1316" s="9"/>
      <c r="G1316" s="9"/>
      <c r="H1316" s="2">
        <f>IF(SUM(F1316:G1316)&gt;Instructions!$B$5,"Error",SUM(F1316:G1316))</f>
        <v>0</v>
      </c>
      <c r="I1316" s="8"/>
    </row>
    <row r="1317" spans="1:9">
      <c r="A1317" s="8"/>
      <c r="B1317" s="8"/>
      <c r="C1317" s="2">
        <f>F1317/Instructions!$B$5</f>
        <v>0</v>
      </c>
      <c r="D1317" s="2">
        <f>G1317/Instructions!$B$5</f>
        <v>0</v>
      </c>
      <c r="E1317" s="2">
        <f t="shared" si="21"/>
        <v>0</v>
      </c>
      <c r="F1317" s="9"/>
      <c r="G1317" s="9"/>
      <c r="H1317" s="2">
        <f>IF(SUM(F1317:G1317)&gt;Instructions!$B$5,"Error",SUM(F1317:G1317))</f>
        <v>0</v>
      </c>
      <c r="I1317" s="8"/>
    </row>
    <row r="1318" spans="1:9">
      <c r="A1318" s="8"/>
      <c r="B1318" s="8"/>
      <c r="C1318" s="2">
        <f>F1318/Instructions!$B$5</f>
        <v>0</v>
      </c>
      <c r="D1318" s="2">
        <f>G1318/Instructions!$B$5</f>
        <v>0</v>
      </c>
      <c r="E1318" s="2">
        <f t="shared" si="21"/>
        <v>0</v>
      </c>
      <c r="F1318" s="9"/>
      <c r="G1318" s="9"/>
      <c r="H1318" s="2">
        <f>IF(SUM(F1318:G1318)&gt;Instructions!$B$5,"Error",SUM(F1318:G1318))</f>
        <v>0</v>
      </c>
      <c r="I1318" s="8"/>
    </row>
    <row r="1319" spans="1:9">
      <c r="A1319" s="8"/>
      <c r="B1319" s="8"/>
      <c r="C1319" s="2">
        <f>F1319/Instructions!$B$5</f>
        <v>0</v>
      </c>
      <c r="D1319" s="2">
        <f>G1319/Instructions!$B$5</f>
        <v>0</v>
      </c>
      <c r="E1319" s="2">
        <f t="shared" si="21"/>
        <v>0</v>
      </c>
      <c r="F1319" s="9"/>
      <c r="G1319" s="9"/>
      <c r="H1319" s="2">
        <f>IF(SUM(F1319:G1319)&gt;Instructions!$B$5,"Error",SUM(F1319:G1319))</f>
        <v>0</v>
      </c>
      <c r="I1319" s="8"/>
    </row>
    <row r="1320" spans="1:9">
      <c r="A1320" s="8"/>
      <c r="B1320" s="8"/>
      <c r="C1320" s="2">
        <f>F1320/Instructions!$B$5</f>
        <v>0</v>
      </c>
      <c r="D1320" s="2">
        <f>G1320/Instructions!$B$5</f>
        <v>0</v>
      </c>
      <c r="E1320" s="2">
        <f t="shared" si="21"/>
        <v>0</v>
      </c>
      <c r="F1320" s="9"/>
      <c r="G1320" s="9"/>
      <c r="H1320" s="2">
        <f>IF(SUM(F1320:G1320)&gt;Instructions!$B$5,"Error",SUM(F1320:G1320))</f>
        <v>0</v>
      </c>
      <c r="I1320" s="8"/>
    </row>
    <row r="1321" spans="1:9">
      <c r="A1321" s="8"/>
      <c r="B1321" s="8"/>
      <c r="C1321" s="2">
        <f>F1321/Instructions!$B$5</f>
        <v>0</v>
      </c>
      <c r="D1321" s="2">
        <f>G1321/Instructions!$B$5</f>
        <v>0</v>
      </c>
      <c r="E1321" s="2">
        <f t="shared" si="21"/>
        <v>0</v>
      </c>
      <c r="F1321" s="9"/>
      <c r="G1321" s="9"/>
      <c r="H1321" s="2">
        <f>IF(SUM(F1321:G1321)&gt;Instructions!$B$5,"Error",SUM(F1321:G1321))</f>
        <v>0</v>
      </c>
      <c r="I1321" s="8"/>
    </row>
    <row r="1322" spans="1:9">
      <c r="A1322" s="8"/>
      <c r="B1322" s="8"/>
      <c r="C1322" s="2">
        <f>F1322/Instructions!$B$5</f>
        <v>0</v>
      </c>
      <c r="D1322" s="2">
        <f>G1322/Instructions!$B$5</f>
        <v>0</v>
      </c>
      <c r="E1322" s="2">
        <f t="shared" si="21"/>
        <v>0</v>
      </c>
      <c r="F1322" s="9"/>
      <c r="G1322" s="9"/>
      <c r="H1322" s="2">
        <f>IF(SUM(F1322:G1322)&gt;Instructions!$B$5,"Error",SUM(F1322:G1322))</f>
        <v>0</v>
      </c>
      <c r="I1322" s="8"/>
    </row>
    <row r="1323" spans="1:9">
      <c r="A1323" s="8"/>
      <c r="B1323" s="8"/>
      <c r="C1323" s="2">
        <f>F1323/Instructions!$B$5</f>
        <v>0</v>
      </c>
      <c r="D1323" s="2">
        <f>G1323/Instructions!$B$5</f>
        <v>0</v>
      </c>
      <c r="E1323" s="2">
        <f t="shared" si="21"/>
        <v>0</v>
      </c>
      <c r="F1323" s="9"/>
      <c r="G1323" s="9"/>
      <c r="H1323" s="2">
        <f>IF(SUM(F1323:G1323)&gt;Instructions!$B$5,"Error",SUM(F1323:G1323))</f>
        <v>0</v>
      </c>
      <c r="I1323" s="8"/>
    </row>
    <row r="1324" spans="1:9">
      <c r="A1324" s="8"/>
      <c r="B1324" s="8"/>
      <c r="C1324" s="2">
        <f>F1324/Instructions!$B$5</f>
        <v>0</v>
      </c>
      <c r="D1324" s="2">
        <f>G1324/Instructions!$B$5</f>
        <v>0</v>
      </c>
      <c r="E1324" s="2">
        <f t="shared" si="21"/>
        <v>0</v>
      </c>
      <c r="F1324" s="9"/>
      <c r="G1324" s="9"/>
      <c r="H1324" s="2">
        <f>IF(SUM(F1324:G1324)&gt;Instructions!$B$5,"Error",SUM(F1324:G1324))</f>
        <v>0</v>
      </c>
      <c r="I1324" s="8"/>
    </row>
    <row r="1325" spans="1:9">
      <c r="A1325" s="8"/>
      <c r="B1325" s="8"/>
      <c r="C1325" s="2">
        <f>F1325/Instructions!$B$5</f>
        <v>0</v>
      </c>
      <c r="D1325" s="2">
        <f>G1325/Instructions!$B$5</f>
        <v>0</v>
      </c>
      <c r="E1325" s="2">
        <f t="shared" si="21"/>
        <v>0</v>
      </c>
      <c r="F1325" s="9"/>
      <c r="G1325" s="9"/>
      <c r="H1325" s="2">
        <f>IF(SUM(F1325:G1325)&gt;Instructions!$B$5,"Error",SUM(F1325:G1325))</f>
        <v>0</v>
      </c>
      <c r="I1325" s="8"/>
    </row>
    <row r="1326" spans="1:9">
      <c r="A1326" s="8"/>
      <c r="B1326" s="8"/>
      <c r="C1326" s="2">
        <f>F1326/Instructions!$B$5</f>
        <v>0</v>
      </c>
      <c r="D1326" s="2">
        <f>G1326/Instructions!$B$5</f>
        <v>0</v>
      </c>
      <c r="E1326" s="2">
        <f t="shared" si="21"/>
        <v>0</v>
      </c>
      <c r="F1326" s="9"/>
      <c r="G1326" s="9"/>
      <c r="H1326" s="2">
        <f>IF(SUM(F1326:G1326)&gt;Instructions!$B$5,"Error",SUM(F1326:G1326))</f>
        <v>0</v>
      </c>
      <c r="I1326" s="8"/>
    </row>
    <row r="1327" spans="1:9">
      <c r="A1327" s="8"/>
      <c r="B1327" s="8"/>
      <c r="C1327" s="2">
        <f>F1327/Instructions!$B$5</f>
        <v>0</v>
      </c>
      <c r="D1327" s="2">
        <f>G1327/Instructions!$B$5</f>
        <v>0</v>
      </c>
      <c r="E1327" s="2">
        <f t="shared" si="21"/>
        <v>0</v>
      </c>
      <c r="F1327" s="9"/>
      <c r="G1327" s="9"/>
      <c r="H1327" s="2">
        <f>IF(SUM(F1327:G1327)&gt;Instructions!$B$5,"Error",SUM(F1327:G1327))</f>
        <v>0</v>
      </c>
      <c r="I1327" s="8"/>
    </row>
    <row r="1328" spans="1:9">
      <c r="A1328" s="8"/>
      <c r="B1328" s="8"/>
      <c r="C1328" s="2">
        <f>F1328/Instructions!$B$5</f>
        <v>0</v>
      </c>
      <c r="D1328" s="2">
        <f>G1328/Instructions!$B$5</f>
        <v>0</v>
      </c>
      <c r="E1328" s="2">
        <f t="shared" si="21"/>
        <v>0</v>
      </c>
      <c r="F1328" s="9"/>
      <c r="G1328" s="9"/>
      <c r="H1328" s="2">
        <f>IF(SUM(F1328:G1328)&gt;Instructions!$B$5,"Error",SUM(F1328:G1328))</f>
        <v>0</v>
      </c>
      <c r="I1328" s="8"/>
    </row>
    <row r="1329" spans="1:9">
      <c r="A1329" s="8"/>
      <c r="B1329" s="8"/>
      <c r="C1329" s="2">
        <f>F1329/Instructions!$B$5</f>
        <v>0</v>
      </c>
      <c r="D1329" s="2">
        <f>G1329/Instructions!$B$5</f>
        <v>0</v>
      </c>
      <c r="E1329" s="2">
        <f t="shared" si="21"/>
        <v>0</v>
      </c>
      <c r="F1329" s="9"/>
      <c r="G1329" s="9"/>
      <c r="H1329" s="2">
        <f>IF(SUM(F1329:G1329)&gt;Instructions!$B$5,"Error",SUM(F1329:G1329))</f>
        <v>0</v>
      </c>
      <c r="I1329" s="8"/>
    </row>
    <row r="1330" spans="1:9">
      <c r="A1330" s="8"/>
      <c r="B1330" s="8"/>
      <c r="C1330" s="2">
        <f>F1330/Instructions!$B$5</f>
        <v>0</v>
      </c>
      <c r="D1330" s="2">
        <f>G1330/Instructions!$B$5</f>
        <v>0</v>
      </c>
      <c r="E1330" s="2">
        <f t="shared" si="21"/>
        <v>0</v>
      </c>
      <c r="F1330" s="9"/>
      <c r="G1330" s="9"/>
      <c r="H1330" s="2">
        <f>IF(SUM(F1330:G1330)&gt;Instructions!$B$5,"Error",SUM(F1330:G1330))</f>
        <v>0</v>
      </c>
      <c r="I1330" s="8"/>
    </row>
    <row r="1331" spans="1:9">
      <c r="A1331" s="8"/>
      <c r="B1331" s="8"/>
      <c r="C1331" s="2">
        <f>F1331/Instructions!$B$5</f>
        <v>0</v>
      </c>
      <c r="D1331" s="2">
        <f>G1331/Instructions!$B$5</f>
        <v>0</v>
      </c>
      <c r="E1331" s="2">
        <f t="shared" si="21"/>
        <v>0</v>
      </c>
      <c r="F1331" s="9"/>
      <c r="G1331" s="9"/>
      <c r="H1331" s="2">
        <f>IF(SUM(F1331:G1331)&gt;Instructions!$B$5,"Error",SUM(F1331:G1331))</f>
        <v>0</v>
      </c>
      <c r="I1331" s="8"/>
    </row>
    <row r="1332" spans="1:9">
      <c r="A1332" s="8"/>
      <c r="B1332" s="8"/>
      <c r="C1332" s="2">
        <f>F1332/Instructions!$B$5</f>
        <v>0</v>
      </c>
      <c r="D1332" s="2">
        <f>G1332/Instructions!$B$5</f>
        <v>0</v>
      </c>
      <c r="E1332" s="2">
        <f t="shared" si="21"/>
        <v>0</v>
      </c>
      <c r="F1332" s="9"/>
      <c r="G1332" s="9"/>
      <c r="H1332" s="2">
        <f>IF(SUM(F1332:G1332)&gt;Instructions!$B$5,"Error",SUM(F1332:G1332))</f>
        <v>0</v>
      </c>
      <c r="I1332" s="8"/>
    </row>
    <row r="1333" spans="1:9">
      <c r="A1333" s="8"/>
      <c r="B1333" s="8"/>
      <c r="C1333" s="2">
        <f>F1333/Instructions!$B$5</f>
        <v>0</v>
      </c>
      <c r="D1333" s="2">
        <f>G1333/Instructions!$B$5</f>
        <v>0</v>
      </c>
      <c r="E1333" s="2">
        <f t="shared" si="21"/>
        <v>0</v>
      </c>
      <c r="F1333" s="9"/>
      <c r="G1333" s="9"/>
      <c r="H1333" s="2">
        <f>IF(SUM(F1333:G1333)&gt;Instructions!$B$5,"Error",SUM(F1333:G1333))</f>
        <v>0</v>
      </c>
      <c r="I1333" s="8"/>
    </row>
    <row r="1334" spans="1:9">
      <c r="A1334" s="8"/>
      <c r="B1334" s="8"/>
      <c r="C1334" s="2">
        <f>F1334/Instructions!$B$5</f>
        <v>0</v>
      </c>
      <c r="D1334" s="2">
        <f>G1334/Instructions!$B$5</f>
        <v>0</v>
      </c>
      <c r="E1334" s="2">
        <f t="shared" si="21"/>
        <v>0</v>
      </c>
      <c r="F1334" s="9"/>
      <c r="G1334" s="9"/>
      <c r="H1334" s="2">
        <f>IF(SUM(F1334:G1334)&gt;Instructions!$B$5,"Error",SUM(F1334:G1334))</f>
        <v>0</v>
      </c>
      <c r="I1334" s="8"/>
    </row>
    <row r="1335" spans="1:9">
      <c r="A1335" s="8"/>
      <c r="B1335" s="8"/>
      <c r="C1335" s="2">
        <f>F1335/Instructions!$B$5</f>
        <v>0</v>
      </c>
      <c r="D1335" s="2">
        <f>G1335/Instructions!$B$5</f>
        <v>0</v>
      </c>
      <c r="E1335" s="2">
        <f t="shared" si="21"/>
        <v>0</v>
      </c>
      <c r="F1335" s="9"/>
      <c r="G1335" s="9"/>
      <c r="H1335" s="2">
        <f>IF(SUM(F1335:G1335)&gt;Instructions!$B$5,"Error",SUM(F1335:G1335))</f>
        <v>0</v>
      </c>
      <c r="I1335" s="8"/>
    </row>
    <row r="1336" spans="1:9">
      <c r="A1336" s="8"/>
      <c r="B1336" s="8"/>
      <c r="C1336" s="2">
        <f>F1336/Instructions!$B$5</f>
        <v>0</v>
      </c>
      <c r="D1336" s="2">
        <f>G1336/Instructions!$B$5</f>
        <v>0</v>
      </c>
      <c r="E1336" s="2">
        <f t="shared" si="21"/>
        <v>0</v>
      </c>
      <c r="F1336" s="9"/>
      <c r="G1336" s="9"/>
      <c r="H1336" s="2">
        <f>IF(SUM(F1336:G1336)&gt;Instructions!$B$5,"Error",SUM(F1336:G1336))</f>
        <v>0</v>
      </c>
      <c r="I1336" s="8"/>
    </row>
    <row r="1337" spans="1:9">
      <c r="A1337" s="8"/>
      <c r="B1337" s="8"/>
      <c r="C1337" s="2">
        <f>F1337/Instructions!$B$5</f>
        <v>0</v>
      </c>
      <c r="D1337" s="2">
        <f>G1337/Instructions!$B$5</f>
        <v>0</v>
      </c>
      <c r="E1337" s="2">
        <f t="shared" si="21"/>
        <v>0</v>
      </c>
      <c r="F1337" s="9"/>
      <c r="G1337" s="9"/>
      <c r="H1337" s="2">
        <f>IF(SUM(F1337:G1337)&gt;Instructions!$B$5,"Error",SUM(F1337:G1337))</f>
        <v>0</v>
      </c>
      <c r="I1337" s="8"/>
    </row>
    <row r="1338" spans="1:9">
      <c r="A1338" s="8"/>
      <c r="B1338" s="8"/>
      <c r="C1338" s="2">
        <f>F1338/Instructions!$B$5</f>
        <v>0</v>
      </c>
      <c r="D1338" s="2">
        <f>G1338/Instructions!$B$5</f>
        <v>0</v>
      </c>
      <c r="E1338" s="2">
        <f t="shared" si="21"/>
        <v>0</v>
      </c>
      <c r="F1338" s="9"/>
      <c r="G1338" s="9"/>
      <c r="H1338" s="2">
        <f>IF(SUM(F1338:G1338)&gt;Instructions!$B$5,"Error",SUM(F1338:G1338))</f>
        <v>0</v>
      </c>
      <c r="I1338" s="8"/>
    </row>
    <row r="1339" spans="1:9">
      <c r="A1339" s="8"/>
      <c r="B1339" s="8"/>
      <c r="C1339" s="2">
        <f>F1339/Instructions!$B$5</f>
        <v>0</v>
      </c>
      <c r="D1339" s="2">
        <f>G1339/Instructions!$B$5</f>
        <v>0</v>
      </c>
      <c r="E1339" s="2">
        <f t="shared" si="21"/>
        <v>0</v>
      </c>
      <c r="F1339" s="9"/>
      <c r="G1339" s="9"/>
      <c r="H1339" s="2">
        <f>IF(SUM(F1339:G1339)&gt;Instructions!$B$5,"Error",SUM(F1339:G1339))</f>
        <v>0</v>
      </c>
      <c r="I1339" s="8"/>
    </row>
    <row r="1340" spans="1:9">
      <c r="A1340" s="8"/>
      <c r="B1340" s="8"/>
      <c r="C1340" s="2">
        <f>F1340/Instructions!$B$5</f>
        <v>0</v>
      </c>
      <c r="D1340" s="2">
        <f>G1340/Instructions!$B$5</f>
        <v>0</v>
      </c>
      <c r="E1340" s="2">
        <f t="shared" si="21"/>
        <v>0</v>
      </c>
      <c r="F1340" s="9"/>
      <c r="G1340" s="9"/>
      <c r="H1340" s="2">
        <f>IF(SUM(F1340:G1340)&gt;Instructions!$B$5,"Error",SUM(F1340:G1340))</f>
        <v>0</v>
      </c>
      <c r="I1340" s="8"/>
    </row>
    <row r="1341" spans="1:9">
      <c r="A1341" s="8"/>
      <c r="B1341" s="8"/>
      <c r="C1341" s="2">
        <f>F1341/Instructions!$B$5</f>
        <v>0</v>
      </c>
      <c r="D1341" s="2">
        <f>G1341/Instructions!$B$5</f>
        <v>0</v>
      </c>
      <c r="E1341" s="2">
        <f t="shared" si="21"/>
        <v>0</v>
      </c>
      <c r="F1341" s="9"/>
      <c r="G1341" s="9"/>
      <c r="H1341" s="2">
        <f>IF(SUM(F1341:G1341)&gt;Instructions!$B$5,"Error",SUM(F1341:G1341))</f>
        <v>0</v>
      </c>
      <c r="I1341" s="8"/>
    </row>
    <row r="1342" spans="1:9">
      <c r="A1342" s="8"/>
      <c r="B1342" s="8"/>
      <c r="C1342" s="2">
        <f>F1342/Instructions!$B$5</f>
        <v>0</v>
      </c>
      <c r="D1342" s="2">
        <f>G1342/Instructions!$B$5</f>
        <v>0</v>
      </c>
      <c r="E1342" s="2">
        <f t="shared" si="21"/>
        <v>0</v>
      </c>
      <c r="F1342" s="9"/>
      <c r="G1342" s="9"/>
      <c r="H1342" s="2">
        <f>IF(SUM(F1342:G1342)&gt;Instructions!$B$5,"Error",SUM(F1342:G1342))</f>
        <v>0</v>
      </c>
      <c r="I1342" s="8"/>
    </row>
    <row r="1343" spans="1:9">
      <c r="A1343" s="8"/>
      <c r="B1343" s="8"/>
      <c r="C1343" s="2">
        <f>F1343/Instructions!$B$5</f>
        <v>0</v>
      </c>
      <c r="D1343" s="2">
        <f>G1343/Instructions!$B$5</f>
        <v>0</v>
      </c>
      <c r="E1343" s="2">
        <f t="shared" si="21"/>
        <v>0</v>
      </c>
      <c r="F1343" s="9"/>
      <c r="G1343" s="9"/>
      <c r="H1343" s="2">
        <f>IF(SUM(F1343:G1343)&gt;Instructions!$B$5,"Error",SUM(F1343:G1343))</f>
        <v>0</v>
      </c>
      <c r="I1343" s="8"/>
    </row>
    <row r="1344" spans="1:9">
      <c r="A1344" s="8"/>
      <c r="B1344" s="8"/>
      <c r="C1344" s="2">
        <f>F1344/Instructions!$B$5</f>
        <v>0</v>
      </c>
      <c r="D1344" s="2">
        <f>G1344/Instructions!$B$5</f>
        <v>0</v>
      </c>
      <c r="E1344" s="2">
        <f t="shared" si="21"/>
        <v>0</v>
      </c>
      <c r="F1344" s="9"/>
      <c r="G1344" s="9"/>
      <c r="H1344" s="2">
        <f>IF(SUM(F1344:G1344)&gt;Instructions!$B$5,"Error",SUM(F1344:G1344))</f>
        <v>0</v>
      </c>
      <c r="I1344" s="8"/>
    </row>
    <row r="1345" spans="1:9">
      <c r="A1345" s="8"/>
      <c r="B1345" s="8"/>
      <c r="C1345" s="2">
        <f>F1345/Instructions!$B$5</f>
        <v>0</v>
      </c>
      <c r="D1345" s="2">
        <f>G1345/Instructions!$B$5</f>
        <v>0</v>
      </c>
      <c r="E1345" s="2">
        <f t="shared" si="21"/>
        <v>0</v>
      </c>
      <c r="F1345" s="9"/>
      <c r="G1345" s="9"/>
      <c r="H1345" s="2">
        <f>IF(SUM(F1345:G1345)&gt;Instructions!$B$5,"Error",SUM(F1345:G1345))</f>
        <v>0</v>
      </c>
      <c r="I1345" s="8"/>
    </row>
    <row r="1346" spans="1:9">
      <c r="A1346" s="8"/>
      <c r="B1346" s="8"/>
      <c r="C1346" s="2">
        <f>F1346/Instructions!$B$5</f>
        <v>0</v>
      </c>
      <c r="D1346" s="2">
        <f>G1346/Instructions!$B$5</f>
        <v>0</v>
      </c>
      <c r="E1346" s="2">
        <f t="shared" si="21"/>
        <v>0</v>
      </c>
      <c r="F1346" s="9"/>
      <c r="G1346" s="9"/>
      <c r="H1346" s="2">
        <f>IF(SUM(F1346:G1346)&gt;Instructions!$B$5,"Error",SUM(F1346:G1346))</f>
        <v>0</v>
      </c>
      <c r="I1346" s="8"/>
    </row>
    <row r="1347" spans="1:9">
      <c r="A1347" s="8"/>
      <c r="B1347" s="8"/>
      <c r="C1347" s="2">
        <f>F1347/Instructions!$B$5</f>
        <v>0</v>
      </c>
      <c r="D1347" s="2">
        <f>G1347/Instructions!$B$5</f>
        <v>0</v>
      </c>
      <c r="E1347" s="2">
        <f t="shared" si="21"/>
        <v>0</v>
      </c>
      <c r="F1347" s="9"/>
      <c r="G1347" s="9"/>
      <c r="H1347" s="2">
        <f>IF(SUM(F1347:G1347)&gt;Instructions!$B$5,"Error",SUM(F1347:G1347))</f>
        <v>0</v>
      </c>
      <c r="I1347" s="8"/>
    </row>
    <row r="1348" spans="1:9">
      <c r="A1348" s="8"/>
      <c r="B1348" s="8"/>
      <c r="C1348" s="2">
        <f>F1348/Instructions!$B$5</f>
        <v>0</v>
      </c>
      <c r="D1348" s="2">
        <f>G1348/Instructions!$B$5</f>
        <v>0</v>
      </c>
      <c r="E1348" s="2">
        <f t="shared" si="21"/>
        <v>0</v>
      </c>
      <c r="F1348" s="9"/>
      <c r="G1348" s="9"/>
      <c r="H1348" s="2">
        <f>IF(SUM(F1348:G1348)&gt;Instructions!$B$5,"Error",SUM(F1348:G1348))</f>
        <v>0</v>
      </c>
      <c r="I1348" s="8"/>
    </row>
    <row r="1349" spans="1:9">
      <c r="A1349" s="8"/>
      <c r="B1349" s="8"/>
      <c r="C1349" s="2">
        <f>F1349/Instructions!$B$5</f>
        <v>0</v>
      </c>
      <c r="D1349" s="2">
        <f>G1349/Instructions!$B$5</f>
        <v>0</v>
      </c>
      <c r="E1349" s="2">
        <f t="shared" si="21"/>
        <v>0</v>
      </c>
      <c r="F1349" s="9"/>
      <c r="G1349" s="9"/>
      <c r="H1349" s="2">
        <f>IF(SUM(F1349:G1349)&gt;Instructions!$B$5,"Error",SUM(F1349:G1349))</f>
        <v>0</v>
      </c>
      <c r="I1349" s="8"/>
    </row>
    <row r="1350" spans="1:9">
      <c r="A1350" s="8"/>
      <c r="B1350" s="8"/>
      <c r="C1350" s="2">
        <f>F1350/Instructions!$B$5</f>
        <v>0</v>
      </c>
      <c r="D1350" s="2">
        <f>G1350/Instructions!$B$5</f>
        <v>0</v>
      </c>
      <c r="E1350" s="2">
        <f t="shared" si="21"/>
        <v>0</v>
      </c>
      <c r="F1350" s="9"/>
      <c r="G1350" s="9"/>
      <c r="H1350" s="2">
        <f>IF(SUM(F1350:G1350)&gt;Instructions!$B$5,"Error",SUM(F1350:G1350))</f>
        <v>0</v>
      </c>
      <c r="I1350" s="8"/>
    </row>
    <row r="1351" spans="1:9">
      <c r="A1351" s="8"/>
      <c r="B1351" s="8"/>
      <c r="C1351" s="2">
        <f>F1351/Instructions!$B$5</f>
        <v>0</v>
      </c>
      <c r="D1351" s="2">
        <f>G1351/Instructions!$B$5</f>
        <v>0</v>
      </c>
      <c r="E1351" s="2">
        <f t="shared" si="21"/>
        <v>0</v>
      </c>
      <c r="F1351" s="9"/>
      <c r="G1351" s="9"/>
      <c r="H1351" s="2">
        <f>IF(SUM(F1351:G1351)&gt;Instructions!$B$5,"Error",SUM(F1351:G1351))</f>
        <v>0</v>
      </c>
      <c r="I1351" s="8"/>
    </row>
    <row r="1352" spans="1:9">
      <c r="A1352" s="8"/>
      <c r="B1352" s="8"/>
      <c r="C1352" s="2">
        <f>F1352/Instructions!$B$5</f>
        <v>0</v>
      </c>
      <c r="D1352" s="2">
        <f>G1352/Instructions!$B$5</f>
        <v>0</v>
      </c>
      <c r="E1352" s="2">
        <f t="shared" ref="E1352:E1415" si="22">IF(SUM(C1352:D1352)&gt;1,"Error",SUM(C1352:D1352))</f>
        <v>0</v>
      </c>
      <c r="F1352" s="9"/>
      <c r="G1352" s="9"/>
      <c r="H1352" s="2">
        <f>IF(SUM(F1352:G1352)&gt;Instructions!$B$5,"Error",SUM(F1352:G1352))</f>
        <v>0</v>
      </c>
      <c r="I1352" s="8"/>
    </row>
    <row r="1353" spans="1:9">
      <c r="A1353" s="8"/>
      <c r="B1353" s="8"/>
      <c r="C1353" s="2">
        <f>F1353/Instructions!$B$5</f>
        <v>0</v>
      </c>
      <c r="D1353" s="2">
        <f>G1353/Instructions!$B$5</f>
        <v>0</v>
      </c>
      <c r="E1353" s="2">
        <f t="shared" si="22"/>
        <v>0</v>
      </c>
      <c r="F1353" s="9"/>
      <c r="G1353" s="9"/>
      <c r="H1353" s="2">
        <f>IF(SUM(F1353:G1353)&gt;Instructions!$B$5,"Error",SUM(F1353:G1353))</f>
        <v>0</v>
      </c>
      <c r="I1353" s="8"/>
    </row>
    <row r="1354" spans="1:9">
      <c r="A1354" s="8"/>
      <c r="B1354" s="8"/>
      <c r="C1354" s="2">
        <f>F1354/Instructions!$B$5</f>
        <v>0</v>
      </c>
      <c r="D1354" s="2">
        <f>G1354/Instructions!$B$5</f>
        <v>0</v>
      </c>
      <c r="E1354" s="2">
        <f t="shared" si="22"/>
        <v>0</v>
      </c>
      <c r="F1354" s="9"/>
      <c r="G1354" s="9"/>
      <c r="H1354" s="2">
        <f>IF(SUM(F1354:G1354)&gt;Instructions!$B$5,"Error",SUM(F1354:G1354))</f>
        <v>0</v>
      </c>
      <c r="I1354" s="8"/>
    </row>
    <row r="1355" spans="1:9">
      <c r="A1355" s="8"/>
      <c r="B1355" s="8"/>
      <c r="C1355" s="2">
        <f>F1355/Instructions!$B$5</f>
        <v>0</v>
      </c>
      <c r="D1355" s="2">
        <f>G1355/Instructions!$B$5</f>
        <v>0</v>
      </c>
      <c r="E1355" s="2">
        <f t="shared" si="22"/>
        <v>0</v>
      </c>
      <c r="F1355" s="9"/>
      <c r="G1355" s="9"/>
      <c r="H1355" s="2">
        <f>IF(SUM(F1355:G1355)&gt;Instructions!$B$5,"Error",SUM(F1355:G1355))</f>
        <v>0</v>
      </c>
      <c r="I1355" s="8"/>
    </row>
    <row r="1356" spans="1:9">
      <c r="A1356" s="8"/>
      <c r="B1356" s="8"/>
      <c r="C1356" s="2">
        <f>F1356/Instructions!$B$5</f>
        <v>0</v>
      </c>
      <c r="D1356" s="2">
        <f>G1356/Instructions!$B$5</f>
        <v>0</v>
      </c>
      <c r="E1356" s="2">
        <f t="shared" si="22"/>
        <v>0</v>
      </c>
      <c r="F1356" s="9"/>
      <c r="G1356" s="9"/>
      <c r="H1356" s="2">
        <f>IF(SUM(F1356:G1356)&gt;Instructions!$B$5,"Error",SUM(F1356:G1356))</f>
        <v>0</v>
      </c>
      <c r="I1356" s="8"/>
    </row>
    <row r="1357" spans="1:9">
      <c r="A1357" s="8"/>
      <c r="B1357" s="8"/>
      <c r="C1357" s="2">
        <f>F1357/Instructions!$B$5</f>
        <v>0</v>
      </c>
      <c r="D1357" s="2">
        <f>G1357/Instructions!$B$5</f>
        <v>0</v>
      </c>
      <c r="E1357" s="2">
        <f t="shared" si="22"/>
        <v>0</v>
      </c>
      <c r="F1357" s="9"/>
      <c r="G1357" s="9"/>
      <c r="H1357" s="2">
        <f>IF(SUM(F1357:G1357)&gt;Instructions!$B$5,"Error",SUM(F1357:G1357))</f>
        <v>0</v>
      </c>
      <c r="I1357" s="8"/>
    </row>
    <row r="1358" spans="1:9">
      <c r="A1358" s="8"/>
      <c r="B1358" s="8"/>
      <c r="C1358" s="2">
        <f>F1358/Instructions!$B$5</f>
        <v>0</v>
      </c>
      <c r="D1358" s="2">
        <f>G1358/Instructions!$B$5</f>
        <v>0</v>
      </c>
      <c r="E1358" s="2">
        <f t="shared" si="22"/>
        <v>0</v>
      </c>
      <c r="F1358" s="9"/>
      <c r="G1358" s="9"/>
      <c r="H1358" s="2">
        <f>IF(SUM(F1358:G1358)&gt;Instructions!$B$5,"Error",SUM(F1358:G1358))</f>
        <v>0</v>
      </c>
      <c r="I1358" s="8"/>
    </row>
    <row r="1359" spans="1:9">
      <c r="A1359" s="8"/>
      <c r="B1359" s="8"/>
      <c r="C1359" s="2">
        <f>F1359/Instructions!$B$5</f>
        <v>0</v>
      </c>
      <c r="D1359" s="2">
        <f>G1359/Instructions!$B$5</f>
        <v>0</v>
      </c>
      <c r="E1359" s="2">
        <f t="shared" si="22"/>
        <v>0</v>
      </c>
      <c r="F1359" s="9"/>
      <c r="G1359" s="9"/>
      <c r="H1359" s="2">
        <f>IF(SUM(F1359:G1359)&gt;Instructions!$B$5,"Error",SUM(F1359:G1359))</f>
        <v>0</v>
      </c>
      <c r="I1359" s="8"/>
    </row>
    <row r="1360" spans="1:9">
      <c r="A1360" s="8"/>
      <c r="B1360" s="8"/>
      <c r="C1360" s="2">
        <f>F1360/Instructions!$B$5</f>
        <v>0</v>
      </c>
      <c r="D1360" s="2">
        <f>G1360/Instructions!$B$5</f>
        <v>0</v>
      </c>
      <c r="E1360" s="2">
        <f t="shared" si="22"/>
        <v>0</v>
      </c>
      <c r="F1360" s="9"/>
      <c r="G1360" s="9"/>
      <c r="H1360" s="2">
        <f>IF(SUM(F1360:G1360)&gt;Instructions!$B$5,"Error",SUM(F1360:G1360))</f>
        <v>0</v>
      </c>
      <c r="I1360" s="8"/>
    </row>
    <row r="1361" spans="1:9">
      <c r="A1361" s="8"/>
      <c r="B1361" s="8"/>
      <c r="C1361" s="2">
        <f>F1361/Instructions!$B$5</f>
        <v>0</v>
      </c>
      <c r="D1361" s="2">
        <f>G1361/Instructions!$B$5</f>
        <v>0</v>
      </c>
      <c r="E1361" s="2">
        <f t="shared" si="22"/>
        <v>0</v>
      </c>
      <c r="F1361" s="9"/>
      <c r="G1361" s="9"/>
      <c r="H1361" s="2">
        <f>IF(SUM(F1361:G1361)&gt;Instructions!$B$5,"Error",SUM(F1361:G1361))</f>
        <v>0</v>
      </c>
      <c r="I1361" s="8"/>
    </row>
    <row r="1362" spans="1:9">
      <c r="A1362" s="8"/>
      <c r="B1362" s="8"/>
      <c r="C1362" s="2">
        <f>F1362/Instructions!$B$5</f>
        <v>0</v>
      </c>
      <c r="D1362" s="2">
        <f>G1362/Instructions!$B$5</f>
        <v>0</v>
      </c>
      <c r="E1362" s="2">
        <f t="shared" si="22"/>
        <v>0</v>
      </c>
      <c r="F1362" s="9"/>
      <c r="G1362" s="9"/>
      <c r="H1362" s="2">
        <f>IF(SUM(F1362:G1362)&gt;Instructions!$B$5,"Error",SUM(F1362:G1362))</f>
        <v>0</v>
      </c>
      <c r="I1362" s="8"/>
    </row>
    <row r="1363" spans="1:9">
      <c r="A1363" s="8"/>
      <c r="B1363" s="8"/>
      <c r="C1363" s="2">
        <f>F1363/Instructions!$B$5</f>
        <v>0</v>
      </c>
      <c r="D1363" s="2">
        <f>G1363/Instructions!$B$5</f>
        <v>0</v>
      </c>
      <c r="E1363" s="2">
        <f t="shared" si="22"/>
        <v>0</v>
      </c>
      <c r="F1363" s="9"/>
      <c r="G1363" s="9"/>
      <c r="H1363" s="2">
        <f>IF(SUM(F1363:G1363)&gt;Instructions!$B$5,"Error",SUM(F1363:G1363))</f>
        <v>0</v>
      </c>
      <c r="I1363" s="8"/>
    </row>
    <row r="1364" spans="1:9">
      <c r="A1364" s="8"/>
      <c r="B1364" s="8"/>
      <c r="C1364" s="2">
        <f>F1364/Instructions!$B$5</f>
        <v>0</v>
      </c>
      <c r="D1364" s="2">
        <f>G1364/Instructions!$B$5</f>
        <v>0</v>
      </c>
      <c r="E1364" s="2">
        <f t="shared" si="22"/>
        <v>0</v>
      </c>
      <c r="F1364" s="9"/>
      <c r="G1364" s="9"/>
      <c r="H1364" s="2">
        <f>IF(SUM(F1364:G1364)&gt;Instructions!$B$5,"Error",SUM(F1364:G1364))</f>
        <v>0</v>
      </c>
      <c r="I1364" s="8"/>
    </row>
    <row r="1365" spans="1:9">
      <c r="A1365" s="8"/>
      <c r="B1365" s="8"/>
      <c r="C1365" s="2">
        <f>F1365/Instructions!$B$5</f>
        <v>0</v>
      </c>
      <c r="D1365" s="2">
        <f>G1365/Instructions!$B$5</f>
        <v>0</v>
      </c>
      <c r="E1365" s="2">
        <f t="shared" si="22"/>
        <v>0</v>
      </c>
      <c r="F1365" s="9"/>
      <c r="G1365" s="9"/>
      <c r="H1365" s="2">
        <f>IF(SUM(F1365:G1365)&gt;Instructions!$B$5,"Error",SUM(F1365:G1365))</f>
        <v>0</v>
      </c>
      <c r="I1365" s="8"/>
    </row>
    <row r="1366" spans="1:9">
      <c r="A1366" s="8"/>
      <c r="B1366" s="8"/>
      <c r="C1366" s="2">
        <f>F1366/Instructions!$B$5</f>
        <v>0</v>
      </c>
      <c r="D1366" s="2">
        <f>G1366/Instructions!$B$5</f>
        <v>0</v>
      </c>
      <c r="E1366" s="2">
        <f t="shared" si="22"/>
        <v>0</v>
      </c>
      <c r="F1366" s="9"/>
      <c r="G1366" s="9"/>
      <c r="H1366" s="2">
        <f>IF(SUM(F1366:G1366)&gt;Instructions!$B$5,"Error",SUM(F1366:G1366))</f>
        <v>0</v>
      </c>
      <c r="I1366" s="8"/>
    </row>
    <row r="1367" spans="1:9">
      <c r="A1367" s="8"/>
      <c r="B1367" s="8"/>
      <c r="C1367" s="2">
        <f>F1367/Instructions!$B$5</f>
        <v>0</v>
      </c>
      <c r="D1367" s="2">
        <f>G1367/Instructions!$B$5</f>
        <v>0</v>
      </c>
      <c r="E1367" s="2">
        <f t="shared" si="22"/>
        <v>0</v>
      </c>
      <c r="F1367" s="9"/>
      <c r="G1367" s="9"/>
      <c r="H1367" s="2">
        <f>IF(SUM(F1367:G1367)&gt;Instructions!$B$5,"Error",SUM(F1367:G1367))</f>
        <v>0</v>
      </c>
      <c r="I1367" s="8"/>
    </row>
    <row r="1368" spans="1:9">
      <c r="A1368" s="8"/>
      <c r="B1368" s="8"/>
      <c r="C1368" s="2">
        <f>F1368/Instructions!$B$5</f>
        <v>0</v>
      </c>
      <c r="D1368" s="2">
        <f>G1368/Instructions!$B$5</f>
        <v>0</v>
      </c>
      <c r="E1368" s="2">
        <f t="shared" si="22"/>
        <v>0</v>
      </c>
      <c r="F1368" s="9"/>
      <c r="G1368" s="9"/>
      <c r="H1368" s="2">
        <f>IF(SUM(F1368:G1368)&gt;Instructions!$B$5,"Error",SUM(F1368:G1368))</f>
        <v>0</v>
      </c>
      <c r="I1368" s="8"/>
    </row>
    <row r="1369" spans="1:9">
      <c r="A1369" s="8"/>
      <c r="B1369" s="8"/>
      <c r="C1369" s="2">
        <f>F1369/Instructions!$B$5</f>
        <v>0</v>
      </c>
      <c r="D1369" s="2">
        <f>G1369/Instructions!$B$5</f>
        <v>0</v>
      </c>
      <c r="E1369" s="2">
        <f t="shared" si="22"/>
        <v>0</v>
      </c>
      <c r="F1369" s="9"/>
      <c r="G1369" s="9"/>
      <c r="H1369" s="2">
        <f>IF(SUM(F1369:G1369)&gt;Instructions!$B$5,"Error",SUM(F1369:G1369))</f>
        <v>0</v>
      </c>
      <c r="I1369" s="8"/>
    </row>
    <row r="1370" spans="1:9">
      <c r="A1370" s="8"/>
      <c r="B1370" s="8"/>
      <c r="C1370" s="2">
        <f>F1370/Instructions!$B$5</f>
        <v>0</v>
      </c>
      <c r="D1370" s="2">
        <f>G1370/Instructions!$B$5</f>
        <v>0</v>
      </c>
      <c r="E1370" s="2">
        <f t="shared" si="22"/>
        <v>0</v>
      </c>
      <c r="F1370" s="9"/>
      <c r="G1370" s="9"/>
      <c r="H1370" s="2">
        <f>IF(SUM(F1370:G1370)&gt;Instructions!$B$5,"Error",SUM(F1370:G1370))</f>
        <v>0</v>
      </c>
      <c r="I1370" s="8"/>
    </row>
    <row r="1371" spans="1:9">
      <c r="A1371" s="8"/>
      <c r="B1371" s="8"/>
      <c r="C1371" s="2">
        <f>F1371/Instructions!$B$5</f>
        <v>0</v>
      </c>
      <c r="D1371" s="2">
        <f>G1371/Instructions!$B$5</f>
        <v>0</v>
      </c>
      <c r="E1371" s="2">
        <f t="shared" si="22"/>
        <v>0</v>
      </c>
      <c r="F1371" s="9"/>
      <c r="G1371" s="9"/>
      <c r="H1371" s="2">
        <f>IF(SUM(F1371:G1371)&gt;Instructions!$B$5,"Error",SUM(F1371:G1371))</f>
        <v>0</v>
      </c>
      <c r="I1371" s="8"/>
    </row>
    <row r="1372" spans="1:9">
      <c r="A1372" s="8"/>
      <c r="B1372" s="8"/>
      <c r="C1372" s="2">
        <f>F1372/Instructions!$B$5</f>
        <v>0</v>
      </c>
      <c r="D1372" s="2">
        <f>G1372/Instructions!$B$5</f>
        <v>0</v>
      </c>
      <c r="E1372" s="2">
        <f t="shared" si="22"/>
        <v>0</v>
      </c>
      <c r="F1372" s="9"/>
      <c r="G1372" s="9"/>
      <c r="H1372" s="2">
        <f>IF(SUM(F1372:G1372)&gt;Instructions!$B$5,"Error",SUM(F1372:G1372))</f>
        <v>0</v>
      </c>
      <c r="I1372" s="8"/>
    </row>
    <row r="1373" spans="1:9">
      <c r="A1373" s="8"/>
      <c r="B1373" s="8"/>
      <c r="C1373" s="2">
        <f>F1373/Instructions!$B$5</f>
        <v>0</v>
      </c>
      <c r="D1373" s="2">
        <f>G1373/Instructions!$B$5</f>
        <v>0</v>
      </c>
      <c r="E1373" s="2">
        <f t="shared" si="22"/>
        <v>0</v>
      </c>
      <c r="F1373" s="9"/>
      <c r="G1373" s="9"/>
      <c r="H1373" s="2">
        <f>IF(SUM(F1373:G1373)&gt;Instructions!$B$5,"Error",SUM(F1373:G1373))</f>
        <v>0</v>
      </c>
      <c r="I1373" s="8"/>
    </row>
    <row r="1374" spans="1:9">
      <c r="A1374" s="8"/>
      <c r="B1374" s="8"/>
      <c r="C1374" s="2">
        <f>F1374/Instructions!$B$5</f>
        <v>0</v>
      </c>
      <c r="D1374" s="2">
        <f>G1374/Instructions!$B$5</f>
        <v>0</v>
      </c>
      <c r="E1374" s="2">
        <f t="shared" si="22"/>
        <v>0</v>
      </c>
      <c r="F1374" s="9"/>
      <c r="G1374" s="9"/>
      <c r="H1374" s="2">
        <f>IF(SUM(F1374:G1374)&gt;Instructions!$B$5,"Error",SUM(F1374:G1374))</f>
        <v>0</v>
      </c>
      <c r="I1374" s="8"/>
    </row>
    <row r="1375" spans="1:9">
      <c r="A1375" s="8"/>
      <c r="B1375" s="8"/>
      <c r="C1375" s="2">
        <f>F1375/Instructions!$B$5</f>
        <v>0</v>
      </c>
      <c r="D1375" s="2">
        <f>G1375/Instructions!$B$5</f>
        <v>0</v>
      </c>
      <c r="E1375" s="2">
        <f t="shared" si="22"/>
        <v>0</v>
      </c>
      <c r="F1375" s="9"/>
      <c r="G1375" s="9"/>
      <c r="H1375" s="2">
        <f>IF(SUM(F1375:G1375)&gt;Instructions!$B$5,"Error",SUM(F1375:G1375))</f>
        <v>0</v>
      </c>
      <c r="I1375" s="8"/>
    </row>
    <row r="1376" spans="1:9">
      <c r="A1376" s="8"/>
      <c r="B1376" s="8"/>
      <c r="C1376" s="2">
        <f>F1376/Instructions!$B$5</f>
        <v>0</v>
      </c>
      <c r="D1376" s="2">
        <f>G1376/Instructions!$B$5</f>
        <v>0</v>
      </c>
      <c r="E1376" s="2">
        <f t="shared" si="22"/>
        <v>0</v>
      </c>
      <c r="F1376" s="9"/>
      <c r="G1376" s="9"/>
      <c r="H1376" s="2">
        <f>IF(SUM(F1376:G1376)&gt;Instructions!$B$5,"Error",SUM(F1376:G1376))</f>
        <v>0</v>
      </c>
      <c r="I1376" s="8"/>
    </row>
    <row r="1377" spans="1:9">
      <c r="A1377" s="8"/>
      <c r="B1377" s="8"/>
      <c r="C1377" s="2">
        <f>F1377/Instructions!$B$5</f>
        <v>0</v>
      </c>
      <c r="D1377" s="2">
        <f>G1377/Instructions!$B$5</f>
        <v>0</v>
      </c>
      <c r="E1377" s="2">
        <f t="shared" si="22"/>
        <v>0</v>
      </c>
      <c r="F1377" s="9"/>
      <c r="G1377" s="9"/>
      <c r="H1377" s="2">
        <f>IF(SUM(F1377:G1377)&gt;Instructions!$B$5,"Error",SUM(F1377:G1377))</f>
        <v>0</v>
      </c>
      <c r="I1377" s="8"/>
    </row>
    <row r="1378" spans="1:9">
      <c r="A1378" s="8"/>
      <c r="B1378" s="8"/>
      <c r="C1378" s="2">
        <f>F1378/Instructions!$B$5</f>
        <v>0</v>
      </c>
      <c r="D1378" s="2">
        <f>G1378/Instructions!$B$5</f>
        <v>0</v>
      </c>
      <c r="E1378" s="2">
        <f t="shared" si="22"/>
        <v>0</v>
      </c>
      <c r="F1378" s="9"/>
      <c r="G1378" s="9"/>
      <c r="H1378" s="2">
        <f>IF(SUM(F1378:G1378)&gt;Instructions!$B$5,"Error",SUM(F1378:G1378))</f>
        <v>0</v>
      </c>
      <c r="I1378" s="8"/>
    </row>
    <row r="1379" spans="1:9">
      <c r="A1379" s="8"/>
      <c r="B1379" s="8"/>
      <c r="C1379" s="2">
        <f>F1379/Instructions!$B$5</f>
        <v>0</v>
      </c>
      <c r="D1379" s="2">
        <f>G1379/Instructions!$B$5</f>
        <v>0</v>
      </c>
      <c r="E1379" s="2">
        <f t="shared" si="22"/>
        <v>0</v>
      </c>
      <c r="F1379" s="9"/>
      <c r="G1379" s="9"/>
      <c r="H1379" s="2">
        <f>IF(SUM(F1379:G1379)&gt;Instructions!$B$5,"Error",SUM(F1379:G1379))</f>
        <v>0</v>
      </c>
      <c r="I1379" s="8"/>
    </row>
    <row r="1380" spans="1:9">
      <c r="A1380" s="8"/>
      <c r="B1380" s="8"/>
      <c r="C1380" s="2">
        <f>F1380/Instructions!$B$5</f>
        <v>0</v>
      </c>
      <c r="D1380" s="2">
        <f>G1380/Instructions!$B$5</f>
        <v>0</v>
      </c>
      <c r="E1380" s="2">
        <f t="shared" si="22"/>
        <v>0</v>
      </c>
      <c r="F1380" s="9"/>
      <c r="G1380" s="9"/>
      <c r="H1380" s="2">
        <f>IF(SUM(F1380:G1380)&gt;Instructions!$B$5,"Error",SUM(F1380:G1380))</f>
        <v>0</v>
      </c>
      <c r="I1380" s="8"/>
    </row>
    <row r="1381" spans="1:9">
      <c r="A1381" s="8"/>
      <c r="B1381" s="8"/>
      <c r="C1381" s="2">
        <f>F1381/Instructions!$B$5</f>
        <v>0</v>
      </c>
      <c r="D1381" s="2">
        <f>G1381/Instructions!$B$5</f>
        <v>0</v>
      </c>
      <c r="E1381" s="2">
        <f t="shared" si="22"/>
        <v>0</v>
      </c>
      <c r="F1381" s="9"/>
      <c r="G1381" s="9"/>
      <c r="H1381" s="2">
        <f>IF(SUM(F1381:G1381)&gt;Instructions!$B$5,"Error",SUM(F1381:G1381))</f>
        <v>0</v>
      </c>
      <c r="I1381" s="8"/>
    </row>
    <row r="1382" spans="1:9">
      <c r="A1382" s="8"/>
      <c r="B1382" s="8"/>
      <c r="C1382" s="2">
        <f>F1382/Instructions!$B$5</f>
        <v>0</v>
      </c>
      <c r="D1382" s="2">
        <f>G1382/Instructions!$B$5</f>
        <v>0</v>
      </c>
      <c r="E1382" s="2">
        <f t="shared" si="22"/>
        <v>0</v>
      </c>
      <c r="F1382" s="9"/>
      <c r="G1382" s="9"/>
      <c r="H1382" s="2">
        <f>IF(SUM(F1382:G1382)&gt;Instructions!$B$5,"Error",SUM(F1382:G1382))</f>
        <v>0</v>
      </c>
      <c r="I1382" s="8"/>
    </row>
    <row r="1383" spans="1:9">
      <c r="A1383" s="8"/>
      <c r="B1383" s="8"/>
      <c r="C1383" s="2">
        <f>F1383/Instructions!$B$5</f>
        <v>0</v>
      </c>
      <c r="D1383" s="2">
        <f>G1383/Instructions!$B$5</f>
        <v>0</v>
      </c>
      <c r="E1383" s="2">
        <f t="shared" si="22"/>
        <v>0</v>
      </c>
      <c r="F1383" s="9"/>
      <c r="G1383" s="9"/>
      <c r="H1383" s="2">
        <f>IF(SUM(F1383:G1383)&gt;Instructions!$B$5,"Error",SUM(F1383:G1383))</f>
        <v>0</v>
      </c>
      <c r="I1383" s="8"/>
    </row>
    <row r="1384" spans="1:9">
      <c r="A1384" s="8"/>
      <c r="B1384" s="8"/>
      <c r="C1384" s="2">
        <f>F1384/Instructions!$B$5</f>
        <v>0</v>
      </c>
      <c r="D1384" s="2">
        <f>G1384/Instructions!$B$5</f>
        <v>0</v>
      </c>
      <c r="E1384" s="2">
        <f t="shared" si="22"/>
        <v>0</v>
      </c>
      <c r="F1384" s="9"/>
      <c r="G1384" s="9"/>
      <c r="H1384" s="2">
        <f>IF(SUM(F1384:G1384)&gt;Instructions!$B$5,"Error",SUM(F1384:G1384))</f>
        <v>0</v>
      </c>
      <c r="I1384" s="8"/>
    </row>
    <row r="1385" spans="1:9">
      <c r="A1385" s="8"/>
      <c r="B1385" s="8"/>
      <c r="C1385" s="2">
        <f>F1385/Instructions!$B$5</f>
        <v>0</v>
      </c>
      <c r="D1385" s="2">
        <f>G1385/Instructions!$B$5</f>
        <v>0</v>
      </c>
      <c r="E1385" s="2">
        <f t="shared" si="22"/>
        <v>0</v>
      </c>
      <c r="F1385" s="9"/>
      <c r="G1385" s="9"/>
      <c r="H1385" s="2">
        <f>IF(SUM(F1385:G1385)&gt;Instructions!$B$5,"Error",SUM(F1385:G1385))</f>
        <v>0</v>
      </c>
      <c r="I1385" s="8"/>
    </row>
    <row r="1386" spans="1:9">
      <c r="A1386" s="8"/>
      <c r="B1386" s="8"/>
      <c r="C1386" s="2">
        <f>F1386/Instructions!$B$5</f>
        <v>0</v>
      </c>
      <c r="D1386" s="2">
        <f>G1386/Instructions!$B$5</f>
        <v>0</v>
      </c>
      <c r="E1386" s="2">
        <f t="shared" si="22"/>
        <v>0</v>
      </c>
      <c r="F1386" s="9"/>
      <c r="G1386" s="9"/>
      <c r="H1386" s="2">
        <f>IF(SUM(F1386:G1386)&gt;Instructions!$B$5,"Error",SUM(F1386:G1386))</f>
        <v>0</v>
      </c>
      <c r="I1386" s="8"/>
    </row>
    <row r="1387" spans="1:9">
      <c r="A1387" s="8"/>
      <c r="B1387" s="8"/>
      <c r="C1387" s="2">
        <f>F1387/Instructions!$B$5</f>
        <v>0</v>
      </c>
      <c r="D1387" s="2">
        <f>G1387/Instructions!$B$5</f>
        <v>0</v>
      </c>
      <c r="E1387" s="2">
        <f t="shared" si="22"/>
        <v>0</v>
      </c>
      <c r="F1387" s="9"/>
      <c r="G1387" s="9"/>
      <c r="H1387" s="2">
        <f>IF(SUM(F1387:G1387)&gt;Instructions!$B$5,"Error",SUM(F1387:G1387))</f>
        <v>0</v>
      </c>
      <c r="I1387" s="8"/>
    </row>
    <row r="1388" spans="1:9">
      <c r="A1388" s="8"/>
      <c r="B1388" s="8"/>
      <c r="C1388" s="2">
        <f>F1388/Instructions!$B$5</f>
        <v>0</v>
      </c>
      <c r="D1388" s="2">
        <f>G1388/Instructions!$B$5</f>
        <v>0</v>
      </c>
      <c r="E1388" s="2">
        <f t="shared" si="22"/>
        <v>0</v>
      </c>
      <c r="F1388" s="9"/>
      <c r="G1388" s="9"/>
      <c r="H1388" s="2">
        <f>IF(SUM(F1388:G1388)&gt;Instructions!$B$5,"Error",SUM(F1388:G1388))</f>
        <v>0</v>
      </c>
      <c r="I1388" s="8"/>
    </row>
    <row r="1389" spans="1:9">
      <c r="A1389" s="8"/>
      <c r="B1389" s="8"/>
      <c r="C1389" s="2">
        <f>F1389/Instructions!$B$5</f>
        <v>0</v>
      </c>
      <c r="D1389" s="2">
        <f>G1389/Instructions!$B$5</f>
        <v>0</v>
      </c>
      <c r="E1389" s="2">
        <f t="shared" si="22"/>
        <v>0</v>
      </c>
      <c r="F1389" s="9"/>
      <c r="G1389" s="9"/>
      <c r="H1389" s="2">
        <f>IF(SUM(F1389:G1389)&gt;Instructions!$B$5,"Error",SUM(F1389:G1389))</f>
        <v>0</v>
      </c>
      <c r="I1389" s="8"/>
    </row>
    <row r="1390" spans="1:9">
      <c r="A1390" s="8"/>
      <c r="B1390" s="8"/>
      <c r="C1390" s="2">
        <f>F1390/Instructions!$B$5</f>
        <v>0</v>
      </c>
      <c r="D1390" s="2">
        <f>G1390/Instructions!$B$5</f>
        <v>0</v>
      </c>
      <c r="E1390" s="2">
        <f t="shared" si="22"/>
        <v>0</v>
      </c>
      <c r="F1390" s="9"/>
      <c r="G1390" s="9"/>
      <c r="H1390" s="2">
        <f>IF(SUM(F1390:G1390)&gt;Instructions!$B$5,"Error",SUM(F1390:G1390))</f>
        <v>0</v>
      </c>
      <c r="I1390" s="8"/>
    </row>
    <row r="1391" spans="1:9">
      <c r="A1391" s="8"/>
      <c r="B1391" s="8"/>
      <c r="C1391" s="2">
        <f>F1391/Instructions!$B$5</f>
        <v>0</v>
      </c>
      <c r="D1391" s="2">
        <f>G1391/Instructions!$B$5</f>
        <v>0</v>
      </c>
      <c r="E1391" s="2">
        <f t="shared" si="22"/>
        <v>0</v>
      </c>
      <c r="F1391" s="9"/>
      <c r="G1391" s="9"/>
      <c r="H1391" s="2">
        <f>IF(SUM(F1391:G1391)&gt;Instructions!$B$5,"Error",SUM(F1391:G1391))</f>
        <v>0</v>
      </c>
      <c r="I1391" s="8"/>
    </row>
    <row r="1392" spans="1:9">
      <c r="A1392" s="8"/>
      <c r="B1392" s="8"/>
      <c r="C1392" s="2">
        <f>F1392/Instructions!$B$5</f>
        <v>0</v>
      </c>
      <c r="D1392" s="2">
        <f>G1392/Instructions!$B$5</f>
        <v>0</v>
      </c>
      <c r="E1392" s="2">
        <f t="shared" si="22"/>
        <v>0</v>
      </c>
      <c r="F1392" s="9"/>
      <c r="G1392" s="9"/>
      <c r="H1392" s="2">
        <f>IF(SUM(F1392:G1392)&gt;Instructions!$B$5,"Error",SUM(F1392:G1392))</f>
        <v>0</v>
      </c>
      <c r="I1392" s="8"/>
    </row>
    <row r="1393" spans="1:9">
      <c r="A1393" s="8"/>
      <c r="B1393" s="8"/>
      <c r="C1393" s="2">
        <f>F1393/Instructions!$B$5</f>
        <v>0</v>
      </c>
      <c r="D1393" s="2">
        <f>G1393/Instructions!$B$5</f>
        <v>0</v>
      </c>
      <c r="E1393" s="2">
        <f t="shared" si="22"/>
        <v>0</v>
      </c>
      <c r="F1393" s="9"/>
      <c r="G1393" s="9"/>
      <c r="H1393" s="2">
        <f>IF(SUM(F1393:G1393)&gt;Instructions!$B$5,"Error",SUM(F1393:G1393))</f>
        <v>0</v>
      </c>
      <c r="I1393" s="8"/>
    </row>
    <row r="1394" spans="1:9">
      <c r="A1394" s="8"/>
      <c r="B1394" s="8"/>
      <c r="C1394" s="2">
        <f>F1394/Instructions!$B$5</f>
        <v>0</v>
      </c>
      <c r="D1394" s="2">
        <f>G1394/Instructions!$B$5</f>
        <v>0</v>
      </c>
      <c r="E1394" s="2">
        <f t="shared" si="22"/>
        <v>0</v>
      </c>
      <c r="F1394" s="9"/>
      <c r="G1394" s="9"/>
      <c r="H1394" s="2">
        <f>IF(SUM(F1394:G1394)&gt;Instructions!$B$5,"Error",SUM(F1394:G1394))</f>
        <v>0</v>
      </c>
      <c r="I1394" s="8"/>
    </row>
    <row r="1395" spans="1:9">
      <c r="A1395" s="8"/>
      <c r="B1395" s="8"/>
      <c r="C1395" s="2">
        <f>F1395/Instructions!$B$5</f>
        <v>0</v>
      </c>
      <c r="D1395" s="2">
        <f>G1395/Instructions!$B$5</f>
        <v>0</v>
      </c>
      <c r="E1395" s="2">
        <f t="shared" si="22"/>
        <v>0</v>
      </c>
      <c r="F1395" s="9"/>
      <c r="G1395" s="9"/>
      <c r="H1395" s="2">
        <f>IF(SUM(F1395:G1395)&gt;Instructions!$B$5,"Error",SUM(F1395:G1395))</f>
        <v>0</v>
      </c>
      <c r="I1395" s="8"/>
    </row>
    <row r="1396" spans="1:9">
      <c r="A1396" s="8"/>
      <c r="B1396" s="8"/>
      <c r="C1396" s="2">
        <f>F1396/Instructions!$B$5</f>
        <v>0</v>
      </c>
      <c r="D1396" s="2">
        <f>G1396/Instructions!$B$5</f>
        <v>0</v>
      </c>
      <c r="E1396" s="2">
        <f t="shared" si="22"/>
        <v>0</v>
      </c>
      <c r="F1396" s="9"/>
      <c r="G1396" s="9"/>
      <c r="H1396" s="2">
        <f>IF(SUM(F1396:G1396)&gt;Instructions!$B$5,"Error",SUM(F1396:G1396))</f>
        <v>0</v>
      </c>
      <c r="I1396" s="8"/>
    </row>
    <row r="1397" spans="1:9">
      <c r="A1397" s="8"/>
      <c r="B1397" s="8"/>
      <c r="C1397" s="2">
        <f>F1397/Instructions!$B$5</f>
        <v>0</v>
      </c>
      <c r="D1397" s="2">
        <f>G1397/Instructions!$B$5</f>
        <v>0</v>
      </c>
      <c r="E1397" s="2">
        <f t="shared" si="22"/>
        <v>0</v>
      </c>
      <c r="F1397" s="9"/>
      <c r="G1397" s="9"/>
      <c r="H1397" s="2">
        <f>IF(SUM(F1397:G1397)&gt;Instructions!$B$5,"Error",SUM(F1397:G1397))</f>
        <v>0</v>
      </c>
      <c r="I1397" s="8"/>
    </row>
    <row r="1398" spans="1:9">
      <c r="A1398" s="8"/>
      <c r="B1398" s="8"/>
      <c r="C1398" s="2">
        <f>F1398/Instructions!$B$5</f>
        <v>0</v>
      </c>
      <c r="D1398" s="2">
        <f>G1398/Instructions!$B$5</f>
        <v>0</v>
      </c>
      <c r="E1398" s="2">
        <f t="shared" si="22"/>
        <v>0</v>
      </c>
      <c r="F1398" s="9"/>
      <c r="G1398" s="9"/>
      <c r="H1398" s="2">
        <f>IF(SUM(F1398:G1398)&gt;Instructions!$B$5,"Error",SUM(F1398:G1398))</f>
        <v>0</v>
      </c>
      <c r="I1398" s="8"/>
    </row>
    <row r="1399" spans="1:9">
      <c r="A1399" s="8"/>
      <c r="B1399" s="8"/>
      <c r="C1399" s="2">
        <f>F1399/Instructions!$B$5</f>
        <v>0</v>
      </c>
      <c r="D1399" s="2">
        <f>G1399/Instructions!$B$5</f>
        <v>0</v>
      </c>
      <c r="E1399" s="2">
        <f t="shared" si="22"/>
        <v>0</v>
      </c>
      <c r="F1399" s="9"/>
      <c r="G1399" s="9"/>
      <c r="H1399" s="2">
        <f>IF(SUM(F1399:G1399)&gt;Instructions!$B$5,"Error",SUM(F1399:G1399))</f>
        <v>0</v>
      </c>
      <c r="I1399" s="8"/>
    </row>
    <row r="1400" spans="1:9">
      <c r="A1400" s="8"/>
      <c r="B1400" s="8"/>
      <c r="C1400" s="2">
        <f>F1400/Instructions!$B$5</f>
        <v>0</v>
      </c>
      <c r="D1400" s="2">
        <f>G1400/Instructions!$B$5</f>
        <v>0</v>
      </c>
      <c r="E1400" s="2">
        <f t="shared" si="22"/>
        <v>0</v>
      </c>
      <c r="F1400" s="9"/>
      <c r="G1400" s="9"/>
      <c r="H1400" s="2">
        <f>IF(SUM(F1400:G1400)&gt;Instructions!$B$5,"Error",SUM(F1400:G1400))</f>
        <v>0</v>
      </c>
      <c r="I1400" s="8"/>
    </row>
    <row r="1401" spans="1:9">
      <c r="A1401" s="8"/>
      <c r="B1401" s="8"/>
      <c r="C1401" s="2">
        <f>F1401/Instructions!$B$5</f>
        <v>0</v>
      </c>
      <c r="D1401" s="2">
        <f>G1401/Instructions!$B$5</f>
        <v>0</v>
      </c>
      <c r="E1401" s="2">
        <f t="shared" si="22"/>
        <v>0</v>
      </c>
      <c r="F1401" s="9"/>
      <c r="G1401" s="9"/>
      <c r="H1401" s="2">
        <f>IF(SUM(F1401:G1401)&gt;Instructions!$B$5,"Error",SUM(F1401:G1401))</f>
        <v>0</v>
      </c>
      <c r="I1401" s="8"/>
    </row>
    <row r="1402" spans="1:9">
      <c r="A1402" s="8"/>
      <c r="B1402" s="8"/>
      <c r="C1402" s="2">
        <f>F1402/Instructions!$B$5</f>
        <v>0</v>
      </c>
      <c r="D1402" s="2">
        <f>G1402/Instructions!$B$5</f>
        <v>0</v>
      </c>
      <c r="E1402" s="2">
        <f t="shared" si="22"/>
        <v>0</v>
      </c>
      <c r="F1402" s="9"/>
      <c r="G1402" s="9"/>
      <c r="H1402" s="2">
        <f>IF(SUM(F1402:G1402)&gt;Instructions!$B$5,"Error",SUM(F1402:G1402))</f>
        <v>0</v>
      </c>
      <c r="I1402" s="8"/>
    </row>
    <row r="1403" spans="1:9">
      <c r="A1403" s="8"/>
      <c r="B1403" s="8"/>
      <c r="C1403" s="2">
        <f>F1403/Instructions!$B$5</f>
        <v>0</v>
      </c>
      <c r="D1403" s="2">
        <f>G1403/Instructions!$B$5</f>
        <v>0</v>
      </c>
      <c r="E1403" s="2">
        <f t="shared" si="22"/>
        <v>0</v>
      </c>
      <c r="F1403" s="9"/>
      <c r="G1403" s="9"/>
      <c r="H1403" s="2">
        <f>IF(SUM(F1403:G1403)&gt;Instructions!$B$5,"Error",SUM(F1403:G1403))</f>
        <v>0</v>
      </c>
      <c r="I1403" s="8"/>
    </row>
    <row r="1404" spans="1:9">
      <c r="A1404" s="8"/>
      <c r="B1404" s="8"/>
      <c r="C1404" s="2">
        <f>F1404/Instructions!$B$5</f>
        <v>0</v>
      </c>
      <c r="D1404" s="2">
        <f>G1404/Instructions!$B$5</f>
        <v>0</v>
      </c>
      <c r="E1404" s="2">
        <f t="shared" si="22"/>
        <v>0</v>
      </c>
      <c r="F1404" s="9"/>
      <c r="G1404" s="9"/>
      <c r="H1404" s="2">
        <f>IF(SUM(F1404:G1404)&gt;Instructions!$B$5,"Error",SUM(F1404:G1404))</f>
        <v>0</v>
      </c>
      <c r="I1404" s="8"/>
    </row>
    <row r="1405" spans="1:9">
      <c r="A1405" s="8"/>
      <c r="B1405" s="8"/>
      <c r="C1405" s="2">
        <f>F1405/Instructions!$B$5</f>
        <v>0</v>
      </c>
      <c r="D1405" s="2">
        <f>G1405/Instructions!$B$5</f>
        <v>0</v>
      </c>
      <c r="E1405" s="2">
        <f t="shared" si="22"/>
        <v>0</v>
      </c>
      <c r="F1405" s="9"/>
      <c r="G1405" s="9"/>
      <c r="H1405" s="2">
        <f>IF(SUM(F1405:G1405)&gt;Instructions!$B$5,"Error",SUM(F1405:G1405))</f>
        <v>0</v>
      </c>
      <c r="I1405" s="8"/>
    </row>
    <row r="1406" spans="1:9">
      <c r="A1406" s="8"/>
      <c r="B1406" s="8"/>
      <c r="C1406" s="2">
        <f>F1406/Instructions!$B$5</f>
        <v>0</v>
      </c>
      <c r="D1406" s="2">
        <f>G1406/Instructions!$B$5</f>
        <v>0</v>
      </c>
      <c r="E1406" s="2">
        <f t="shared" si="22"/>
        <v>0</v>
      </c>
      <c r="F1406" s="9"/>
      <c r="G1406" s="9"/>
      <c r="H1406" s="2">
        <f>IF(SUM(F1406:G1406)&gt;Instructions!$B$5,"Error",SUM(F1406:G1406))</f>
        <v>0</v>
      </c>
      <c r="I1406" s="8"/>
    </row>
    <row r="1407" spans="1:9">
      <c r="A1407" s="8"/>
      <c r="B1407" s="8"/>
      <c r="C1407" s="2">
        <f>F1407/Instructions!$B$5</f>
        <v>0</v>
      </c>
      <c r="D1407" s="2">
        <f>G1407/Instructions!$B$5</f>
        <v>0</v>
      </c>
      <c r="E1407" s="2">
        <f t="shared" si="22"/>
        <v>0</v>
      </c>
      <c r="F1407" s="9"/>
      <c r="G1407" s="9"/>
      <c r="H1407" s="2">
        <f>IF(SUM(F1407:G1407)&gt;Instructions!$B$5,"Error",SUM(F1407:G1407))</f>
        <v>0</v>
      </c>
      <c r="I1407" s="8"/>
    </row>
    <row r="1408" spans="1:9">
      <c r="A1408" s="8"/>
      <c r="B1408" s="8"/>
      <c r="C1408" s="2">
        <f>F1408/Instructions!$B$5</f>
        <v>0</v>
      </c>
      <c r="D1408" s="2">
        <f>G1408/Instructions!$B$5</f>
        <v>0</v>
      </c>
      <c r="E1408" s="2">
        <f t="shared" si="22"/>
        <v>0</v>
      </c>
      <c r="F1408" s="9"/>
      <c r="G1408" s="9"/>
      <c r="H1408" s="2">
        <f>IF(SUM(F1408:G1408)&gt;Instructions!$B$5,"Error",SUM(F1408:G1408))</f>
        <v>0</v>
      </c>
      <c r="I1408" s="8"/>
    </row>
    <row r="1409" spans="1:9">
      <c r="A1409" s="8"/>
      <c r="B1409" s="8"/>
      <c r="C1409" s="2">
        <f>F1409/Instructions!$B$5</f>
        <v>0</v>
      </c>
      <c r="D1409" s="2">
        <f>G1409/Instructions!$B$5</f>
        <v>0</v>
      </c>
      <c r="E1409" s="2">
        <f t="shared" si="22"/>
        <v>0</v>
      </c>
      <c r="F1409" s="9"/>
      <c r="G1409" s="9"/>
      <c r="H1409" s="2">
        <f>IF(SUM(F1409:G1409)&gt;Instructions!$B$5,"Error",SUM(F1409:G1409))</f>
        <v>0</v>
      </c>
      <c r="I1409" s="8"/>
    </row>
    <row r="1410" spans="1:9">
      <c r="A1410" s="8"/>
      <c r="B1410" s="8"/>
      <c r="C1410" s="2">
        <f>F1410/Instructions!$B$5</f>
        <v>0</v>
      </c>
      <c r="D1410" s="2">
        <f>G1410/Instructions!$B$5</f>
        <v>0</v>
      </c>
      <c r="E1410" s="2">
        <f t="shared" si="22"/>
        <v>0</v>
      </c>
      <c r="F1410" s="9"/>
      <c r="G1410" s="9"/>
      <c r="H1410" s="2">
        <f>IF(SUM(F1410:G1410)&gt;Instructions!$B$5,"Error",SUM(F1410:G1410))</f>
        <v>0</v>
      </c>
      <c r="I1410" s="8"/>
    </row>
    <row r="1411" spans="1:9">
      <c r="A1411" s="8"/>
      <c r="B1411" s="8"/>
      <c r="C1411" s="2">
        <f>F1411/Instructions!$B$5</f>
        <v>0</v>
      </c>
      <c r="D1411" s="2">
        <f>G1411/Instructions!$B$5</f>
        <v>0</v>
      </c>
      <c r="E1411" s="2">
        <f t="shared" si="22"/>
        <v>0</v>
      </c>
      <c r="F1411" s="9"/>
      <c r="G1411" s="9"/>
      <c r="H1411" s="2">
        <f>IF(SUM(F1411:G1411)&gt;Instructions!$B$5,"Error",SUM(F1411:G1411))</f>
        <v>0</v>
      </c>
      <c r="I1411" s="8"/>
    </row>
    <row r="1412" spans="1:9">
      <c r="A1412" s="8"/>
      <c r="B1412" s="8"/>
      <c r="C1412" s="2">
        <f>F1412/Instructions!$B$5</f>
        <v>0</v>
      </c>
      <c r="D1412" s="2">
        <f>G1412/Instructions!$B$5</f>
        <v>0</v>
      </c>
      <c r="E1412" s="2">
        <f t="shared" si="22"/>
        <v>0</v>
      </c>
      <c r="F1412" s="9"/>
      <c r="G1412" s="9"/>
      <c r="H1412" s="2">
        <f>IF(SUM(F1412:G1412)&gt;Instructions!$B$5,"Error",SUM(F1412:G1412))</f>
        <v>0</v>
      </c>
      <c r="I1412" s="8"/>
    </row>
    <row r="1413" spans="1:9">
      <c r="A1413" s="8"/>
      <c r="B1413" s="8"/>
      <c r="C1413" s="2">
        <f>F1413/Instructions!$B$5</f>
        <v>0</v>
      </c>
      <c r="D1413" s="2">
        <f>G1413/Instructions!$B$5</f>
        <v>0</v>
      </c>
      <c r="E1413" s="2">
        <f t="shared" si="22"/>
        <v>0</v>
      </c>
      <c r="F1413" s="9"/>
      <c r="G1413" s="9"/>
      <c r="H1413" s="2">
        <f>IF(SUM(F1413:G1413)&gt;Instructions!$B$5,"Error",SUM(F1413:G1413))</f>
        <v>0</v>
      </c>
      <c r="I1413" s="8"/>
    </row>
    <row r="1414" spans="1:9">
      <c r="A1414" s="8"/>
      <c r="B1414" s="8"/>
      <c r="C1414" s="2">
        <f>F1414/Instructions!$B$5</f>
        <v>0</v>
      </c>
      <c r="D1414" s="2">
        <f>G1414/Instructions!$B$5</f>
        <v>0</v>
      </c>
      <c r="E1414" s="2">
        <f t="shared" si="22"/>
        <v>0</v>
      </c>
      <c r="F1414" s="9"/>
      <c r="G1414" s="9"/>
      <c r="H1414" s="2">
        <f>IF(SUM(F1414:G1414)&gt;Instructions!$B$5,"Error",SUM(F1414:G1414))</f>
        <v>0</v>
      </c>
      <c r="I1414" s="8"/>
    </row>
    <row r="1415" spans="1:9">
      <c r="A1415" s="8"/>
      <c r="B1415" s="8"/>
      <c r="C1415" s="2">
        <f>F1415/Instructions!$B$5</f>
        <v>0</v>
      </c>
      <c r="D1415" s="2">
        <f>G1415/Instructions!$B$5</f>
        <v>0</v>
      </c>
      <c r="E1415" s="2">
        <f t="shared" si="22"/>
        <v>0</v>
      </c>
      <c r="F1415" s="9"/>
      <c r="G1415" s="9"/>
      <c r="H1415" s="2">
        <f>IF(SUM(F1415:G1415)&gt;Instructions!$B$5,"Error",SUM(F1415:G1415))</f>
        <v>0</v>
      </c>
      <c r="I1415" s="8"/>
    </row>
    <row r="1416" spans="1:9">
      <c r="A1416" s="8"/>
      <c r="B1416" s="8"/>
      <c r="C1416" s="2">
        <f>F1416/Instructions!$B$5</f>
        <v>0</v>
      </c>
      <c r="D1416" s="2">
        <f>G1416/Instructions!$B$5</f>
        <v>0</v>
      </c>
      <c r="E1416" s="2">
        <f t="shared" ref="E1416:E1479" si="23">IF(SUM(C1416:D1416)&gt;1,"Error",SUM(C1416:D1416))</f>
        <v>0</v>
      </c>
      <c r="F1416" s="9"/>
      <c r="G1416" s="9"/>
      <c r="H1416" s="2">
        <f>IF(SUM(F1416:G1416)&gt;Instructions!$B$5,"Error",SUM(F1416:G1416))</f>
        <v>0</v>
      </c>
      <c r="I1416" s="8"/>
    </row>
    <row r="1417" spans="1:9">
      <c r="A1417" s="8"/>
      <c r="B1417" s="8"/>
      <c r="C1417" s="2">
        <f>F1417/Instructions!$B$5</f>
        <v>0</v>
      </c>
      <c r="D1417" s="2">
        <f>G1417/Instructions!$B$5</f>
        <v>0</v>
      </c>
      <c r="E1417" s="2">
        <f t="shared" si="23"/>
        <v>0</v>
      </c>
      <c r="F1417" s="9"/>
      <c r="G1417" s="9"/>
      <c r="H1417" s="2">
        <f>IF(SUM(F1417:G1417)&gt;Instructions!$B$5,"Error",SUM(F1417:G1417))</f>
        <v>0</v>
      </c>
      <c r="I1417" s="8"/>
    </row>
    <row r="1418" spans="1:9">
      <c r="A1418" s="8"/>
      <c r="B1418" s="8"/>
      <c r="C1418" s="2">
        <f>F1418/Instructions!$B$5</f>
        <v>0</v>
      </c>
      <c r="D1418" s="2">
        <f>G1418/Instructions!$B$5</f>
        <v>0</v>
      </c>
      <c r="E1418" s="2">
        <f t="shared" si="23"/>
        <v>0</v>
      </c>
      <c r="F1418" s="9"/>
      <c r="G1418" s="9"/>
      <c r="H1418" s="2">
        <f>IF(SUM(F1418:G1418)&gt;Instructions!$B$5,"Error",SUM(F1418:G1418))</f>
        <v>0</v>
      </c>
      <c r="I1418" s="8"/>
    </row>
    <row r="1419" spans="1:9">
      <c r="A1419" s="8"/>
      <c r="B1419" s="8"/>
      <c r="C1419" s="2">
        <f>F1419/Instructions!$B$5</f>
        <v>0</v>
      </c>
      <c r="D1419" s="2">
        <f>G1419/Instructions!$B$5</f>
        <v>0</v>
      </c>
      <c r="E1419" s="2">
        <f t="shared" si="23"/>
        <v>0</v>
      </c>
      <c r="F1419" s="9"/>
      <c r="G1419" s="9"/>
      <c r="H1419" s="2">
        <f>IF(SUM(F1419:G1419)&gt;Instructions!$B$5,"Error",SUM(F1419:G1419))</f>
        <v>0</v>
      </c>
      <c r="I1419" s="8"/>
    </row>
    <row r="1420" spans="1:9">
      <c r="A1420" s="8"/>
      <c r="B1420" s="8"/>
      <c r="C1420" s="2">
        <f>F1420/Instructions!$B$5</f>
        <v>0</v>
      </c>
      <c r="D1420" s="2">
        <f>G1420/Instructions!$B$5</f>
        <v>0</v>
      </c>
      <c r="E1420" s="2">
        <f t="shared" si="23"/>
        <v>0</v>
      </c>
      <c r="F1420" s="9"/>
      <c r="G1420" s="9"/>
      <c r="H1420" s="2">
        <f>IF(SUM(F1420:G1420)&gt;Instructions!$B$5,"Error",SUM(F1420:G1420))</f>
        <v>0</v>
      </c>
      <c r="I1420" s="8"/>
    </row>
    <row r="1421" spans="1:9">
      <c r="A1421" s="8"/>
      <c r="B1421" s="8"/>
      <c r="C1421" s="2">
        <f>F1421/Instructions!$B$5</f>
        <v>0</v>
      </c>
      <c r="D1421" s="2">
        <f>G1421/Instructions!$B$5</f>
        <v>0</v>
      </c>
      <c r="E1421" s="2">
        <f t="shared" si="23"/>
        <v>0</v>
      </c>
      <c r="F1421" s="9"/>
      <c r="G1421" s="9"/>
      <c r="H1421" s="2">
        <f>IF(SUM(F1421:G1421)&gt;Instructions!$B$5,"Error",SUM(F1421:G1421))</f>
        <v>0</v>
      </c>
      <c r="I1421" s="8"/>
    </row>
    <row r="1422" spans="1:9">
      <c r="A1422" s="8"/>
      <c r="B1422" s="8"/>
      <c r="C1422" s="2">
        <f>F1422/Instructions!$B$5</f>
        <v>0</v>
      </c>
      <c r="D1422" s="2">
        <f>G1422/Instructions!$B$5</f>
        <v>0</v>
      </c>
      <c r="E1422" s="2">
        <f t="shared" si="23"/>
        <v>0</v>
      </c>
      <c r="F1422" s="9"/>
      <c r="G1422" s="9"/>
      <c r="H1422" s="2">
        <f>IF(SUM(F1422:G1422)&gt;Instructions!$B$5,"Error",SUM(F1422:G1422))</f>
        <v>0</v>
      </c>
      <c r="I1422" s="8"/>
    </row>
    <row r="1423" spans="1:9">
      <c r="A1423" s="8"/>
      <c r="B1423" s="8"/>
      <c r="C1423" s="2">
        <f>F1423/Instructions!$B$5</f>
        <v>0</v>
      </c>
      <c r="D1423" s="2">
        <f>G1423/Instructions!$B$5</f>
        <v>0</v>
      </c>
      <c r="E1423" s="2">
        <f t="shared" si="23"/>
        <v>0</v>
      </c>
      <c r="F1423" s="9"/>
      <c r="G1423" s="9"/>
      <c r="H1423" s="2">
        <f>IF(SUM(F1423:G1423)&gt;Instructions!$B$5,"Error",SUM(F1423:G1423))</f>
        <v>0</v>
      </c>
      <c r="I1423" s="8"/>
    </row>
    <row r="1424" spans="1:9">
      <c r="A1424" s="8"/>
      <c r="B1424" s="8"/>
      <c r="C1424" s="2">
        <f>F1424/Instructions!$B$5</f>
        <v>0</v>
      </c>
      <c r="D1424" s="2">
        <f>G1424/Instructions!$B$5</f>
        <v>0</v>
      </c>
      <c r="E1424" s="2">
        <f t="shared" si="23"/>
        <v>0</v>
      </c>
      <c r="F1424" s="9"/>
      <c r="G1424" s="9"/>
      <c r="H1424" s="2">
        <f>IF(SUM(F1424:G1424)&gt;Instructions!$B$5,"Error",SUM(F1424:G1424))</f>
        <v>0</v>
      </c>
      <c r="I1424" s="8"/>
    </row>
    <row r="1425" spans="1:9">
      <c r="A1425" s="8"/>
      <c r="B1425" s="8"/>
      <c r="C1425" s="2">
        <f>F1425/Instructions!$B$5</f>
        <v>0</v>
      </c>
      <c r="D1425" s="2">
        <f>G1425/Instructions!$B$5</f>
        <v>0</v>
      </c>
      <c r="E1425" s="2">
        <f t="shared" si="23"/>
        <v>0</v>
      </c>
      <c r="F1425" s="9"/>
      <c r="G1425" s="9"/>
      <c r="H1425" s="2">
        <f>IF(SUM(F1425:G1425)&gt;Instructions!$B$5,"Error",SUM(F1425:G1425))</f>
        <v>0</v>
      </c>
      <c r="I1425" s="8"/>
    </row>
    <row r="1426" spans="1:9">
      <c r="A1426" s="8"/>
      <c r="B1426" s="8"/>
      <c r="C1426" s="2">
        <f>F1426/Instructions!$B$5</f>
        <v>0</v>
      </c>
      <c r="D1426" s="2">
        <f>G1426/Instructions!$B$5</f>
        <v>0</v>
      </c>
      <c r="E1426" s="2">
        <f t="shared" si="23"/>
        <v>0</v>
      </c>
      <c r="F1426" s="9"/>
      <c r="G1426" s="9"/>
      <c r="H1426" s="2">
        <f>IF(SUM(F1426:G1426)&gt;Instructions!$B$5,"Error",SUM(F1426:G1426))</f>
        <v>0</v>
      </c>
      <c r="I1426" s="8"/>
    </row>
    <row r="1427" spans="1:9">
      <c r="A1427" s="8"/>
      <c r="B1427" s="8"/>
      <c r="C1427" s="2">
        <f>F1427/Instructions!$B$5</f>
        <v>0</v>
      </c>
      <c r="D1427" s="2">
        <f>G1427/Instructions!$B$5</f>
        <v>0</v>
      </c>
      <c r="E1427" s="2">
        <f t="shared" si="23"/>
        <v>0</v>
      </c>
      <c r="F1427" s="9"/>
      <c r="G1427" s="9"/>
      <c r="H1427" s="2">
        <f>IF(SUM(F1427:G1427)&gt;Instructions!$B$5,"Error",SUM(F1427:G1427))</f>
        <v>0</v>
      </c>
      <c r="I1427" s="8"/>
    </row>
    <row r="1428" spans="1:9">
      <c r="A1428" s="8"/>
      <c r="B1428" s="8"/>
      <c r="C1428" s="2">
        <f>F1428/Instructions!$B$5</f>
        <v>0</v>
      </c>
      <c r="D1428" s="2">
        <f>G1428/Instructions!$B$5</f>
        <v>0</v>
      </c>
      <c r="E1428" s="2">
        <f t="shared" si="23"/>
        <v>0</v>
      </c>
      <c r="F1428" s="9"/>
      <c r="G1428" s="9"/>
      <c r="H1428" s="2">
        <f>IF(SUM(F1428:G1428)&gt;Instructions!$B$5,"Error",SUM(F1428:G1428))</f>
        <v>0</v>
      </c>
      <c r="I1428" s="8"/>
    </row>
    <row r="1429" spans="1:9">
      <c r="A1429" s="8"/>
      <c r="B1429" s="8"/>
      <c r="C1429" s="2">
        <f>F1429/Instructions!$B$5</f>
        <v>0</v>
      </c>
      <c r="D1429" s="2">
        <f>G1429/Instructions!$B$5</f>
        <v>0</v>
      </c>
      <c r="E1429" s="2">
        <f t="shared" si="23"/>
        <v>0</v>
      </c>
      <c r="F1429" s="9"/>
      <c r="G1429" s="9"/>
      <c r="H1429" s="2">
        <f>IF(SUM(F1429:G1429)&gt;Instructions!$B$5,"Error",SUM(F1429:G1429))</f>
        <v>0</v>
      </c>
      <c r="I1429" s="8"/>
    </row>
    <row r="1430" spans="1:9">
      <c r="A1430" s="8"/>
      <c r="B1430" s="8"/>
      <c r="C1430" s="2">
        <f>F1430/Instructions!$B$5</f>
        <v>0</v>
      </c>
      <c r="D1430" s="2">
        <f>G1430/Instructions!$B$5</f>
        <v>0</v>
      </c>
      <c r="E1430" s="2">
        <f t="shared" si="23"/>
        <v>0</v>
      </c>
      <c r="F1430" s="9"/>
      <c r="G1430" s="9"/>
      <c r="H1430" s="2">
        <f>IF(SUM(F1430:G1430)&gt;Instructions!$B$5,"Error",SUM(F1430:G1430))</f>
        <v>0</v>
      </c>
      <c r="I1430" s="8"/>
    </row>
    <row r="1431" spans="1:9">
      <c r="A1431" s="8"/>
      <c r="B1431" s="8"/>
      <c r="C1431" s="2">
        <f>F1431/Instructions!$B$5</f>
        <v>0</v>
      </c>
      <c r="D1431" s="2">
        <f>G1431/Instructions!$B$5</f>
        <v>0</v>
      </c>
      <c r="E1431" s="2">
        <f t="shared" si="23"/>
        <v>0</v>
      </c>
      <c r="F1431" s="9"/>
      <c r="G1431" s="9"/>
      <c r="H1431" s="2">
        <f>IF(SUM(F1431:G1431)&gt;Instructions!$B$5,"Error",SUM(F1431:G1431))</f>
        <v>0</v>
      </c>
      <c r="I1431" s="8"/>
    </row>
    <row r="1432" spans="1:9">
      <c r="A1432" s="8"/>
      <c r="B1432" s="8"/>
      <c r="C1432" s="2">
        <f>F1432/Instructions!$B$5</f>
        <v>0</v>
      </c>
      <c r="D1432" s="2">
        <f>G1432/Instructions!$B$5</f>
        <v>0</v>
      </c>
      <c r="E1432" s="2">
        <f t="shared" si="23"/>
        <v>0</v>
      </c>
      <c r="F1432" s="9"/>
      <c r="G1432" s="9"/>
      <c r="H1432" s="2">
        <f>IF(SUM(F1432:G1432)&gt;Instructions!$B$5,"Error",SUM(F1432:G1432))</f>
        <v>0</v>
      </c>
      <c r="I1432" s="8"/>
    </row>
    <row r="1433" spans="1:9">
      <c r="A1433" s="8"/>
      <c r="B1433" s="8"/>
      <c r="C1433" s="2">
        <f>F1433/Instructions!$B$5</f>
        <v>0</v>
      </c>
      <c r="D1433" s="2">
        <f>G1433/Instructions!$B$5</f>
        <v>0</v>
      </c>
      <c r="E1433" s="2">
        <f t="shared" si="23"/>
        <v>0</v>
      </c>
      <c r="F1433" s="9"/>
      <c r="G1433" s="9"/>
      <c r="H1433" s="2">
        <f>IF(SUM(F1433:G1433)&gt;Instructions!$B$5,"Error",SUM(F1433:G1433))</f>
        <v>0</v>
      </c>
      <c r="I1433" s="8"/>
    </row>
    <row r="1434" spans="1:9">
      <c r="A1434" s="8"/>
      <c r="B1434" s="8"/>
      <c r="C1434" s="2">
        <f>F1434/Instructions!$B$5</f>
        <v>0</v>
      </c>
      <c r="D1434" s="2">
        <f>G1434/Instructions!$B$5</f>
        <v>0</v>
      </c>
      <c r="E1434" s="2">
        <f t="shared" si="23"/>
        <v>0</v>
      </c>
      <c r="F1434" s="9"/>
      <c r="G1434" s="9"/>
      <c r="H1434" s="2">
        <f>IF(SUM(F1434:G1434)&gt;Instructions!$B$5,"Error",SUM(F1434:G1434))</f>
        <v>0</v>
      </c>
      <c r="I1434" s="8"/>
    </row>
    <row r="1435" spans="1:9">
      <c r="A1435" s="8"/>
      <c r="B1435" s="8"/>
      <c r="C1435" s="2">
        <f>F1435/Instructions!$B$5</f>
        <v>0</v>
      </c>
      <c r="D1435" s="2">
        <f>G1435/Instructions!$B$5</f>
        <v>0</v>
      </c>
      <c r="E1435" s="2">
        <f t="shared" si="23"/>
        <v>0</v>
      </c>
      <c r="F1435" s="9"/>
      <c r="G1435" s="9"/>
      <c r="H1435" s="2">
        <f>IF(SUM(F1435:G1435)&gt;Instructions!$B$5,"Error",SUM(F1435:G1435))</f>
        <v>0</v>
      </c>
      <c r="I1435" s="8"/>
    </row>
    <row r="1436" spans="1:9">
      <c r="A1436" s="8"/>
      <c r="B1436" s="8"/>
      <c r="C1436" s="2">
        <f>F1436/Instructions!$B$5</f>
        <v>0</v>
      </c>
      <c r="D1436" s="2">
        <f>G1436/Instructions!$B$5</f>
        <v>0</v>
      </c>
      <c r="E1436" s="2">
        <f t="shared" si="23"/>
        <v>0</v>
      </c>
      <c r="F1436" s="9"/>
      <c r="G1436" s="9"/>
      <c r="H1436" s="2">
        <f>IF(SUM(F1436:G1436)&gt;Instructions!$B$5,"Error",SUM(F1436:G1436))</f>
        <v>0</v>
      </c>
      <c r="I1436" s="8"/>
    </row>
    <row r="1437" spans="1:9">
      <c r="A1437" s="8"/>
      <c r="B1437" s="8"/>
      <c r="C1437" s="2">
        <f>F1437/Instructions!$B$5</f>
        <v>0</v>
      </c>
      <c r="D1437" s="2">
        <f>G1437/Instructions!$B$5</f>
        <v>0</v>
      </c>
      <c r="E1437" s="2">
        <f t="shared" si="23"/>
        <v>0</v>
      </c>
      <c r="F1437" s="9"/>
      <c r="G1437" s="9"/>
      <c r="H1437" s="2">
        <f>IF(SUM(F1437:G1437)&gt;Instructions!$B$5,"Error",SUM(F1437:G1437))</f>
        <v>0</v>
      </c>
      <c r="I1437" s="8"/>
    </row>
    <row r="1438" spans="1:9">
      <c r="A1438" s="8"/>
      <c r="B1438" s="8"/>
      <c r="C1438" s="2">
        <f>F1438/Instructions!$B$5</f>
        <v>0</v>
      </c>
      <c r="D1438" s="2">
        <f>G1438/Instructions!$B$5</f>
        <v>0</v>
      </c>
      <c r="E1438" s="2">
        <f t="shared" si="23"/>
        <v>0</v>
      </c>
      <c r="F1438" s="9"/>
      <c r="G1438" s="9"/>
      <c r="H1438" s="2">
        <f>IF(SUM(F1438:G1438)&gt;Instructions!$B$5,"Error",SUM(F1438:G1438))</f>
        <v>0</v>
      </c>
      <c r="I1438" s="8"/>
    </row>
    <row r="1439" spans="1:9">
      <c r="A1439" s="8"/>
      <c r="B1439" s="8"/>
      <c r="C1439" s="2">
        <f>F1439/Instructions!$B$5</f>
        <v>0</v>
      </c>
      <c r="D1439" s="2">
        <f>G1439/Instructions!$B$5</f>
        <v>0</v>
      </c>
      <c r="E1439" s="2">
        <f t="shared" si="23"/>
        <v>0</v>
      </c>
      <c r="F1439" s="9"/>
      <c r="G1439" s="9"/>
      <c r="H1439" s="2">
        <f>IF(SUM(F1439:G1439)&gt;Instructions!$B$5,"Error",SUM(F1439:G1439))</f>
        <v>0</v>
      </c>
      <c r="I1439" s="8"/>
    </row>
    <row r="1440" spans="1:9">
      <c r="A1440" s="8"/>
      <c r="B1440" s="8"/>
      <c r="C1440" s="2">
        <f>F1440/Instructions!$B$5</f>
        <v>0</v>
      </c>
      <c r="D1440" s="2">
        <f>G1440/Instructions!$B$5</f>
        <v>0</v>
      </c>
      <c r="E1440" s="2">
        <f t="shared" si="23"/>
        <v>0</v>
      </c>
      <c r="F1440" s="9"/>
      <c r="G1440" s="9"/>
      <c r="H1440" s="2">
        <f>IF(SUM(F1440:G1440)&gt;Instructions!$B$5,"Error",SUM(F1440:G1440))</f>
        <v>0</v>
      </c>
      <c r="I1440" s="8"/>
    </row>
    <row r="1441" spans="1:9">
      <c r="A1441" s="8"/>
      <c r="B1441" s="8"/>
      <c r="C1441" s="2">
        <f>F1441/Instructions!$B$5</f>
        <v>0</v>
      </c>
      <c r="D1441" s="2">
        <f>G1441/Instructions!$B$5</f>
        <v>0</v>
      </c>
      <c r="E1441" s="2">
        <f t="shared" si="23"/>
        <v>0</v>
      </c>
      <c r="F1441" s="9"/>
      <c r="G1441" s="9"/>
      <c r="H1441" s="2">
        <f>IF(SUM(F1441:G1441)&gt;Instructions!$B$5,"Error",SUM(F1441:G1441))</f>
        <v>0</v>
      </c>
      <c r="I1441" s="8"/>
    </row>
    <row r="1442" spans="1:9">
      <c r="A1442" s="8"/>
      <c r="B1442" s="8"/>
      <c r="C1442" s="2">
        <f>F1442/Instructions!$B$5</f>
        <v>0</v>
      </c>
      <c r="D1442" s="2">
        <f>G1442/Instructions!$B$5</f>
        <v>0</v>
      </c>
      <c r="E1442" s="2">
        <f t="shared" si="23"/>
        <v>0</v>
      </c>
      <c r="F1442" s="9"/>
      <c r="G1442" s="9"/>
      <c r="H1442" s="2">
        <f>IF(SUM(F1442:G1442)&gt;Instructions!$B$5,"Error",SUM(F1442:G1442))</f>
        <v>0</v>
      </c>
      <c r="I1442" s="8"/>
    </row>
    <row r="1443" spans="1:9">
      <c r="A1443" s="8"/>
      <c r="B1443" s="8"/>
      <c r="C1443" s="2">
        <f>F1443/Instructions!$B$5</f>
        <v>0</v>
      </c>
      <c r="D1443" s="2">
        <f>G1443/Instructions!$B$5</f>
        <v>0</v>
      </c>
      <c r="E1443" s="2">
        <f t="shared" si="23"/>
        <v>0</v>
      </c>
      <c r="F1443" s="9"/>
      <c r="G1443" s="9"/>
      <c r="H1443" s="2">
        <f>IF(SUM(F1443:G1443)&gt;Instructions!$B$5,"Error",SUM(F1443:G1443))</f>
        <v>0</v>
      </c>
      <c r="I1443" s="8"/>
    </row>
    <row r="1444" spans="1:9">
      <c r="A1444" s="8"/>
      <c r="B1444" s="8"/>
      <c r="C1444" s="2">
        <f>F1444/Instructions!$B$5</f>
        <v>0</v>
      </c>
      <c r="D1444" s="2">
        <f>G1444/Instructions!$B$5</f>
        <v>0</v>
      </c>
      <c r="E1444" s="2">
        <f t="shared" si="23"/>
        <v>0</v>
      </c>
      <c r="F1444" s="9"/>
      <c r="G1444" s="9"/>
      <c r="H1444" s="2">
        <f>IF(SUM(F1444:G1444)&gt;Instructions!$B$5,"Error",SUM(F1444:G1444))</f>
        <v>0</v>
      </c>
      <c r="I1444" s="8"/>
    </row>
    <row r="1445" spans="1:9">
      <c r="A1445" s="8"/>
      <c r="B1445" s="8"/>
      <c r="C1445" s="2">
        <f>F1445/Instructions!$B$5</f>
        <v>0</v>
      </c>
      <c r="D1445" s="2">
        <f>G1445/Instructions!$B$5</f>
        <v>0</v>
      </c>
      <c r="E1445" s="2">
        <f t="shared" si="23"/>
        <v>0</v>
      </c>
      <c r="F1445" s="9"/>
      <c r="G1445" s="9"/>
      <c r="H1445" s="2">
        <f>IF(SUM(F1445:G1445)&gt;Instructions!$B$5,"Error",SUM(F1445:G1445))</f>
        <v>0</v>
      </c>
      <c r="I1445" s="8"/>
    </row>
    <row r="1446" spans="1:9">
      <c r="A1446" s="8"/>
      <c r="B1446" s="8"/>
      <c r="C1446" s="2">
        <f>F1446/Instructions!$B$5</f>
        <v>0</v>
      </c>
      <c r="D1446" s="2">
        <f>G1446/Instructions!$B$5</f>
        <v>0</v>
      </c>
      <c r="E1446" s="2">
        <f t="shared" si="23"/>
        <v>0</v>
      </c>
      <c r="F1446" s="9"/>
      <c r="G1446" s="9"/>
      <c r="H1446" s="2">
        <f>IF(SUM(F1446:G1446)&gt;Instructions!$B$5,"Error",SUM(F1446:G1446))</f>
        <v>0</v>
      </c>
      <c r="I1446" s="8"/>
    </row>
    <row r="1447" spans="1:9">
      <c r="A1447" s="8"/>
      <c r="B1447" s="8"/>
      <c r="C1447" s="2">
        <f>F1447/Instructions!$B$5</f>
        <v>0</v>
      </c>
      <c r="D1447" s="2">
        <f>G1447/Instructions!$B$5</f>
        <v>0</v>
      </c>
      <c r="E1447" s="2">
        <f t="shared" si="23"/>
        <v>0</v>
      </c>
      <c r="F1447" s="9"/>
      <c r="G1447" s="9"/>
      <c r="H1447" s="2">
        <f>IF(SUM(F1447:G1447)&gt;Instructions!$B$5,"Error",SUM(F1447:G1447))</f>
        <v>0</v>
      </c>
      <c r="I1447" s="8"/>
    </row>
    <row r="1448" spans="1:9">
      <c r="A1448" s="8"/>
      <c r="B1448" s="8"/>
      <c r="C1448" s="2">
        <f>F1448/Instructions!$B$5</f>
        <v>0</v>
      </c>
      <c r="D1448" s="2">
        <f>G1448/Instructions!$B$5</f>
        <v>0</v>
      </c>
      <c r="E1448" s="2">
        <f t="shared" si="23"/>
        <v>0</v>
      </c>
      <c r="F1448" s="9"/>
      <c r="G1448" s="9"/>
      <c r="H1448" s="2">
        <f>IF(SUM(F1448:G1448)&gt;Instructions!$B$5,"Error",SUM(F1448:G1448))</f>
        <v>0</v>
      </c>
      <c r="I1448" s="8"/>
    </row>
    <row r="1449" spans="1:9">
      <c r="A1449" s="8"/>
      <c r="B1449" s="8"/>
      <c r="C1449" s="2">
        <f>F1449/Instructions!$B$5</f>
        <v>0</v>
      </c>
      <c r="D1449" s="2">
        <f>G1449/Instructions!$B$5</f>
        <v>0</v>
      </c>
      <c r="E1449" s="2">
        <f t="shared" si="23"/>
        <v>0</v>
      </c>
      <c r="F1449" s="9"/>
      <c r="G1449" s="9"/>
      <c r="H1449" s="2">
        <f>IF(SUM(F1449:G1449)&gt;Instructions!$B$5,"Error",SUM(F1449:G1449))</f>
        <v>0</v>
      </c>
      <c r="I1449" s="8"/>
    </row>
    <row r="1450" spans="1:9">
      <c r="A1450" s="8"/>
      <c r="B1450" s="8"/>
      <c r="C1450" s="2">
        <f>F1450/Instructions!$B$5</f>
        <v>0</v>
      </c>
      <c r="D1450" s="2">
        <f>G1450/Instructions!$B$5</f>
        <v>0</v>
      </c>
      <c r="E1450" s="2">
        <f t="shared" si="23"/>
        <v>0</v>
      </c>
      <c r="F1450" s="9"/>
      <c r="G1450" s="9"/>
      <c r="H1450" s="2">
        <f>IF(SUM(F1450:G1450)&gt;Instructions!$B$5,"Error",SUM(F1450:G1450))</f>
        <v>0</v>
      </c>
      <c r="I1450" s="8"/>
    </row>
    <row r="1451" spans="1:9">
      <c r="A1451" s="8"/>
      <c r="B1451" s="8"/>
      <c r="C1451" s="2">
        <f>F1451/Instructions!$B$5</f>
        <v>0</v>
      </c>
      <c r="D1451" s="2">
        <f>G1451/Instructions!$B$5</f>
        <v>0</v>
      </c>
      <c r="E1451" s="2">
        <f t="shared" si="23"/>
        <v>0</v>
      </c>
      <c r="F1451" s="9"/>
      <c r="G1451" s="9"/>
      <c r="H1451" s="2">
        <f>IF(SUM(F1451:G1451)&gt;Instructions!$B$5,"Error",SUM(F1451:G1451))</f>
        <v>0</v>
      </c>
      <c r="I1451" s="8"/>
    </row>
    <row r="1452" spans="1:9">
      <c r="A1452" s="8"/>
      <c r="B1452" s="8"/>
      <c r="C1452" s="2">
        <f>F1452/Instructions!$B$5</f>
        <v>0</v>
      </c>
      <c r="D1452" s="2">
        <f>G1452/Instructions!$B$5</f>
        <v>0</v>
      </c>
      <c r="E1452" s="2">
        <f t="shared" si="23"/>
        <v>0</v>
      </c>
      <c r="F1452" s="9"/>
      <c r="G1452" s="9"/>
      <c r="H1452" s="2">
        <f>IF(SUM(F1452:G1452)&gt;Instructions!$B$5,"Error",SUM(F1452:G1452))</f>
        <v>0</v>
      </c>
      <c r="I1452" s="8"/>
    </row>
    <row r="1453" spans="1:9">
      <c r="A1453" s="8"/>
      <c r="B1453" s="8"/>
      <c r="C1453" s="2">
        <f>F1453/Instructions!$B$5</f>
        <v>0</v>
      </c>
      <c r="D1453" s="2">
        <f>G1453/Instructions!$B$5</f>
        <v>0</v>
      </c>
      <c r="E1453" s="2">
        <f t="shared" si="23"/>
        <v>0</v>
      </c>
      <c r="F1453" s="9"/>
      <c r="G1453" s="9"/>
      <c r="H1453" s="2">
        <f>IF(SUM(F1453:G1453)&gt;Instructions!$B$5,"Error",SUM(F1453:G1453))</f>
        <v>0</v>
      </c>
      <c r="I1453" s="8"/>
    </row>
    <row r="1454" spans="1:9">
      <c r="A1454" s="8"/>
      <c r="B1454" s="8"/>
      <c r="C1454" s="2">
        <f>F1454/Instructions!$B$5</f>
        <v>0</v>
      </c>
      <c r="D1454" s="2">
        <f>G1454/Instructions!$B$5</f>
        <v>0</v>
      </c>
      <c r="E1454" s="2">
        <f t="shared" si="23"/>
        <v>0</v>
      </c>
      <c r="F1454" s="9"/>
      <c r="G1454" s="9"/>
      <c r="H1454" s="2">
        <f>IF(SUM(F1454:G1454)&gt;Instructions!$B$5,"Error",SUM(F1454:G1454))</f>
        <v>0</v>
      </c>
      <c r="I1454" s="8"/>
    </row>
    <row r="1455" spans="1:9">
      <c r="A1455" s="8"/>
      <c r="B1455" s="8"/>
      <c r="C1455" s="2">
        <f>F1455/Instructions!$B$5</f>
        <v>0</v>
      </c>
      <c r="D1455" s="2">
        <f>G1455/Instructions!$B$5</f>
        <v>0</v>
      </c>
      <c r="E1455" s="2">
        <f t="shared" si="23"/>
        <v>0</v>
      </c>
      <c r="F1455" s="9"/>
      <c r="G1455" s="9"/>
      <c r="H1455" s="2">
        <f>IF(SUM(F1455:G1455)&gt;Instructions!$B$5,"Error",SUM(F1455:G1455))</f>
        <v>0</v>
      </c>
      <c r="I1455" s="8"/>
    </row>
    <row r="1456" spans="1:9">
      <c r="A1456" s="8"/>
      <c r="B1456" s="8"/>
      <c r="C1456" s="2">
        <f>F1456/Instructions!$B$5</f>
        <v>0</v>
      </c>
      <c r="D1456" s="2">
        <f>G1456/Instructions!$B$5</f>
        <v>0</v>
      </c>
      <c r="E1456" s="2">
        <f t="shared" si="23"/>
        <v>0</v>
      </c>
      <c r="F1456" s="9"/>
      <c r="G1456" s="9"/>
      <c r="H1456" s="2">
        <f>IF(SUM(F1456:G1456)&gt;Instructions!$B$5,"Error",SUM(F1456:G1456))</f>
        <v>0</v>
      </c>
      <c r="I1456" s="8"/>
    </row>
    <row r="1457" spans="1:9">
      <c r="A1457" s="8"/>
      <c r="B1457" s="8"/>
      <c r="C1457" s="2">
        <f>F1457/Instructions!$B$5</f>
        <v>0</v>
      </c>
      <c r="D1457" s="2">
        <f>G1457/Instructions!$B$5</f>
        <v>0</v>
      </c>
      <c r="E1457" s="2">
        <f t="shared" si="23"/>
        <v>0</v>
      </c>
      <c r="F1457" s="9"/>
      <c r="G1457" s="9"/>
      <c r="H1457" s="2">
        <f>IF(SUM(F1457:G1457)&gt;Instructions!$B$5,"Error",SUM(F1457:G1457))</f>
        <v>0</v>
      </c>
      <c r="I1457" s="8"/>
    </row>
    <row r="1458" spans="1:9">
      <c r="A1458" s="8"/>
      <c r="B1458" s="8"/>
      <c r="C1458" s="2">
        <f>F1458/Instructions!$B$5</f>
        <v>0</v>
      </c>
      <c r="D1458" s="2">
        <f>G1458/Instructions!$B$5</f>
        <v>0</v>
      </c>
      <c r="E1458" s="2">
        <f t="shared" si="23"/>
        <v>0</v>
      </c>
      <c r="F1458" s="9"/>
      <c r="G1458" s="9"/>
      <c r="H1458" s="2">
        <f>IF(SUM(F1458:G1458)&gt;Instructions!$B$5,"Error",SUM(F1458:G1458))</f>
        <v>0</v>
      </c>
      <c r="I1458" s="8"/>
    </row>
    <row r="1459" spans="1:9">
      <c r="A1459" s="8"/>
      <c r="B1459" s="8"/>
      <c r="C1459" s="2">
        <f>F1459/Instructions!$B$5</f>
        <v>0</v>
      </c>
      <c r="D1459" s="2">
        <f>G1459/Instructions!$B$5</f>
        <v>0</v>
      </c>
      <c r="E1459" s="2">
        <f t="shared" si="23"/>
        <v>0</v>
      </c>
      <c r="F1459" s="9"/>
      <c r="G1459" s="9"/>
      <c r="H1459" s="2">
        <f>IF(SUM(F1459:G1459)&gt;Instructions!$B$5,"Error",SUM(F1459:G1459))</f>
        <v>0</v>
      </c>
      <c r="I1459" s="8"/>
    </row>
    <row r="1460" spans="1:9">
      <c r="A1460" s="8"/>
      <c r="B1460" s="8"/>
      <c r="C1460" s="2">
        <f>F1460/Instructions!$B$5</f>
        <v>0</v>
      </c>
      <c r="D1460" s="2">
        <f>G1460/Instructions!$B$5</f>
        <v>0</v>
      </c>
      <c r="E1460" s="2">
        <f t="shared" si="23"/>
        <v>0</v>
      </c>
      <c r="F1460" s="9"/>
      <c r="G1460" s="9"/>
      <c r="H1460" s="2">
        <f>IF(SUM(F1460:G1460)&gt;Instructions!$B$5,"Error",SUM(F1460:G1460))</f>
        <v>0</v>
      </c>
      <c r="I1460" s="8"/>
    </row>
    <row r="1461" spans="1:9">
      <c r="A1461" s="8"/>
      <c r="B1461" s="8"/>
      <c r="C1461" s="2">
        <f>F1461/Instructions!$B$5</f>
        <v>0</v>
      </c>
      <c r="D1461" s="2">
        <f>G1461/Instructions!$B$5</f>
        <v>0</v>
      </c>
      <c r="E1461" s="2">
        <f t="shared" si="23"/>
        <v>0</v>
      </c>
      <c r="F1461" s="9"/>
      <c r="G1461" s="9"/>
      <c r="H1461" s="2">
        <f>IF(SUM(F1461:G1461)&gt;Instructions!$B$5,"Error",SUM(F1461:G1461))</f>
        <v>0</v>
      </c>
      <c r="I1461" s="8"/>
    </row>
    <row r="1462" spans="1:9">
      <c r="A1462" s="8"/>
      <c r="B1462" s="8"/>
      <c r="C1462" s="2">
        <f>F1462/Instructions!$B$5</f>
        <v>0</v>
      </c>
      <c r="D1462" s="2">
        <f>G1462/Instructions!$B$5</f>
        <v>0</v>
      </c>
      <c r="E1462" s="2">
        <f t="shared" si="23"/>
        <v>0</v>
      </c>
      <c r="F1462" s="9"/>
      <c r="G1462" s="9"/>
      <c r="H1462" s="2">
        <f>IF(SUM(F1462:G1462)&gt;Instructions!$B$5,"Error",SUM(F1462:G1462))</f>
        <v>0</v>
      </c>
      <c r="I1462" s="8"/>
    </row>
    <row r="1463" spans="1:9">
      <c r="A1463" s="8"/>
      <c r="B1463" s="8"/>
      <c r="C1463" s="2">
        <f>F1463/Instructions!$B$5</f>
        <v>0</v>
      </c>
      <c r="D1463" s="2">
        <f>G1463/Instructions!$B$5</f>
        <v>0</v>
      </c>
      <c r="E1463" s="2">
        <f t="shared" si="23"/>
        <v>0</v>
      </c>
      <c r="F1463" s="9"/>
      <c r="G1463" s="9"/>
      <c r="H1463" s="2">
        <f>IF(SUM(F1463:G1463)&gt;Instructions!$B$5,"Error",SUM(F1463:G1463))</f>
        <v>0</v>
      </c>
      <c r="I1463" s="8"/>
    </row>
    <row r="1464" spans="1:9">
      <c r="A1464" s="8"/>
      <c r="B1464" s="8"/>
      <c r="C1464" s="2">
        <f>F1464/Instructions!$B$5</f>
        <v>0</v>
      </c>
      <c r="D1464" s="2">
        <f>G1464/Instructions!$B$5</f>
        <v>0</v>
      </c>
      <c r="E1464" s="2">
        <f t="shared" si="23"/>
        <v>0</v>
      </c>
      <c r="F1464" s="9"/>
      <c r="G1464" s="9"/>
      <c r="H1464" s="2">
        <f>IF(SUM(F1464:G1464)&gt;Instructions!$B$5,"Error",SUM(F1464:G1464))</f>
        <v>0</v>
      </c>
      <c r="I1464" s="8"/>
    </row>
    <row r="1465" spans="1:9">
      <c r="A1465" s="8"/>
      <c r="B1465" s="8"/>
      <c r="C1465" s="2">
        <f>F1465/Instructions!$B$5</f>
        <v>0</v>
      </c>
      <c r="D1465" s="2">
        <f>G1465/Instructions!$B$5</f>
        <v>0</v>
      </c>
      <c r="E1465" s="2">
        <f t="shared" si="23"/>
        <v>0</v>
      </c>
      <c r="F1465" s="9"/>
      <c r="G1465" s="9"/>
      <c r="H1465" s="2">
        <f>IF(SUM(F1465:G1465)&gt;Instructions!$B$5,"Error",SUM(F1465:G1465))</f>
        <v>0</v>
      </c>
      <c r="I1465" s="8"/>
    </row>
    <row r="1466" spans="1:9">
      <c r="A1466" s="8"/>
      <c r="B1466" s="8"/>
      <c r="C1466" s="2">
        <f>F1466/Instructions!$B$5</f>
        <v>0</v>
      </c>
      <c r="D1466" s="2">
        <f>G1466/Instructions!$B$5</f>
        <v>0</v>
      </c>
      <c r="E1466" s="2">
        <f t="shared" si="23"/>
        <v>0</v>
      </c>
      <c r="F1466" s="9"/>
      <c r="G1466" s="9"/>
      <c r="H1466" s="2">
        <f>IF(SUM(F1466:G1466)&gt;Instructions!$B$5,"Error",SUM(F1466:G1466))</f>
        <v>0</v>
      </c>
      <c r="I1466" s="8"/>
    </row>
    <row r="1467" spans="1:9">
      <c r="A1467" s="8"/>
      <c r="B1467" s="8"/>
      <c r="C1467" s="2">
        <f>F1467/Instructions!$B$5</f>
        <v>0</v>
      </c>
      <c r="D1467" s="2">
        <f>G1467/Instructions!$B$5</f>
        <v>0</v>
      </c>
      <c r="E1467" s="2">
        <f t="shared" si="23"/>
        <v>0</v>
      </c>
      <c r="F1467" s="9"/>
      <c r="G1467" s="9"/>
      <c r="H1467" s="2">
        <f>IF(SUM(F1467:G1467)&gt;Instructions!$B$5,"Error",SUM(F1467:G1467))</f>
        <v>0</v>
      </c>
      <c r="I1467" s="8"/>
    </row>
    <row r="1468" spans="1:9">
      <c r="A1468" s="8"/>
      <c r="B1468" s="8"/>
      <c r="C1468" s="2">
        <f>F1468/Instructions!$B$5</f>
        <v>0</v>
      </c>
      <c r="D1468" s="2">
        <f>G1468/Instructions!$B$5</f>
        <v>0</v>
      </c>
      <c r="E1468" s="2">
        <f t="shared" si="23"/>
        <v>0</v>
      </c>
      <c r="F1468" s="9"/>
      <c r="G1468" s="9"/>
      <c r="H1468" s="2">
        <f>IF(SUM(F1468:G1468)&gt;Instructions!$B$5,"Error",SUM(F1468:G1468))</f>
        <v>0</v>
      </c>
      <c r="I1468" s="8"/>
    </row>
    <row r="1469" spans="1:9">
      <c r="A1469" s="8"/>
      <c r="B1469" s="8"/>
      <c r="C1469" s="2">
        <f>F1469/Instructions!$B$5</f>
        <v>0</v>
      </c>
      <c r="D1469" s="2">
        <f>G1469/Instructions!$B$5</f>
        <v>0</v>
      </c>
      <c r="E1469" s="2">
        <f t="shared" si="23"/>
        <v>0</v>
      </c>
      <c r="F1469" s="9"/>
      <c r="G1469" s="9"/>
      <c r="H1469" s="2">
        <f>IF(SUM(F1469:G1469)&gt;Instructions!$B$5,"Error",SUM(F1469:G1469))</f>
        <v>0</v>
      </c>
      <c r="I1469" s="8"/>
    </row>
    <row r="1470" spans="1:9">
      <c r="A1470" s="8"/>
      <c r="B1470" s="8"/>
      <c r="C1470" s="2">
        <f>F1470/Instructions!$B$5</f>
        <v>0</v>
      </c>
      <c r="D1470" s="2">
        <f>G1470/Instructions!$B$5</f>
        <v>0</v>
      </c>
      <c r="E1470" s="2">
        <f t="shared" si="23"/>
        <v>0</v>
      </c>
      <c r="F1470" s="9"/>
      <c r="G1470" s="9"/>
      <c r="H1470" s="2">
        <f>IF(SUM(F1470:G1470)&gt;Instructions!$B$5,"Error",SUM(F1470:G1470))</f>
        <v>0</v>
      </c>
      <c r="I1470" s="8"/>
    </row>
    <row r="1471" spans="1:9">
      <c r="A1471" s="8"/>
      <c r="B1471" s="8"/>
      <c r="C1471" s="2">
        <f>F1471/Instructions!$B$5</f>
        <v>0</v>
      </c>
      <c r="D1471" s="2">
        <f>G1471/Instructions!$B$5</f>
        <v>0</v>
      </c>
      <c r="E1471" s="2">
        <f t="shared" si="23"/>
        <v>0</v>
      </c>
      <c r="F1471" s="9"/>
      <c r="G1471" s="9"/>
      <c r="H1471" s="2">
        <f>IF(SUM(F1471:G1471)&gt;Instructions!$B$5,"Error",SUM(F1471:G1471))</f>
        <v>0</v>
      </c>
      <c r="I1471" s="8"/>
    </row>
    <row r="1472" spans="1:9">
      <c r="A1472" s="8"/>
      <c r="B1472" s="8"/>
      <c r="C1472" s="2">
        <f>F1472/Instructions!$B$5</f>
        <v>0</v>
      </c>
      <c r="D1472" s="2">
        <f>G1472/Instructions!$B$5</f>
        <v>0</v>
      </c>
      <c r="E1472" s="2">
        <f t="shared" si="23"/>
        <v>0</v>
      </c>
      <c r="F1472" s="9"/>
      <c r="G1472" s="9"/>
      <c r="H1472" s="2">
        <f>IF(SUM(F1472:G1472)&gt;Instructions!$B$5,"Error",SUM(F1472:G1472))</f>
        <v>0</v>
      </c>
      <c r="I1472" s="8"/>
    </row>
    <row r="1473" spans="1:9">
      <c r="A1473" s="8"/>
      <c r="B1473" s="8"/>
      <c r="C1473" s="2">
        <f>F1473/Instructions!$B$5</f>
        <v>0</v>
      </c>
      <c r="D1473" s="2">
        <f>G1473/Instructions!$B$5</f>
        <v>0</v>
      </c>
      <c r="E1473" s="2">
        <f t="shared" si="23"/>
        <v>0</v>
      </c>
      <c r="F1473" s="9"/>
      <c r="G1473" s="9"/>
      <c r="H1473" s="2">
        <f>IF(SUM(F1473:G1473)&gt;Instructions!$B$5,"Error",SUM(F1473:G1473))</f>
        <v>0</v>
      </c>
      <c r="I1473" s="8"/>
    </row>
    <row r="1474" spans="1:9">
      <c r="A1474" s="8"/>
      <c r="B1474" s="8"/>
      <c r="C1474" s="2">
        <f>F1474/Instructions!$B$5</f>
        <v>0</v>
      </c>
      <c r="D1474" s="2">
        <f>G1474/Instructions!$B$5</f>
        <v>0</v>
      </c>
      <c r="E1474" s="2">
        <f t="shared" si="23"/>
        <v>0</v>
      </c>
      <c r="F1474" s="9"/>
      <c r="G1474" s="9"/>
      <c r="H1474" s="2">
        <f>IF(SUM(F1474:G1474)&gt;Instructions!$B$5,"Error",SUM(F1474:G1474))</f>
        <v>0</v>
      </c>
      <c r="I1474" s="8"/>
    </row>
    <row r="1475" spans="1:9">
      <c r="A1475" s="8"/>
      <c r="B1475" s="8"/>
      <c r="C1475" s="2">
        <f>F1475/Instructions!$B$5</f>
        <v>0</v>
      </c>
      <c r="D1475" s="2">
        <f>G1475/Instructions!$B$5</f>
        <v>0</v>
      </c>
      <c r="E1475" s="2">
        <f t="shared" si="23"/>
        <v>0</v>
      </c>
      <c r="F1475" s="9"/>
      <c r="G1475" s="9"/>
      <c r="H1475" s="2">
        <f>IF(SUM(F1475:G1475)&gt;Instructions!$B$5,"Error",SUM(F1475:G1475))</f>
        <v>0</v>
      </c>
      <c r="I1475" s="8"/>
    </row>
    <row r="1476" spans="1:9">
      <c r="A1476" s="8"/>
      <c r="B1476" s="8"/>
      <c r="C1476" s="2">
        <f>F1476/Instructions!$B$5</f>
        <v>0</v>
      </c>
      <c r="D1476" s="2">
        <f>G1476/Instructions!$B$5</f>
        <v>0</v>
      </c>
      <c r="E1476" s="2">
        <f t="shared" si="23"/>
        <v>0</v>
      </c>
      <c r="F1476" s="9"/>
      <c r="G1476" s="9"/>
      <c r="H1476" s="2">
        <f>IF(SUM(F1476:G1476)&gt;Instructions!$B$5,"Error",SUM(F1476:G1476))</f>
        <v>0</v>
      </c>
      <c r="I1476" s="8"/>
    </row>
    <row r="1477" spans="1:9">
      <c r="A1477" s="8"/>
      <c r="B1477" s="8"/>
      <c r="C1477" s="2">
        <f>F1477/Instructions!$B$5</f>
        <v>0</v>
      </c>
      <c r="D1477" s="2">
        <f>G1477/Instructions!$B$5</f>
        <v>0</v>
      </c>
      <c r="E1477" s="2">
        <f t="shared" si="23"/>
        <v>0</v>
      </c>
      <c r="F1477" s="9"/>
      <c r="G1477" s="9"/>
      <c r="H1477" s="2">
        <f>IF(SUM(F1477:G1477)&gt;Instructions!$B$5,"Error",SUM(F1477:G1477))</f>
        <v>0</v>
      </c>
      <c r="I1477" s="8"/>
    </row>
    <row r="1478" spans="1:9">
      <c r="A1478" s="8"/>
      <c r="B1478" s="8"/>
      <c r="C1478" s="2">
        <f>F1478/Instructions!$B$5</f>
        <v>0</v>
      </c>
      <c r="D1478" s="2">
        <f>G1478/Instructions!$B$5</f>
        <v>0</v>
      </c>
      <c r="E1478" s="2">
        <f t="shared" si="23"/>
        <v>0</v>
      </c>
      <c r="F1478" s="9"/>
      <c r="G1478" s="9"/>
      <c r="H1478" s="2">
        <f>IF(SUM(F1478:G1478)&gt;Instructions!$B$5,"Error",SUM(F1478:G1478))</f>
        <v>0</v>
      </c>
      <c r="I1478" s="8"/>
    </row>
    <row r="1479" spans="1:9">
      <c r="A1479" s="8"/>
      <c r="B1479" s="8"/>
      <c r="C1479" s="2">
        <f>F1479/Instructions!$B$5</f>
        <v>0</v>
      </c>
      <c r="D1479" s="2">
        <f>G1479/Instructions!$B$5</f>
        <v>0</v>
      </c>
      <c r="E1479" s="2">
        <f t="shared" si="23"/>
        <v>0</v>
      </c>
      <c r="F1479" s="9"/>
      <c r="G1479" s="9"/>
      <c r="H1479" s="2">
        <f>IF(SUM(F1479:G1479)&gt;Instructions!$B$5,"Error",SUM(F1479:G1479))</f>
        <v>0</v>
      </c>
      <c r="I1479" s="8"/>
    </row>
    <row r="1480" spans="1:9">
      <c r="A1480" s="8"/>
      <c r="B1480" s="8"/>
      <c r="C1480" s="2">
        <f>F1480/Instructions!$B$5</f>
        <v>0</v>
      </c>
      <c r="D1480" s="2">
        <f>G1480/Instructions!$B$5</f>
        <v>0</v>
      </c>
      <c r="E1480" s="2">
        <f t="shared" ref="E1480:E1543" si="24">IF(SUM(C1480:D1480)&gt;1,"Error",SUM(C1480:D1480))</f>
        <v>0</v>
      </c>
      <c r="F1480" s="9"/>
      <c r="G1480" s="9"/>
      <c r="H1480" s="2">
        <f>IF(SUM(F1480:G1480)&gt;Instructions!$B$5,"Error",SUM(F1480:G1480))</f>
        <v>0</v>
      </c>
      <c r="I1480" s="8"/>
    </row>
    <row r="1481" spans="1:9">
      <c r="A1481" s="8"/>
      <c r="B1481" s="8"/>
      <c r="C1481" s="2">
        <f>F1481/Instructions!$B$5</f>
        <v>0</v>
      </c>
      <c r="D1481" s="2">
        <f>G1481/Instructions!$B$5</f>
        <v>0</v>
      </c>
      <c r="E1481" s="2">
        <f t="shared" si="24"/>
        <v>0</v>
      </c>
      <c r="F1481" s="9"/>
      <c r="G1481" s="9"/>
      <c r="H1481" s="2">
        <f>IF(SUM(F1481:G1481)&gt;Instructions!$B$5,"Error",SUM(F1481:G1481))</f>
        <v>0</v>
      </c>
      <c r="I1481" s="8"/>
    </row>
    <row r="1482" spans="1:9">
      <c r="A1482" s="8"/>
      <c r="B1482" s="8"/>
      <c r="C1482" s="2">
        <f>F1482/Instructions!$B$5</f>
        <v>0</v>
      </c>
      <c r="D1482" s="2">
        <f>G1482/Instructions!$B$5</f>
        <v>0</v>
      </c>
      <c r="E1482" s="2">
        <f t="shared" si="24"/>
        <v>0</v>
      </c>
      <c r="F1482" s="9"/>
      <c r="G1482" s="9"/>
      <c r="H1482" s="2">
        <f>IF(SUM(F1482:G1482)&gt;Instructions!$B$5,"Error",SUM(F1482:G1482))</f>
        <v>0</v>
      </c>
      <c r="I1482" s="8"/>
    </row>
    <row r="1483" spans="1:9">
      <c r="A1483" s="8"/>
      <c r="B1483" s="8"/>
      <c r="C1483" s="2">
        <f>F1483/Instructions!$B$5</f>
        <v>0</v>
      </c>
      <c r="D1483" s="2">
        <f>G1483/Instructions!$B$5</f>
        <v>0</v>
      </c>
      <c r="E1483" s="2">
        <f t="shared" si="24"/>
        <v>0</v>
      </c>
      <c r="F1483" s="9"/>
      <c r="G1483" s="9"/>
      <c r="H1483" s="2">
        <f>IF(SUM(F1483:G1483)&gt;Instructions!$B$5,"Error",SUM(F1483:G1483))</f>
        <v>0</v>
      </c>
      <c r="I1483" s="8"/>
    </row>
    <row r="1484" spans="1:9">
      <c r="A1484" s="8"/>
      <c r="B1484" s="8"/>
      <c r="C1484" s="2">
        <f>F1484/Instructions!$B$5</f>
        <v>0</v>
      </c>
      <c r="D1484" s="2">
        <f>G1484/Instructions!$B$5</f>
        <v>0</v>
      </c>
      <c r="E1484" s="2">
        <f t="shared" si="24"/>
        <v>0</v>
      </c>
      <c r="F1484" s="9"/>
      <c r="G1484" s="9"/>
      <c r="H1484" s="2">
        <f>IF(SUM(F1484:G1484)&gt;Instructions!$B$5,"Error",SUM(F1484:G1484))</f>
        <v>0</v>
      </c>
      <c r="I1484" s="8"/>
    </row>
    <row r="1485" spans="1:9">
      <c r="A1485" s="8"/>
      <c r="B1485" s="8"/>
      <c r="C1485" s="2">
        <f>F1485/Instructions!$B$5</f>
        <v>0</v>
      </c>
      <c r="D1485" s="2">
        <f>G1485/Instructions!$B$5</f>
        <v>0</v>
      </c>
      <c r="E1485" s="2">
        <f t="shared" si="24"/>
        <v>0</v>
      </c>
      <c r="F1485" s="9"/>
      <c r="G1485" s="9"/>
      <c r="H1485" s="2">
        <f>IF(SUM(F1485:G1485)&gt;Instructions!$B$5,"Error",SUM(F1485:G1485))</f>
        <v>0</v>
      </c>
      <c r="I1485" s="8"/>
    </row>
    <row r="1486" spans="1:9">
      <c r="A1486" s="8"/>
      <c r="B1486" s="8"/>
      <c r="C1486" s="2">
        <f>F1486/Instructions!$B$5</f>
        <v>0</v>
      </c>
      <c r="D1486" s="2">
        <f>G1486/Instructions!$B$5</f>
        <v>0</v>
      </c>
      <c r="E1486" s="2">
        <f t="shared" si="24"/>
        <v>0</v>
      </c>
      <c r="F1486" s="9"/>
      <c r="G1486" s="9"/>
      <c r="H1486" s="2">
        <f>IF(SUM(F1486:G1486)&gt;Instructions!$B$5,"Error",SUM(F1486:G1486))</f>
        <v>0</v>
      </c>
      <c r="I1486" s="8"/>
    </row>
    <row r="1487" spans="1:9">
      <c r="A1487" s="8"/>
      <c r="B1487" s="8"/>
      <c r="C1487" s="2">
        <f>F1487/Instructions!$B$5</f>
        <v>0</v>
      </c>
      <c r="D1487" s="2">
        <f>G1487/Instructions!$B$5</f>
        <v>0</v>
      </c>
      <c r="E1487" s="2">
        <f t="shared" si="24"/>
        <v>0</v>
      </c>
      <c r="F1487" s="9"/>
      <c r="G1487" s="9"/>
      <c r="H1487" s="2">
        <f>IF(SUM(F1487:G1487)&gt;Instructions!$B$5,"Error",SUM(F1487:G1487))</f>
        <v>0</v>
      </c>
      <c r="I1487" s="8"/>
    </row>
    <row r="1488" spans="1:9">
      <c r="A1488" s="8"/>
      <c r="B1488" s="8"/>
      <c r="C1488" s="2">
        <f>F1488/Instructions!$B$5</f>
        <v>0</v>
      </c>
      <c r="D1488" s="2">
        <f>G1488/Instructions!$B$5</f>
        <v>0</v>
      </c>
      <c r="E1488" s="2">
        <f t="shared" si="24"/>
        <v>0</v>
      </c>
      <c r="F1488" s="9"/>
      <c r="G1488" s="9"/>
      <c r="H1488" s="2">
        <f>IF(SUM(F1488:G1488)&gt;Instructions!$B$5,"Error",SUM(F1488:G1488))</f>
        <v>0</v>
      </c>
      <c r="I1488" s="8"/>
    </row>
    <row r="1489" spans="1:9">
      <c r="A1489" s="8"/>
      <c r="B1489" s="8"/>
      <c r="C1489" s="2">
        <f>F1489/Instructions!$B$5</f>
        <v>0</v>
      </c>
      <c r="D1489" s="2">
        <f>G1489/Instructions!$B$5</f>
        <v>0</v>
      </c>
      <c r="E1489" s="2">
        <f t="shared" si="24"/>
        <v>0</v>
      </c>
      <c r="F1489" s="9"/>
      <c r="G1489" s="9"/>
      <c r="H1489" s="2">
        <f>IF(SUM(F1489:G1489)&gt;Instructions!$B$5,"Error",SUM(F1489:G1489))</f>
        <v>0</v>
      </c>
      <c r="I1489" s="8"/>
    </row>
    <row r="1490" spans="1:9">
      <c r="A1490" s="8"/>
      <c r="B1490" s="8"/>
      <c r="C1490" s="2">
        <f>F1490/Instructions!$B$5</f>
        <v>0</v>
      </c>
      <c r="D1490" s="2">
        <f>G1490/Instructions!$B$5</f>
        <v>0</v>
      </c>
      <c r="E1490" s="2">
        <f t="shared" si="24"/>
        <v>0</v>
      </c>
      <c r="F1490" s="9"/>
      <c r="G1490" s="9"/>
      <c r="H1490" s="2">
        <f>IF(SUM(F1490:G1490)&gt;Instructions!$B$5,"Error",SUM(F1490:G1490))</f>
        <v>0</v>
      </c>
      <c r="I1490" s="8"/>
    </row>
    <row r="1491" spans="1:9">
      <c r="A1491" s="8"/>
      <c r="B1491" s="8"/>
      <c r="C1491" s="2">
        <f>F1491/Instructions!$B$5</f>
        <v>0</v>
      </c>
      <c r="D1491" s="2">
        <f>G1491/Instructions!$B$5</f>
        <v>0</v>
      </c>
      <c r="E1491" s="2">
        <f t="shared" si="24"/>
        <v>0</v>
      </c>
      <c r="F1491" s="9"/>
      <c r="G1491" s="9"/>
      <c r="H1491" s="2">
        <f>IF(SUM(F1491:G1491)&gt;Instructions!$B$5,"Error",SUM(F1491:G1491))</f>
        <v>0</v>
      </c>
      <c r="I1491" s="8"/>
    </row>
    <row r="1492" spans="1:9">
      <c r="A1492" s="8"/>
      <c r="B1492" s="8"/>
      <c r="C1492" s="2">
        <f>F1492/Instructions!$B$5</f>
        <v>0</v>
      </c>
      <c r="D1492" s="2">
        <f>G1492/Instructions!$B$5</f>
        <v>0</v>
      </c>
      <c r="E1492" s="2">
        <f t="shared" si="24"/>
        <v>0</v>
      </c>
      <c r="F1492" s="9"/>
      <c r="G1492" s="9"/>
      <c r="H1492" s="2">
        <f>IF(SUM(F1492:G1492)&gt;Instructions!$B$5,"Error",SUM(F1492:G1492))</f>
        <v>0</v>
      </c>
      <c r="I1492" s="8"/>
    </row>
    <row r="1493" spans="1:9">
      <c r="A1493" s="8"/>
      <c r="B1493" s="8"/>
      <c r="C1493" s="2">
        <f>F1493/Instructions!$B$5</f>
        <v>0</v>
      </c>
      <c r="D1493" s="2">
        <f>G1493/Instructions!$B$5</f>
        <v>0</v>
      </c>
      <c r="E1493" s="2">
        <f t="shared" si="24"/>
        <v>0</v>
      </c>
      <c r="F1493" s="9"/>
      <c r="G1493" s="9"/>
      <c r="H1493" s="2">
        <f>IF(SUM(F1493:G1493)&gt;Instructions!$B$5,"Error",SUM(F1493:G1493))</f>
        <v>0</v>
      </c>
      <c r="I1493" s="8"/>
    </row>
    <row r="1494" spans="1:9">
      <c r="A1494" s="8"/>
      <c r="B1494" s="8"/>
      <c r="C1494" s="2">
        <f>F1494/Instructions!$B$5</f>
        <v>0</v>
      </c>
      <c r="D1494" s="2">
        <f>G1494/Instructions!$B$5</f>
        <v>0</v>
      </c>
      <c r="E1494" s="2">
        <f t="shared" si="24"/>
        <v>0</v>
      </c>
      <c r="F1494" s="9"/>
      <c r="G1494" s="9"/>
      <c r="H1494" s="2">
        <f>IF(SUM(F1494:G1494)&gt;Instructions!$B$5,"Error",SUM(F1494:G1494))</f>
        <v>0</v>
      </c>
      <c r="I1494" s="8"/>
    </row>
    <row r="1495" spans="1:9">
      <c r="A1495" s="8"/>
      <c r="B1495" s="8"/>
      <c r="C1495" s="2">
        <f>F1495/Instructions!$B$5</f>
        <v>0</v>
      </c>
      <c r="D1495" s="2">
        <f>G1495/Instructions!$B$5</f>
        <v>0</v>
      </c>
      <c r="E1495" s="2">
        <f t="shared" si="24"/>
        <v>0</v>
      </c>
      <c r="F1495" s="9"/>
      <c r="G1495" s="9"/>
      <c r="H1495" s="2">
        <f>IF(SUM(F1495:G1495)&gt;Instructions!$B$5,"Error",SUM(F1495:G1495))</f>
        <v>0</v>
      </c>
      <c r="I1495" s="8"/>
    </row>
    <row r="1496" spans="1:9">
      <c r="A1496" s="8"/>
      <c r="B1496" s="8"/>
      <c r="C1496" s="2">
        <f>F1496/Instructions!$B$5</f>
        <v>0</v>
      </c>
      <c r="D1496" s="2">
        <f>G1496/Instructions!$B$5</f>
        <v>0</v>
      </c>
      <c r="E1496" s="2">
        <f t="shared" si="24"/>
        <v>0</v>
      </c>
      <c r="F1496" s="9"/>
      <c r="G1496" s="9"/>
      <c r="H1496" s="2">
        <f>IF(SUM(F1496:G1496)&gt;Instructions!$B$5,"Error",SUM(F1496:G1496))</f>
        <v>0</v>
      </c>
      <c r="I1496" s="8"/>
    </row>
    <row r="1497" spans="1:9">
      <c r="A1497" s="8"/>
      <c r="B1497" s="8"/>
      <c r="C1497" s="2">
        <f>F1497/Instructions!$B$5</f>
        <v>0</v>
      </c>
      <c r="D1497" s="2">
        <f>G1497/Instructions!$B$5</f>
        <v>0</v>
      </c>
      <c r="E1497" s="2">
        <f t="shared" si="24"/>
        <v>0</v>
      </c>
      <c r="F1497" s="9"/>
      <c r="G1497" s="9"/>
      <c r="H1497" s="2">
        <f>IF(SUM(F1497:G1497)&gt;Instructions!$B$5,"Error",SUM(F1497:G1497))</f>
        <v>0</v>
      </c>
      <c r="I1497" s="8"/>
    </row>
    <row r="1498" spans="1:9">
      <c r="A1498" s="8"/>
      <c r="B1498" s="8"/>
      <c r="C1498" s="2">
        <f>F1498/Instructions!$B$5</f>
        <v>0</v>
      </c>
      <c r="D1498" s="2">
        <f>G1498/Instructions!$B$5</f>
        <v>0</v>
      </c>
      <c r="E1498" s="2">
        <f t="shared" si="24"/>
        <v>0</v>
      </c>
      <c r="F1498" s="9"/>
      <c r="G1498" s="9"/>
      <c r="H1498" s="2">
        <f>IF(SUM(F1498:G1498)&gt;Instructions!$B$5,"Error",SUM(F1498:G1498))</f>
        <v>0</v>
      </c>
      <c r="I1498" s="8"/>
    </row>
    <row r="1499" spans="1:9">
      <c r="A1499" s="8"/>
      <c r="B1499" s="8"/>
      <c r="C1499" s="2">
        <f>F1499/Instructions!$B$5</f>
        <v>0</v>
      </c>
      <c r="D1499" s="2">
        <f>G1499/Instructions!$B$5</f>
        <v>0</v>
      </c>
      <c r="E1499" s="2">
        <f t="shared" si="24"/>
        <v>0</v>
      </c>
      <c r="F1499" s="9"/>
      <c r="G1499" s="9"/>
      <c r="H1499" s="2">
        <f>IF(SUM(F1499:G1499)&gt;Instructions!$B$5,"Error",SUM(F1499:G1499))</f>
        <v>0</v>
      </c>
      <c r="I1499" s="8"/>
    </row>
    <row r="1500" spans="1:9">
      <c r="A1500" s="8"/>
      <c r="B1500" s="8"/>
      <c r="C1500" s="2">
        <f>F1500/Instructions!$B$5</f>
        <v>0</v>
      </c>
      <c r="D1500" s="2">
        <f>G1500/Instructions!$B$5</f>
        <v>0</v>
      </c>
      <c r="E1500" s="2">
        <f t="shared" si="24"/>
        <v>0</v>
      </c>
      <c r="F1500" s="9"/>
      <c r="G1500" s="9"/>
      <c r="H1500" s="2">
        <f>IF(SUM(F1500:G1500)&gt;Instructions!$B$5,"Error",SUM(F1500:G1500))</f>
        <v>0</v>
      </c>
      <c r="I1500" s="8"/>
    </row>
    <row r="1501" spans="1:9">
      <c r="A1501" s="8"/>
      <c r="B1501" s="8"/>
      <c r="C1501" s="2">
        <f>F1501/Instructions!$B$5</f>
        <v>0</v>
      </c>
      <c r="D1501" s="2">
        <f>G1501/Instructions!$B$5</f>
        <v>0</v>
      </c>
      <c r="E1501" s="2">
        <f t="shared" si="24"/>
        <v>0</v>
      </c>
      <c r="F1501" s="9"/>
      <c r="G1501" s="9"/>
      <c r="H1501" s="2">
        <f>IF(SUM(F1501:G1501)&gt;Instructions!$B$5,"Error",SUM(F1501:G1501))</f>
        <v>0</v>
      </c>
      <c r="I1501" s="8"/>
    </row>
    <row r="1502" spans="1:9">
      <c r="A1502" s="8"/>
      <c r="B1502" s="8"/>
      <c r="C1502" s="2">
        <f>F1502/Instructions!$B$5</f>
        <v>0</v>
      </c>
      <c r="D1502" s="2">
        <f>G1502/Instructions!$B$5</f>
        <v>0</v>
      </c>
      <c r="E1502" s="2">
        <f t="shared" si="24"/>
        <v>0</v>
      </c>
      <c r="F1502" s="9"/>
      <c r="G1502" s="9"/>
      <c r="H1502" s="2">
        <f>IF(SUM(F1502:G1502)&gt;Instructions!$B$5,"Error",SUM(F1502:G1502))</f>
        <v>0</v>
      </c>
      <c r="I1502" s="8"/>
    </row>
    <row r="1503" spans="1:9">
      <c r="A1503" s="8"/>
      <c r="B1503" s="8"/>
      <c r="C1503" s="2">
        <f>F1503/Instructions!$B$5</f>
        <v>0</v>
      </c>
      <c r="D1503" s="2">
        <f>G1503/Instructions!$B$5</f>
        <v>0</v>
      </c>
      <c r="E1503" s="2">
        <f t="shared" si="24"/>
        <v>0</v>
      </c>
      <c r="F1503" s="9"/>
      <c r="G1503" s="9"/>
      <c r="H1503" s="2">
        <f>IF(SUM(F1503:G1503)&gt;Instructions!$B$5,"Error",SUM(F1503:G1503))</f>
        <v>0</v>
      </c>
      <c r="I1503" s="8"/>
    </row>
    <row r="1504" spans="1:9">
      <c r="A1504" s="8"/>
      <c r="B1504" s="8"/>
      <c r="C1504" s="2">
        <f>F1504/Instructions!$B$5</f>
        <v>0</v>
      </c>
      <c r="D1504" s="2">
        <f>G1504/Instructions!$B$5</f>
        <v>0</v>
      </c>
      <c r="E1504" s="2">
        <f t="shared" si="24"/>
        <v>0</v>
      </c>
      <c r="F1504" s="9"/>
      <c r="G1504" s="9"/>
      <c r="H1504" s="2">
        <f>IF(SUM(F1504:G1504)&gt;Instructions!$B$5,"Error",SUM(F1504:G1504))</f>
        <v>0</v>
      </c>
      <c r="I1504" s="8"/>
    </row>
    <row r="1505" spans="1:9">
      <c r="A1505" s="8"/>
      <c r="B1505" s="8"/>
      <c r="C1505" s="2">
        <f>F1505/Instructions!$B$5</f>
        <v>0</v>
      </c>
      <c r="D1505" s="2">
        <f>G1505/Instructions!$B$5</f>
        <v>0</v>
      </c>
      <c r="E1505" s="2">
        <f t="shared" si="24"/>
        <v>0</v>
      </c>
      <c r="F1505" s="9"/>
      <c r="G1505" s="9"/>
      <c r="H1505" s="2">
        <f>IF(SUM(F1505:G1505)&gt;Instructions!$B$5,"Error",SUM(F1505:G1505))</f>
        <v>0</v>
      </c>
      <c r="I1505" s="8"/>
    </row>
    <row r="1506" spans="1:9">
      <c r="A1506" s="8"/>
      <c r="B1506" s="8"/>
      <c r="C1506" s="2">
        <f>F1506/Instructions!$B$5</f>
        <v>0</v>
      </c>
      <c r="D1506" s="2">
        <f>G1506/Instructions!$B$5</f>
        <v>0</v>
      </c>
      <c r="E1506" s="2">
        <f t="shared" si="24"/>
        <v>0</v>
      </c>
      <c r="F1506" s="9"/>
      <c r="G1506" s="9"/>
      <c r="H1506" s="2">
        <f>IF(SUM(F1506:G1506)&gt;Instructions!$B$5,"Error",SUM(F1506:G1506))</f>
        <v>0</v>
      </c>
      <c r="I1506" s="8"/>
    </row>
    <row r="1507" spans="1:9">
      <c r="A1507" s="8"/>
      <c r="B1507" s="8"/>
      <c r="C1507" s="2">
        <f>F1507/Instructions!$B$5</f>
        <v>0</v>
      </c>
      <c r="D1507" s="2">
        <f>G1507/Instructions!$B$5</f>
        <v>0</v>
      </c>
      <c r="E1507" s="2">
        <f t="shared" si="24"/>
        <v>0</v>
      </c>
      <c r="F1507" s="9"/>
      <c r="G1507" s="9"/>
      <c r="H1507" s="2">
        <f>IF(SUM(F1507:G1507)&gt;Instructions!$B$5,"Error",SUM(F1507:G1507))</f>
        <v>0</v>
      </c>
      <c r="I1507" s="8"/>
    </row>
    <row r="1508" spans="1:9">
      <c r="A1508" s="8"/>
      <c r="B1508" s="8"/>
      <c r="C1508" s="2">
        <f>F1508/Instructions!$B$5</f>
        <v>0</v>
      </c>
      <c r="D1508" s="2">
        <f>G1508/Instructions!$B$5</f>
        <v>0</v>
      </c>
      <c r="E1508" s="2">
        <f t="shared" si="24"/>
        <v>0</v>
      </c>
      <c r="F1508" s="9"/>
      <c r="G1508" s="9"/>
      <c r="H1508" s="2">
        <f>IF(SUM(F1508:G1508)&gt;Instructions!$B$5,"Error",SUM(F1508:G1508))</f>
        <v>0</v>
      </c>
      <c r="I1508" s="8"/>
    </row>
    <row r="1509" spans="1:9">
      <c r="A1509" s="8"/>
      <c r="B1509" s="8"/>
      <c r="C1509" s="2">
        <f>F1509/Instructions!$B$5</f>
        <v>0</v>
      </c>
      <c r="D1509" s="2">
        <f>G1509/Instructions!$B$5</f>
        <v>0</v>
      </c>
      <c r="E1509" s="2">
        <f t="shared" si="24"/>
        <v>0</v>
      </c>
      <c r="F1509" s="9"/>
      <c r="G1509" s="9"/>
      <c r="H1509" s="2">
        <f>IF(SUM(F1509:G1509)&gt;Instructions!$B$5,"Error",SUM(F1509:G1509))</f>
        <v>0</v>
      </c>
      <c r="I1509" s="8"/>
    </row>
    <row r="1510" spans="1:9">
      <c r="A1510" s="8"/>
      <c r="B1510" s="8"/>
      <c r="C1510" s="2">
        <f>F1510/Instructions!$B$5</f>
        <v>0</v>
      </c>
      <c r="D1510" s="2">
        <f>G1510/Instructions!$B$5</f>
        <v>0</v>
      </c>
      <c r="E1510" s="2">
        <f t="shared" si="24"/>
        <v>0</v>
      </c>
      <c r="F1510" s="9"/>
      <c r="G1510" s="9"/>
      <c r="H1510" s="2">
        <f>IF(SUM(F1510:G1510)&gt;Instructions!$B$5,"Error",SUM(F1510:G1510))</f>
        <v>0</v>
      </c>
      <c r="I1510" s="8"/>
    </row>
    <row r="1511" spans="1:9">
      <c r="A1511" s="8"/>
      <c r="B1511" s="8"/>
      <c r="C1511" s="2">
        <f>F1511/Instructions!$B$5</f>
        <v>0</v>
      </c>
      <c r="D1511" s="2">
        <f>G1511/Instructions!$B$5</f>
        <v>0</v>
      </c>
      <c r="E1511" s="2">
        <f t="shared" si="24"/>
        <v>0</v>
      </c>
      <c r="F1511" s="9"/>
      <c r="G1511" s="9"/>
      <c r="H1511" s="2">
        <f>IF(SUM(F1511:G1511)&gt;Instructions!$B$5,"Error",SUM(F1511:G1511))</f>
        <v>0</v>
      </c>
      <c r="I1511" s="8"/>
    </row>
    <row r="1512" spans="1:9">
      <c r="A1512" s="8"/>
      <c r="B1512" s="8"/>
      <c r="C1512" s="2">
        <f>F1512/Instructions!$B$5</f>
        <v>0</v>
      </c>
      <c r="D1512" s="2">
        <f>G1512/Instructions!$B$5</f>
        <v>0</v>
      </c>
      <c r="E1512" s="2">
        <f t="shared" si="24"/>
        <v>0</v>
      </c>
      <c r="F1512" s="9"/>
      <c r="G1512" s="9"/>
      <c r="H1512" s="2">
        <f>IF(SUM(F1512:G1512)&gt;Instructions!$B$5,"Error",SUM(F1512:G1512))</f>
        <v>0</v>
      </c>
      <c r="I1512" s="8"/>
    </row>
    <row r="1513" spans="1:9">
      <c r="A1513" s="8"/>
      <c r="B1513" s="8"/>
      <c r="C1513" s="2">
        <f>F1513/Instructions!$B$5</f>
        <v>0</v>
      </c>
      <c r="D1513" s="2">
        <f>G1513/Instructions!$B$5</f>
        <v>0</v>
      </c>
      <c r="E1513" s="2">
        <f t="shared" si="24"/>
        <v>0</v>
      </c>
      <c r="F1513" s="9"/>
      <c r="G1513" s="9"/>
      <c r="H1513" s="2">
        <f>IF(SUM(F1513:G1513)&gt;Instructions!$B$5,"Error",SUM(F1513:G1513))</f>
        <v>0</v>
      </c>
      <c r="I1513" s="8"/>
    </row>
    <row r="1514" spans="1:9">
      <c r="A1514" s="8"/>
      <c r="B1514" s="8"/>
      <c r="C1514" s="2">
        <f>F1514/Instructions!$B$5</f>
        <v>0</v>
      </c>
      <c r="D1514" s="2">
        <f>G1514/Instructions!$B$5</f>
        <v>0</v>
      </c>
      <c r="E1514" s="2">
        <f t="shared" si="24"/>
        <v>0</v>
      </c>
      <c r="F1514" s="9"/>
      <c r="G1514" s="9"/>
      <c r="H1514" s="2">
        <f>IF(SUM(F1514:G1514)&gt;Instructions!$B$5,"Error",SUM(F1514:G1514))</f>
        <v>0</v>
      </c>
      <c r="I1514" s="8"/>
    </row>
    <row r="1515" spans="1:9">
      <c r="A1515" s="8"/>
      <c r="B1515" s="8"/>
      <c r="C1515" s="2">
        <f>F1515/Instructions!$B$5</f>
        <v>0</v>
      </c>
      <c r="D1515" s="2">
        <f>G1515/Instructions!$B$5</f>
        <v>0</v>
      </c>
      <c r="E1515" s="2">
        <f t="shared" si="24"/>
        <v>0</v>
      </c>
      <c r="F1515" s="9"/>
      <c r="G1515" s="9"/>
      <c r="H1515" s="2">
        <f>IF(SUM(F1515:G1515)&gt;Instructions!$B$5,"Error",SUM(F1515:G1515))</f>
        <v>0</v>
      </c>
      <c r="I1515" s="8"/>
    </row>
    <row r="1516" spans="1:9">
      <c r="A1516" s="8"/>
      <c r="B1516" s="8"/>
      <c r="C1516" s="2">
        <f>F1516/Instructions!$B$5</f>
        <v>0</v>
      </c>
      <c r="D1516" s="2">
        <f>G1516/Instructions!$B$5</f>
        <v>0</v>
      </c>
      <c r="E1516" s="2">
        <f t="shared" si="24"/>
        <v>0</v>
      </c>
      <c r="F1516" s="9"/>
      <c r="G1516" s="9"/>
      <c r="H1516" s="2">
        <f>IF(SUM(F1516:G1516)&gt;Instructions!$B$5,"Error",SUM(F1516:G1516))</f>
        <v>0</v>
      </c>
      <c r="I1516" s="8"/>
    </row>
    <row r="1517" spans="1:9">
      <c r="A1517" s="8"/>
      <c r="B1517" s="8"/>
      <c r="C1517" s="2">
        <f>F1517/Instructions!$B$5</f>
        <v>0</v>
      </c>
      <c r="D1517" s="2">
        <f>G1517/Instructions!$B$5</f>
        <v>0</v>
      </c>
      <c r="E1517" s="2">
        <f t="shared" si="24"/>
        <v>0</v>
      </c>
      <c r="F1517" s="9"/>
      <c r="G1517" s="9"/>
      <c r="H1517" s="2">
        <f>IF(SUM(F1517:G1517)&gt;Instructions!$B$5,"Error",SUM(F1517:G1517))</f>
        <v>0</v>
      </c>
      <c r="I1517" s="8"/>
    </row>
    <row r="1518" spans="1:9">
      <c r="A1518" s="8"/>
      <c r="B1518" s="8"/>
      <c r="C1518" s="2">
        <f>F1518/Instructions!$B$5</f>
        <v>0</v>
      </c>
      <c r="D1518" s="2">
        <f>G1518/Instructions!$B$5</f>
        <v>0</v>
      </c>
      <c r="E1518" s="2">
        <f t="shared" si="24"/>
        <v>0</v>
      </c>
      <c r="F1518" s="9"/>
      <c r="G1518" s="9"/>
      <c r="H1518" s="2">
        <f>IF(SUM(F1518:G1518)&gt;Instructions!$B$5,"Error",SUM(F1518:G1518))</f>
        <v>0</v>
      </c>
      <c r="I1518" s="8"/>
    </row>
    <row r="1519" spans="1:9">
      <c r="A1519" s="8"/>
      <c r="B1519" s="8"/>
      <c r="C1519" s="2">
        <f>F1519/Instructions!$B$5</f>
        <v>0</v>
      </c>
      <c r="D1519" s="2">
        <f>G1519/Instructions!$B$5</f>
        <v>0</v>
      </c>
      <c r="E1519" s="2">
        <f t="shared" si="24"/>
        <v>0</v>
      </c>
      <c r="F1519" s="9"/>
      <c r="G1519" s="9"/>
      <c r="H1519" s="2">
        <f>IF(SUM(F1519:G1519)&gt;Instructions!$B$5,"Error",SUM(F1519:G1519))</f>
        <v>0</v>
      </c>
      <c r="I1519" s="8"/>
    </row>
    <row r="1520" spans="1:9">
      <c r="A1520" s="8"/>
      <c r="B1520" s="8"/>
      <c r="C1520" s="2">
        <f>F1520/Instructions!$B$5</f>
        <v>0</v>
      </c>
      <c r="D1520" s="2">
        <f>G1520/Instructions!$B$5</f>
        <v>0</v>
      </c>
      <c r="E1520" s="2">
        <f t="shared" si="24"/>
        <v>0</v>
      </c>
      <c r="F1520" s="9"/>
      <c r="G1520" s="9"/>
      <c r="H1520" s="2">
        <f>IF(SUM(F1520:G1520)&gt;Instructions!$B$5,"Error",SUM(F1520:G1520))</f>
        <v>0</v>
      </c>
      <c r="I1520" s="8"/>
    </row>
    <row r="1521" spans="1:9">
      <c r="A1521" s="8"/>
      <c r="B1521" s="8"/>
      <c r="C1521" s="2">
        <f>F1521/Instructions!$B$5</f>
        <v>0</v>
      </c>
      <c r="D1521" s="2">
        <f>G1521/Instructions!$B$5</f>
        <v>0</v>
      </c>
      <c r="E1521" s="2">
        <f t="shared" si="24"/>
        <v>0</v>
      </c>
      <c r="F1521" s="9"/>
      <c r="G1521" s="9"/>
      <c r="H1521" s="2">
        <f>IF(SUM(F1521:G1521)&gt;Instructions!$B$5,"Error",SUM(F1521:G1521))</f>
        <v>0</v>
      </c>
      <c r="I1521" s="8"/>
    </row>
    <row r="1522" spans="1:9">
      <c r="A1522" s="8"/>
      <c r="B1522" s="8"/>
      <c r="C1522" s="2">
        <f>F1522/Instructions!$B$5</f>
        <v>0</v>
      </c>
      <c r="D1522" s="2">
        <f>G1522/Instructions!$B$5</f>
        <v>0</v>
      </c>
      <c r="E1522" s="2">
        <f t="shared" si="24"/>
        <v>0</v>
      </c>
      <c r="F1522" s="9"/>
      <c r="G1522" s="9"/>
      <c r="H1522" s="2">
        <f>IF(SUM(F1522:G1522)&gt;Instructions!$B$5,"Error",SUM(F1522:G1522))</f>
        <v>0</v>
      </c>
      <c r="I1522" s="8"/>
    </row>
    <row r="1523" spans="1:9">
      <c r="A1523" s="8"/>
      <c r="B1523" s="8"/>
      <c r="C1523" s="2">
        <f>F1523/Instructions!$B$5</f>
        <v>0</v>
      </c>
      <c r="D1523" s="2">
        <f>G1523/Instructions!$B$5</f>
        <v>0</v>
      </c>
      <c r="E1523" s="2">
        <f t="shared" si="24"/>
        <v>0</v>
      </c>
      <c r="F1523" s="9"/>
      <c r="G1523" s="9"/>
      <c r="H1523" s="2">
        <f>IF(SUM(F1523:G1523)&gt;Instructions!$B$5,"Error",SUM(F1523:G1523))</f>
        <v>0</v>
      </c>
      <c r="I1523" s="8"/>
    </row>
    <row r="1524" spans="1:9">
      <c r="A1524" s="8"/>
      <c r="B1524" s="8"/>
      <c r="C1524" s="2">
        <f>F1524/Instructions!$B$5</f>
        <v>0</v>
      </c>
      <c r="D1524" s="2">
        <f>G1524/Instructions!$B$5</f>
        <v>0</v>
      </c>
      <c r="E1524" s="2">
        <f t="shared" si="24"/>
        <v>0</v>
      </c>
      <c r="F1524" s="9"/>
      <c r="G1524" s="9"/>
      <c r="H1524" s="2">
        <f>IF(SUM(F1524:G1524)&gt;Instructions!$B$5,"Error",SUM(F1524:G1524))</f>
        <v>0</v>
      </c>
      <c r="I1524" s="8"/>
    </row>
    <row r="1525" spans="1:9">
      <c r="A1525" s="8"/>
      <c r="B1525" s="8"/>
      <c r="C1525" s="2">
        <f>F1525/Instructions!$B$5</f>
        <v>0</v>
      </c>
      <c r="D1525" s="2">
        <f>G1525/Instructions!$B$5</f>
        <v>0</v>
      </c>
      <c r="E1525" s="2">
        <f t="shared" si="24"/>
        <v>0</v>
      </c>
      <c r="F1525" s="9"/>
      <c r="G1525" s="9"/>
      <c r="H1525" s="2">
        <f>IF(SUM(F1525:G1525)&gt;Instructions!$B$5,"Error",SUM(F1525:G1525))</f>
        <v>0</v>
      </c>
      <c r="I1525" s="8"/>
    </row>
    <row r="1526" spans="1:9">
      <c r="A1526" s="8"/>
      <c r="B1526" s="8"/>
      <c r="C1526" s="2">
        <f>F1526/Instructions!$B$5</f>
        <v>0</v>
      </c>
      <c r="D1526" s="2">
        <f>G1526/Instructions!$B$5</f>
        <v>0</v>
      </c>
      <c r="E1526" s="2">
        <f t="shared" si="24"/>
        <v>0</v>
      </c>
      <c r="F1526" s="9"/>
      <c r="G1526" s="9"/>
      <c r="H1526" s="2">
        <f>IF(SUM(F1526:G1526)&gt;Instructions!$B$5,"Error",SUM(F1526:G1526))</f>
        <v>0</v>
      </c>
      <c r="I1526" s="8"/>
    </row>
    <row r="1527" spans="1:9">
      <c r="A1527" s="8"/>
      <c r="B1527" s="8"/>
      <c r="C1527" s="2">
        <f>F1527/Instructions!$B$5</f>
        <v>0</v>
      </c>
      <c r="D1527" s="2">
        <f>G1527/Instructions!$B$5</f>
        <v>0</v>
      </c>
      <c r="E1527" s="2">
        <f t="shared" si="24"/>
        <v>0</v>
      </c>
      <c r="F1527" s="9"/>
      <c r="G1527" s="9"/>
      <c r="H1527" s="2">
        <f>IF(SUM(F1527:G1527)&gt;Instructions!$B$5,"Error",SUM(F1527:G1527))</f>
        <v>0</v>
      </c>
      <c r="I1527" s="8"/>
    </row>
    <row r="1528" spans="1:9">
      <c r="A1528" s="8"/>
      <c r="B1528" s="8"/>
      <c r="C1528" s="2">
        <f>F1528/Instructions!$B$5</f>
        <v>0</v>
      </c>
      <c r="D1528" s="2">
        <f>G1528/Instructions!$B$5</f>
        <v>0</v>
      </c>
      <c r="E1528" s="2">
        <f t="shared" si="24"/>
        <v>0</v>
      </c>
      <c r="F1528" s="9"/>
      <c r="G1528" s="9"/>
      <c r="H1528" s="2">
        <f>IF(SUM(F1528:G1528)&gt;Instructions!$B$5,"Error",SUM(F1528:G1528))</f>
        <v>0</v>
      </c>
      <c r="I1528" s="8"/>
    </row>
    <row r="1529" spans="1:9">
      <c r="A1529" s="8"/>
      <c r="B1529" s="8"/>
      <c r="C1529" s="2">
        <f>F1529/Instructions!$B$5</f>
        <v>0</v>
      </c>
      <c r="D1529" s="2">
        <f>G1529/Instructions!$B$5</f>
        <v>0</v>
      </c>
      <c r="E1529" s="2">
        <f t="shared" si="24"/>
        <v>0</v>
      </c>
      <c r="F1529" s="9"/>
      <c r="G1529" s="9"/>
      <c r="H1529" s="2">
        <f>IF(SUM(F1529:G1529)&gt;Instructions!$B$5,"Error",SUM(F1529:G1529))</f>
        <v>0</v>
      </c>
      <c r="I1529" s="8"/>
    </row>
    <row r="1530" spans="1:9">
      <c r="A1530" s="8"/>
      <c r="B1530" s="8"/>
      <c r="C1530" s="2">
        <f>F1530/Instructions!$B$5</f>
        <v>0</v>
      </c>
      <c r="D1530" s="2">
        <f>G1530/Instructions!$B$5</f>
        <v>0</v>
      </c>
      <c r="E1530" s="2">
        <f t="shared" si="24"/>
        <v>0</v>
      </c>
      <c r="F1530" s="9"/>
      <c r="G1530" s="9"/>
      <c r="H1530" s="2">
        <f>IF(SUM(F1530:G1530)&gt;Instructions!$B$5,"Error",SUM(F1530:G1530))</f>
        <v>0</v>
      </c>
      <c r="I1530" s="8"/>
    </row>
    <row r="1531" spans="1:9">
      <c r="A1531" s="8"/>
      <c r="B1531" s="8"/>
      <c r="C1531" s="2">
        <f>F1531/Instructions!$B$5</f>
        <v>0</v>
      </c>
      <c r="D1531" s="2">
        <f>G1531/Instructions!$B$5</f>
        <v>0</v>
      </c>
      <c r="E1531" s="2">
        <f t="shared" si="24"/>
        <v>0</v>
      </c>
      <c r="F1531" s="9"/>
      <c r="G1531" s="9"/>
      <c r="H1531" s="2">
        <f>IF(SUM(F1531:G1531)&gt;Instructions!$B$5,"Error",SUM(F1531:G1531))</f>
        <v>0</v>
      </c>
      <c r="I1531" s="8"/>
    </row>
    <row r="1532" spans="1:9">
      <c r="A1532" s="8"/>
      <c r="B1532" s="8"/>
      <c r="C1532" s="2">
        <f>F1532/Instructions!$B$5</f>
        <v>0</v>
      </c>
      <c r="D1532" s="2">
        <f>G1532/Instructions!$B$5</f>
        <v>0</v>
      </c>
      <c r="E1532" s="2">
        <f t="shared" si="24"/>
        <v>0</v>
      </c>
      <c r="F1532" s="9"/>
      <c r="G1532" s="9"/>
      <c r="H1532" s="2">
        <f>IF(SUM(F1532:G1532)&gt;Instructions!$B$5,"Error",SUM(F1532:G1532))</f>
        <v>0</v>
      </c>
      <c r="I1532" s="8"/>
    </row>
    <row r="1533" spans="1:9">
      <c r="A1533" s="8"/>
      <c r="B1533" s="8"/>
      <c r="C1533" s="2">
        <f>F1533/Instructions!$B$5</f>
        <v>0</v>
      </c>
      <c r="D1533" s="2">
        <f>G1533/Instructions!$B$5</f>
        <v>0</v>
      </c>
      <c r="E1533" s="2">
        <f t="shared" si="24"/>
        <v>0</v>
      </c>
      <c r="F1533" s="9"/>
      <c r="G1533" s="9"/>
      <c r="H1533" s="2">
        <f>IF(SUM(F1533:G1533)&gt;Instructions!$B$5,"Error",SUM(F1533:G1533))</f>
        <v>0</v>
      </c>
      <c r="I1533" s="8"/>
    </row>
    <row r="1534" spans="1:9">
      <c r="A1534" s="8"/>
      <c r="B1534" s="8"/>
      <c r="C1534" s="2">
        <f>F1534/Instructions!$B$5</f>
        <v>0</v>
      </c>
      <c r="D1534" s="2">
        <f>G1534/Instructions!$B$5</f>
        <v>0</v>
      </c>
      <c r="E1534" s="2">
        <f t="shared" si="24"/>
        <v>0</v>
      </c>
      <c r="F1534" s="9"/>
      <c r="G1534" s="9"/>
      <c r="H1534" s="2">
        <f>IF(SUM(F1534:G1534)&gt;Instructions!$B$5,"Error",SUM(F1534:G1534))</f>
        <v>0</v>
      </c>
      <c r="I1534" s="8"/>
    </row>
    <row r="1535" spans="1:9">
      <c r="A1535" s="8"/>
      <c r="B1535" s="8"/>
      <c r="C1535" s="2">
        <f>F1535/Instructions!$B$5</f>
        <v>0</v>
      </c>
      <c r="D1535" s="2">
        <f>G1535/Instructions!$B$5</f>
        <v>0</v>
      </c>
      <c r="E1535" s="2">
        <f t="shared" si="24"/>
        <v>0</v>
      </c>
      <c r="F1535" s="9"/>
      <c r="G1535" s="9"/>
      <c r="H1535" s="2">
        <f>IF(SUM(F1535:G1535)&gt;Instructions!$B$5,"Error",SUM(F1535:G1535))</f>
        <v>0</v>
      </c>
      <c r="I1535" s="8"/>
    </row>
    <row r="1536" spans="1:9">
      <c r="A1536" s="8"/>
      <c r="B1536" s="8"/>
      <c r="C1536" s="2">
        <f>F1536/Instructions!$B$5</f>
        <v>0</v>
      </c>
      <c r="D1536" s="2">
        <f>G1536/Instructions!$B$5</f>
        <v>0</v>
      </c>
      <c r="E1536" s="2">
        <f t="shared" si="24"/>
        <v>0</v>
      </c>
      <c r="F1536" s="9"/>
      <c r="G1536" s="9"/>
      <c r="H1536" s="2">
        <f>IF(SUM(F1536:G1536)&gt;Instructions!$B$5,"Error",SUM(F1536:G1536))</f>
        <v>0</v>
      </c>
      <c r="I1536" s="8"/>
    </row>
    <row r="1537" spans="1:9">
      <c r="A1537" s="8"/>
      <c r="B1537" s="8"/>
      <c r="C1537" s="2">
        <f>F1537/Instructions!$B$5</f>
        <v>0</v>
      </c>
      <c r="D1537" s="2">
        <f>G1537/Instructions!$B$5</f>
        <v>0</v>
      </c>
      <c r="E1537" s="2">
        <f t="shared" si="24"/>
        <v>0</v>
      </c>
      <c r="F1537" s="9"/>
      <c r="G1537" s="9"/>
      <c r="H1537" s="2">
        <f>IF(SUM(F1537:G1537)&gt;Instructions!$B$5,"Error",SUM(F1537:G1537))</f>
        <v>0</v>
      </c>
      <c r="I1537" s="8"/>
    </row>
    <row r="1538" spans="1:9">
      <c r="A1538" s="8"/>
      <c r="B1538" s="8"/>
      <c r="C1538" s="2">
        <f>F1538/Instructions!$B$5</f>
        <v>0</v>
      </c>
      <c r="D1538" s="2">
        <f>G1538/Instructions!$B$5</f>
        <v>0</v>
      </c>
      <c r="E1538" s="2">
        <f t="shared" si="24"/>
        <v>0</v>
      </c>
      <c r="F1538" s="9"/>
      <c r="G1538" s="9"/>
      <c r="H1538" s="2">
        <f>IF(SUM(F1538:G1538)&gt;Instructions!$B$5,"Error",SUM(F1538:G1538))</f>
        <v>0</v>
      </c>
      <c r="I1538" s="8"/>
    </row>
    <row r="1539" spans="1:9">
      <c r="A1539" s="8"/>
      <c r="B1539" s="8"/>
      <c r="C1539" s="2">
        <f>F1539/Instructions!$B$5</f>
        <v>0</v>
      </c>
      <c r="D1539" s="2">
        <f>G1539/Instructions!$B$5</f>
        <v>0</v>
      </c>
      <c r="E1539" s="2">
        <f t="shared" si="24"/>
        <v>0</v>
      </c>
      <c r="F1539" s="9"/>
      <c r="G1539" s="9"/>
      <c r="H1539" s="2">
        <f>IF(SUM(F1539:G1539)&gt;Instructions!$B$5,"Error",SUM(F1539:G1539))</f>
        <v>0</v>
      </c>
      <c r="I1539" s="8"/>
    </row>
    <row r="1540" spans="1:9">
      <c r="A1540" s="8"/>
      <c r="B1540" s="8"/>
      <c r="C1540" s="2">
        <f>F1540/Instructions!$B$5</f>
        <v>0</v>
      </c>
      <c r="D1540" s="2">
        <f>G1540/Instructions!$B$5</f>
        <v>0</v>
      </c>
      <c r="E1540" s="2">
        <f t="shared" si="24"/>
        <v>0</v>
      </c>
      <c r="F1540" s="9"/>
      <c r="G1540" s="9"/>
      <c r="H1540" s="2">
        <f>IF(SUM(F1540:G1540)&gt;Instructions!$B$5,"Error",SUM(F1540:G1540))</f>
        <v>0</v>
      </c>
      <c r="I1540" s="8"/>
    </row>
    <row r="1541" spans="1:9">
      <c r="A1541" s="8"/>
      <c r="B1541" s="8"/>
      <c r="C1541" s="2">
        <f>F1541/Instructions!$B$5</f>
        <v>0</v>
      </c>
      <c r="D1541" s="2">
        <f>G1541/Instructions!$B$5</f>
        <v>0</v>
      </c>
      <c r="E1541" s="2">
        <f t="shared" si="24"/>
        <v>0</v>
      </c>
      <c r="F1541" s="9"/>
      <c r="G1541" s="9"/>
      <c r="H1541" s="2">
        <f>IF(SUM(F1541:G1541)&gt;Instructions!$B$5,"Error",SUM(F1541:G1541))</f>
        <v>0</v>
      </c>
      <c r="I1541" s="8"/>
    </row>
    <row r="1542" spans="1:9">
      <c r="A1542" s="8"/>
      <c r="B1542" s="8"/>
      <c r="C1542" s="2">
        <f>F1542/Instructions!$B$5</f>
        <v>0</v>
      </c>
      <c r="D1542" s="2">
        <f>G1542/Instructions!$B$5</f>
        <v>0</v>
      </c>
      <c r="E1542" s="2">
        <f t="shared" si="24"/>
        <v>0</v>
      </c>
      <c r="F1542" s="9"/>
      <c r="G1542" s="9"/>
      <c r="H1542" s="2">
        <f>IF(SUM(F1542:G1542)&gt;Instructions!$B$5,"Error",SUM(F1542:G1542))</f>
        <v>0</v>
      </c>
      <c r="I1542" s="8"/>
    </row>
    <row r="1543" spans="1:9">
      <c r="A1543" s="8"/>
      <c r="B1543" s="8"/>
      <c r="C1543" s="2">
        <f>F1543/Instructions!$B$5</f>
        <v>0</v>
      </c>
      <c r="D1543" s="2">
        <f>G1543/Instructions!$B$5</f>
        <v>0</v>
      </c>
      <c r="E1543" s="2">
        <f t="shared" si="24"/>
        <v>0</v>
      </c>
      <c r="F1543" s="9"/>
      <c r="G1543" s="9"/>
      <c r="H1543" s="2">
        <f>IF(SUM(F1543:G1543)&gt;Instructions!$B$5,"Error",SUM(F1543:G1543))</f>
        <v>0</v>
      </c>
      <c r="I1543" s="8"/>
    </row>
    <row r="1544" spans="1:9">
      <c r="A1544" s="8"/>
      <c r="B1544" s="8"/>
      <c r="C1544" s="2">
        <f>F1544/Instructions!$B$5</f>
        <v>0</v>
      </c>
      <c r="D1544" s="2">
        <f>G1544/Instructions!$B$5</f>
        <v>0</v>
      </c>
      <c r="E1544" s="2">
        <f t="shared" ref="E1544:E1607" si="25">IF(SUM(C1544:D1544)&gt;1,"Error",SUM(C1544:D1544))</f>
        <v>0</v>
      </c>
      <c r="F1544" s="9"/>
      <c r="G1544" s="9"/>
      <c r="H1544" s="2">
        <f>IF(SUM(F1544:G1544)&gt;Instructions!$B$5,"Error",SUM(F1544:G1544))</f>
        <v>0</v>
      </c>
      <c r="I1544" s="8"/>
    </row>
    <row r="1545" spans="1:9">
      <c r="A1545" s="8"/>
      <c r="B1545" s="8"/>
      <c r="C1545" s="2">
        <f>F1545/Instructions!$B$5</f>
        <v>0</v>
      </c>
      <c r="D1545" s="2">
        <f>G1545/Instructions!$B$5</f>
        <v>0</v>
      </c>
      <c r="E1545" s="2">
        <f t="shared" si="25"/>
        <v>0</v>
      </c>
      <c r="F1545" s="9"/>
      <c r="G1545" s="9"/>
      <c r="H1545" s="2">
        <f>IF(SUM(F1545:G1545)&gt;Instructions!$B$5,"Error",SUM(F1545:G1545))</f>
        <v>0</v>
      </c>
      <c r="I1545" s="8"/>
    </row>
    <row r="1546" spans="1:9">
      <c r="A1546" s="8"/>
      <c r="B1546" s="8"/>
      <c r="C1546" s="2">
        <f>F1546/Instructions!$B$5</f>
        <v>0</v>
      </c>
      <c r="D1546" s="2">
        <f>G1546/Instructions!$B$5</f>
        <v>0</v>
      </c>
      <c r="E1546" s="2">
        <f t="shared" si="25"/>
        <v>0</v>
      </c>
      <c r="F1546" s="9"/>
      <c r="G1546" s="9"/>
      <c r="H1546" s="2">
        <f>IF(SUM(F1546:G1546)&gt;Instructions!$B$5,"Error",SUM(F1546:G1546))</f>
        <v>0</v>
      </c>
      <c r="I1546" s="8"/>
    </row>
    <row r="1547" spans="1:9">
      <c r="A1547" s="8"/>
      <c r="B1547" s="8"/>
      <c r="C1547" s="2">
        <f>F1547/Instructions!$B$5</f>
        <v>0</v>
      </c>
      <c r="D1547" s="2">
        <f>G1547/Instructions!$B$5</f>
        <v>0</v>
      </c>
      <c r="E1547" s="2">
        <f t="shared" si="25"/>
        <v>0</v>
      </c>
      <c r="F1547" s="9"/>
      <c r="G1547" s="9"/>
      <c r="H1547" s="2">
        <f>IF(SUM(F1547:G1547)&gt;Instructions!$B$5,"Error",SUM(F1547:G1547))</f>
        <v>0</v>
      </c>
      <c r="I1547" s="8"/>
    </row>
    <row r="1548" spans="1:9">
      <c r="A1548" s="8"/>
      <c r="B1548" s="8"/>
      <c r="C1548" s="2">
        <f>F1548/Instructions!$B$5</f>
        <v>0</v>
      </c>
      <c r="D1548" s="2">
        <f>G1548/Instructions!$B$5</f>
        <v>0</v>
      </c>
      <c r="E1548" s="2">
        <f t="shared" si="25"/>
        <v>0</v>
      </c>
      <c r="F1548" s="9"/>
      <c r="G1548" s="9"/>
      <c r="H1548" s="2">
        <f>IF(SUM(F1548:G1548)&gt;Instructions!$B$5,"Error",SUM(F1548:G1548))</f>
        <v>0</v>
      </c>
      <c r="I1548" s="8"/>
    </row>
    <row r="1549" spans="1:9">
      <c r="A1549" s="8"/>
      <c r="B1549" s="8"/>
      <c r="C1549" s="2">
        <f>F1549/Instructions!$B$5</f>
        <v>0</v>
      </c>
      <c r="D1549" s="2">
        <f>G1549/Instructions!$B$5</f>
        <v>0</v>
      </c>
      <c r="E1549" s="2">
        <f t="shared" si="25"/>
        <v>0</v>
      </c>
      <c r="F1549" s="9"/>
      <c r="G1549" s="9"/>
      <c r="H1549" s="2">
        <f>IF(SUM(F1549:G1549)&gt;Instructions!$B$5,"Error",SUM(F1549:G1549))</f>
        <v>0</v>
      </c>
      <c r="I1549" s="8"/>
    </row>
    <row r="1550" spans="1:9">
      <c r="A1550" s="8"/>
      <c r="B1550" s="8"/>
      <c r="C1550" s="2">
        <f>F1550/Instructions!$B$5</f>
        <v>0</v>
      </c>
      <c r="D1550" s="2">
        <f>G1550/Instructions!$B$5</f>
        <v>0</v>
      </c>
      <c r="E1550" s="2">
        <f t="shared" si="25"/>
        <v>0</v>
      </c>
      <c r="F1550" s="9"/>
      <c r="G1550" s="9"/>
      <c r="H1550" s="2">
        <f>IF(SUM(F1550:G1550)&gt;Instructions!$B$5,"Error",SUM(F1550:G1550))</f>
        <v>0</v>
      </c>
      <c r="I1550" s="8"/>
    </row>
    <row r="1551" spans="1:9">
      <c r="A1551" s="8"/>
      <c r="B1551" s="8"/>
      <c r="C1551" s="2">
        <f>F1551/Instructions!$B$5</f>
        <v>0</v>
      </c>
      <c r="D1551" s="2">
        <f>G1551/Instructions!$B$5</f>
        <v>0</v>
      </c>
      <c r="E1551" s="2">
        <f t="shared" si="25"/>
        <v>0</v>
      </c>
      <c r="F1551" s="9"/>
      <c r="G1551" s="9"/>
      <c r="H1551" s="2">
        <f>IF(SUM(F1551:G1551)&gt;Instructions!$B$5,"Error",SUM(F1551:G1551))</f>
        <v>0</v>
      </c>
      <c r="I1551" s="8"/>
    </row>
    <row r="1552" spans="1:9">
      <c r="A1552" s="8"/>
      <c r="B1552" s="8"/>
      <c r="C1552" s="2">
        <f>F1552/Instructions!$B$5</f>
        <v>0</v>
      </c>
      <c r="D1552" s="2">
        <f>G1552/Instructions!$B$5</f>
        <v>0</v>
      </c>
      <c r="E1552" s="2">
        <f t="shared" si="25"/>
        <v>0</v>
      </c>
      <c r="F1552" s="9"/>
      <c r="G1552" s="9"/>
      <c r="H1552" s="2">
        <f>IF(SUM(F1552:G1552)&gt;Instructions!$B$5,"Error",SUM(F1552:G1552))</f>
        <v>0</v>
      </c>
      <c r="I1552" s="8"/>
    </row>
    <row r="1553" spans="1:9">
      <c r="A1553" s="8"/>
      <c r="B1553" s="8"/>
      <c r="C1553" s="2">
        <f>F1553/Instructions!$B$5</f>
        <v>0</v>
      </c>
      <c r="D1553" s="2">
        <f>G1553/Instructions!$B$5</f>
        <v>0</v>
      </c>
      <c r="E1553" s="2">
        <f t="shared" si="25"/>
        <v>0</v>
      </c>
      <c r="F1553" s="9"/>
      <c r="G1553" s="9"/>
      <c r="H1553" s="2">
        <f>IF(SUM(F1553:G1553)&gt;Instructions!$B$5,"Error",SUM(F1553:G1553))</f>
        <v>0</v>
      </c>
      <c r="I1553" s="8"/>
    </row>
    <row r="1554" spans="1:9">
      <c r="A1554" s="8"/>
      <c r="B1554" s="8"/>
      <c r="C1554" s="2">
        <f>F1554/Instructions!$B$5</f>
        <v>0</v>
      </c>
      <c r="D1554" s="2">
        <f>G1554/Instructions!$B$5</f>
        <v>0</v>
      </c>
      <c r="E1554" s="2">
        <f t="shared" si="25"/>
        <v>0</v>
      </c>
      <c r="F1554" s="9"/>
      <c r="G1554" s="9"/>
      <c r="H1554" s="2">
        <f>IF(SUM(F1554:G1554)&gt;Instructions!$B$5,"Error",SUM(F1554:G1554))</f>
        <v>0</v>
      </c>
      <c r="I1554" s="8"/>
    </row>
    <row r="1555" spans="1:9">
      <c r="A1555" s="8"/>
      <c r="B1555" s="8"/>
      <c r="C1555" s="2">
        <f>F1555/Instructions!$B$5</f>
        <v>0</v>
      </c>
      <c r="D1555" s="2">
        <f>G1555/Instructions!$B$5</f>
        <v>0</v>
      </c>
      <c r="E1555" s="2">
        <f t="shared" si="25"/>
        <v>0</v>
      </c>
      <c r="F1555" s="9"/>
      <c r="G1555" s="9"/>
      <c r="H1555" s="2">
        <f>IF(SUM(F1555:G1555)&gt;Instructions!$B$5,"Error",SUM(F1555:G1555))</f>
        <v>0</v>
      </c>
      <c r="I1555" s="8"/>
    </row>
    <row r="1556" spans="1:9">
      <c r="A1556" s="8"/>
      <c r="B1556" s="8"/>
      <c r="C1556" s="2">
        <f>F1556/Instructions!$B$5</f>
        <v>0</v>
      </c>
      <c r="D1556" s="2">
        <f>G1556/Instructions!$B$5</f>
        <v>0</v>
      </c>
      <c r="E1556" s="2">
        <f t="shared" si="25"/>
        <v>0</v>
      </c>
      <c r="F1556" s="9"/>
      <c r="G1556" s="9"/>
      <c r="H1556" s="2">
        <f>IF(SUM(F1556:G1556)&gt;Instructions!$B$5,"Error",SUM(F1556:G1556))</f>
        <v>0</v>
      </c>
      <c r="I1556" s="8"/>
    </row>
    <row r="1557" spans="1:9">
      <c r="A1557" s="8"/>
      <c r="B1557" s="8"/>
      <c r="C1557" s="2">
        <f>F1557/Instructions!$B$5</f>
        <v>0</v>
      </c>
      <c r="D1557" s="2">
        <f>G1557/Instructions!$B$5</f>
        <v>0</v>
      </c>
      <c r="E1557" s="2">
        <f t="shared" si="25"/>
        <v>0</v>
      </c>
      <c r="F1557" s="9"/>
      <c r="G1557" s="9"/>
      <c r="H1557" s="2">
        <f>IF(SUM(F1557:G1557)&gt;Instructions!$B$5,"Error",SUM(F1557:G1557))</f>
        <v>0</v>
      </c>
      <c r="I1557" s="8"/>
    </row>
    <row r="1558" spans="1:9">
      <c r="A1558" s="8"/>
      <c r="B1558" s="8"/>
      <c r="C1558" s="2">
        <f>F1558/Instructions!$B$5</f>
        <v>0</v>
      </c>
      <c r="D1558" s="2">
        <f>G1558/Instructions!$B$5</f>
        <v>0</v>
      </c>
      <c r="E1558" s="2">
        <f t="shared" si="25"/>
        <v>0</v>
      </c>
      <c r="F1558" s="9"/>
      <c r="G1558" s="9"/>
      <c r="H1558" s="2">
        <f>IF(SUM(F1558:G1558)&gt;Instructions!$B$5,"Error",SUM(F1558:G1558))</f>
        <v>0</v>
      </c>
      <c r="I1558" s="8"/>
    </row>
    <row r="1559" spans="1:9">
      <c r="A1559" s="8"/>
      <c r="B1559" s="8"/>
      <c r="C1559" s="2">
        <f>F1559/Instructions!$B$5</f>
        <v>0</v>
      </c>
      <c r="D1559" s="2">
        <f>G1559/Instructions!$B$5</f>
        <v>0</v>
      </c>
      <c r="E1559" s="2">
        <f t="shared" si="25"/>
        <v>0</v>
      </c>
      <c r="F1559" s="9"/>
      <c r="G1559" s="9"/>
      <c r="H1559" s="2">
        <f>IF(SUM(F1559:G1559)&gt;Instructions!$B$5,"Error",SUM(F1559:G1559))</f>
        <v>0</v>
      </c>
      <c r="I1559" s="8"/>
    </row>
    <row r="1560" spans="1:9">
      <c r="A1560" s="8"/>
      <c r="B1560" s="8"/>
      <c r="C1560" s="2">
        <f>F1560/Instructions!$B$5</f>
        <v>0</v>
      </c>
      <c r="D1560" s="2">
        <f>G1560/Instructions!$B$5</f>
        <v>0</v>
      </c>
      <c r="E1560" s="2">
        <f t="shared" si="25"/>
        <v>0</v>
      </c>
      <c r="F1560" s="9"/>
      <c r="G1560" s="9"/>
      <c r="H1560" s="2">
        <f>IF(SUM(F1560:G1560)&gt;Instructions!$B$5,"Error",SUM(F1560:G1560))</f>
        <v>0</v>
      </c>
      <c r="I1560" s="8"/>
    </row>
    <row r="1561" spans="1:9">
      <c r="A1561" s="8"/>
      <c r="B1561" s="8"/>
      <c r="C1561" s="2">
        <f>F1561/Instructions!$B$5</f>
        <v>0</v>
      </c>
      <c r="D1561" s="2">
        <f>G1561/Instructions!$B$5</f>
        <v>0</v>
      </c>
      <c r="E1561" s="2">
        <f t="shared" si="25"/>
        <v>0</v>
      </c>
      <c r="F1561" s="9"/>
      <c r="G1561" s="9"/>
      <c r="H1561" s="2">
        <f>IF(SUM(F1561:G1561)&gt;Instructions!$B$5,"Error",SUM(F1561:G1561))</f>
        <v>0</v>
      </c>
      <c r="I1561" s="8"/>
    </row>
    <row r="1562" spans="1:9">
      <c r="A1562" s="8"/>
      <c r="B1562" s="8"/>
      <c r="C1562" s="2">
        <f>F1562/Instructions!$B$5</f>
        <v>0</v>
      </c>
      <c r="D1562" s="2">
        <f>G1562/Instructions!$B$5</f>
        <v>0</v>
      </c>
      <c r="E1562" s="2">
        <f t="shared" si="25"/>
        <v>0</v>
      </c>
      <c r="F1562" s="9"/>
      <c r="G1562" s="9"/>
      <c r="H1562" s="2">
        <f>IF(SUM(F1562:G1562)&gt;Instructions!$B$5,"Error",SUM(F1562:G1562))</f>
        <v>0</v>
      </c>
      <c r="I1562" s="8"/>
    </row>
    <row r="1563" spans="1:9">
      <c r="A1563" s="8"/>
      <c r="B1563" s="8"/>
      <c r="C1563" s="2">
        <f>F1563/Instructions!$B$5</f>
        <v>0</v>
      </c>
      <c r="D1563" s="2">
        <f>G1563/Instructions!$B$5</f>
        <v>0</v>
      </c>
      <c r="E1563" s="2">
        <f t="shared" si="25"/>
        <v>0</v>
      </c>
      <c r="F1563" s="9"/>
      <c r="G1563" s="9"/>
      <c r="H1563" s="2">
        <f>IF(SUM(F1563:G1563)&gt;Instructions!$B$5,"Error",SUM(F1563:G1563))</f>
        <v>0</v>
      </c>
      <c r="I1563" s="8"/>
    </row>
    <row r="1564" spans="1:9">
      <c r="A1564" s="8"/>
      <c r="B1564" s="8"/>
      <c r="C1564" s="2">
        <f>F1564/Instructions!$B$5</f>
        <v>0</v>
      </c>
      <c r="D1564" s="2">
        <f>G1564/Instructions!$B$5</f>
        <v>0</v>
      </c>
      <c r="E1564" s="2">
        <f t="shared" si="25"/>
        <v>0</v>
      </c>
      <c r="F1564" s="9"/>
      <c r="G1564" s="9"/>
      <c r="H1564" s="2">
        <f>IF(SUM(F1564:G1564)&gt;Instructions!$B$5,"Error",SUM(F1564:G1564))</f>
        <v>0</v>
      </c>
      <c r="I1564" s="8"/>
    </row>
    <row r="1565" spans="1:9">
      <c r="A1565" s="8"/>
      <c r="B1565" s="8"/>
      <c r="C1565" s="2">
        <f>F1565/Instructions!$B$5</f>
        <v>0</v>
      </c>
      <c r="D1565" s="2">
        <f>G1565/Instructions!$B$5</f>
        <v>0</v>
      </c>
      <c r="E1565" s="2">
        <f t="shared" si="25"/>
        <v>0</v>
      </c>
      <c r="F1565" s="9"/>
      <c r="G1565" s="9"/>
      <c r="H1565" s="2">
        <f>IF(SUM(F1565:G1565)&gt;Instructions!$B$5,"Error",SUM(F1565:G1565))</f>
        <v>0</v>
      </c>
      <c r="I1565" s="8"/>
    </row>
    <row r="1566" spans="1:9">
      <c r="A1566" s="8"/>
      <c r="B1566" s="8"/>
      <c r="C1566" s="2">
        <f>F1566/Instructions!$B$5</f>
        <v>0</v>
      </c>
      <c r="D1566" s="2">
        <f>G1566/Instructions!$B$5</f>
        <v>0</v>
      </c>
      <c r="E1566" s="2">
        <f t="shared" si="25"/>
        <v>0</v>
      </c>
      <c r="F1566" s="9"/>
      <c r="G1566" s="9"/>
      <c r="H1566" s="2">
        <f>IF(SUM(F1566:G1566)&gt;Instructions!$B$5,"Error",SUM(F1566:G1566))</f>
        <v>0</v>
      </c>
      <c r="I1566" s="8"/>
    </row>
    <row r="1567" spans="1:9">
      <c r="A1567" s="8"/>
      <c r="B1567" s="8"/>
      <c r="C1567" s="2">
        <f>F1567/Instructions!$B$5</f>
        <v>0</v>
      </c>
      <c r="D1567" s="2">
        <f>G1567/Instructions!$B$5</f>
        <v>0</v>
      </c>
      <c r="E1567" s="2">
        <f t="shared" si="25"/>
        <v>0</v>
      </c>
      <c r="F1567" s="9"/>
      <c r="G1567" s="9"/>
      <c r="H1567" s="2">
        <f>IF(SUM(F1567:G1567)&gt;Instructions!$B$5,"Error",SUM(F1567:G1567))</f>
        <v>0</v>
      </c>
      <c r="I1567" s="8"/>
    </row>
    <row r="1568" spans="1:9">
      <c r="A1568" s="8"/>
      <c r="B1568" s="8"/>
      <c r="C1568" s="2">
        <f>F1568/Instructions!$B$5</f>
        <v>0</v>
      </c>
      <c r="D1568" s="2">
        <f>G1568/Instructions!$B$5</f>
        <v>0</v>
      </c>
      <c r="E1568" s="2">
        <f t="shared" si="25"/>
        <v>0</v>
      </c>
      <c r="F1568" s="9"/>
      <c r="G1568" s="9"/>
      <c r="H1568" s="2">
        <f>IF(SUM(F1568:G1568)&gt;Instructions!$B$5,"Error",SUM(F1568:G1568))</f>
        <v>0</v>
      </c>
      <c r="I1568" s="8"/>
    </row>
    <row r="1569" spans="1:9">
      <c r="A1569" s="8"/>
      <c r="B1569" s="8"/>
      <c r="C1569" s="2">
        <f>F1569/Instructions!$B$5</f>
        <v>0</v>
      </c>
      <c r="D1569" s="2">
        <f>G1569/Instructions!$B$5</f>
        <v>0</v>
      </c>
      <c r="E1569" s="2">
        <f t="shared" si="25"/>
        <v>0</v>
      </c>
      <c r="F1569" s="9"/>
      <c r="G1569" s="9"/>
      <c r="H1569" s="2">
        <f>IF(SUM(F1569:G1569)&gt;Instructions!$B$5,"Error",SUM(F1569:G1569))</f>
        <v>0</v>
      </c>
      <c r="I1569" s="8"/>
    </row>
    <row r="1570" spans="1:9">
      <c r="A1570" s="8"/>
      <c r="B1570" s="8"/>
      <c r="C1570" s="2">
        <f>F1570/Instructions!$B$5</f>
        <v>0</v>
      </c>
      <c r="D1570" s="2">
        <f>G1570/Instructions!$B$5</f>
        <v>0</v>
      </c>
      <c r="E1570" s="2">
        <f t="shared" si="25"/>
        <v>0</v>
      </c>
      <c r="F1570" s="9"/>
      <c r="G1570" s="9"/>
      <c r="H1570" s="2">
        <f>IF(SUM(F1570:G1570)&gt;Instructions!$B$5,"Error",SUM(F1570:G1570))</f>
        <v>0</v>
      </c>
      <c r="I1570" s="8"/>
    </row>
    <row r="1571" spans="1:9">
      <c r="A1571" s="8"/>
      <c r="B1571" s="8"/>
      <c r="C1571" s="2">
        <f>F1571/Instructions!$B$5</f>
        <v>0</v>
      </c>
      <c r="D1571" s="2">
        <f>G1571/Instructions!$B$5</f>
        <v>0</v>
      </c>
      <c r="E1571" s="2">
        <f t="shared" si="25"/>
        <v>0</v>
      </c>
      <c r="F1571" s="9"/>
      <c r="G1571" s="9"/>
      <c r="H1571" s="2">
        <f>IF(SUM(F1571:G1571)&gt;Instructions!$B$5,"Error",SUM(F1571:G1571))</f>
        <v>0</v>
      </c>
      <c r="I1571" s="8"/>
    </row>
    <row r="1572" spans="1:9">
      <c r="A1572" s="8"/>
      <c r="B1572" s="8"/>
      <c r="C1572" s="2">
        <f>F1572/Instructions!$B$5</f>
        <v>0</v>
      </c>
      <c r="D1572" s="2">
        <f>G1572/Instructions!$B$5</f>
        <v>0</v>
      </c>
      <c r="E1572" s="2">
        <f t="shared" si="25"/>
        <v>0</v>
      </c>
      <c r="F1572" s="9"/>
      <c r="G1572" s="9"/>
      <c r="H1572" s="2">
        <f>IF(SUM(F1572:G1572)&gt;Instructions!$B$5,"Error",SUM(F1572:G1572))</f>
        <v>0</v>
      </c>
      <c r="I1572" s="8"/>
    </row>
    <row r="1573" spans="1:9">
      <c r="A1573" s="8"/>
      <c r="B1573" s="8"/>
      <c r="C1573" s="2">
        <f>F1573/Instructions!$B$5</f>
        <v>0</v>
      </c>
      <c r="D1573" s="2">
        <f>G1573/Instructions!$B$5</f>
        <v>0</v>
      </c>
      <c r="E1573" s="2">
        <f t="shared" si="25"/>
        <v>0</v>
      </c>
      <c r="F1573" s="9"/>
      <c r="G1573" s="9"/>
      <c r="H1573" s="2">
        <f>IF(SUM(F1573:G1573)&gt;Instructions!$B$5,"Error",SUM(F1573:G1573))</f>
        <v>0</v>
      </c>
      <c r="I1573" s="8"/>
    </row>
    <row r="1574" spans="1:9">
      <c r="A1574" s="8"/>
      <c r="B1574" s="8"/>
      <c r="C1574" s="2">
        <f>F1574/Instructions!$B$5</f>
        <v>0</v>
      </c>
      <c r="D1574" s="2">
        <f>G1574/Instructions!$B$5</f>
        <v>0</v>
      </c>
      <c r="E1574" s="2">
        <f t="shared" si="25"/>
        <v>0</v>
      </c>
      <c r="F1574" s="9"/>
      <c r="G1574" s="9"/>
      <c r="H1574" s="2">
        <f>IF(SUM(F1574:G1574)&gt;Instructions!$B$5,"Error",SUM(F1574:G1574))</f>
        <v>0</v>
      </c>
      <c r="I1574" s="8"/>
    </row>
    <row r="1575" spans="1:9">
      <c r="A1575" s="8"/>
      <c r="B1575" s="8"/>
      <c r="C1575" s="2">
        <f>F1575/Instructions!$B$5</f>
        <v>0</v>
      </c>
      <c r="D1575" s="2">
        <f>G1575/Instructions!$B$5</f>
        <v>0</v>
      </c>
      <c r="E1575" s="2">
        <f t="shared" si="25"/>
        <v>0</v>
      </c>
      <c r="F1575" s="9"/>
      <c r="G1575" s="9"/>
      <c r="H1575" s="2">
        <f>IF(SUM(F1575:G1575)&gt;Instructions!$B$5,"Error",SUM(F1575:G1575))</f>
        <v>0</v>
      </c>
      <c r="I1575" s="8"/>
    </row>
    <row r="1576" spans="1:9">
      <c r="A1576" s="8"/>
      <c r="B1576" s="8"/>
      <c r="C1576" s="2">
        <f>F1576/Instructions!$B$5</f>
        <v>0</v>
      </c>
      <c r="D1576" s="2">
        <f>G1576/Instructions!$B$5</f>
        <v>0</v>
      </c>
      <c r="E1576" s="2">
        <f t="shared" si="25"/>
        <v>0</v>
      </c>
      <c r="F1576" s="9"/>
      <c r="G1576" s="9"/>
      <c r="H1576" s="2">
        <f>IF(SUM(F1576:G1576)&gt;Instructions!$B$5,"Error",SUM(F1576:G1576))</f>
        <v>0</v>
      </c>
      <c r="I1576" s="8"/>
    </row>
    <row r="1577" spans="1:9">
      <c r="A1577" s="8"/>
      <c r="B1577" s="8"/>
      <c r="C1577" s="2">
        <f>F1577/Instructions!$B$5</f>
        <v>0</v>
      </c>
      <c r="D1577" s="2">
        <f>G1577/Instructions!$B$5</f>
        <v>0</v>
      </c>
      <c r="E1577" s="2">
        <f t="shared" si="25"/>
        <v>0</v>
      </c>
      <c r="F1577" s="9"/>
      <c r="G1577" s="9"/>
      <c r="H1577" s="2">
        <f>IF(SUM(F1577:G1577)&gt;Instructions!$B$5,"Error",SUM(F1577:G1577))</f>
        <v>0</v>
      </c>
      <c r="I1577" s="8"/>
    </row>
    <row r="1578" spans="1:9">
      <c r="A1578" s="8"/>
      <c r="B1578" s="8"/>
      <c r="C1578" s="2">
        <f>F1578/Instructions!$B$5</f>
        <v>0</v>
      </c>
      <c r="D1578" s="2">
        <f>G1578/Instructions!$B$5</f>
        <v>0</v>
      </c>
      <c r="E1578" s="2">
        <f t="shared" si="25"/>
        <v>0</v>
      </c>
      <c r="F1578" s="9"/>
      <c r="G1578" s="9"/>
      <c r="H1578" s="2">
        <f>IF(SUM(F1578:G1578)&gt;Instructions!$B$5,"Error",SUM(F1578:G1578))</f>
        <v>0</v>
      </c>
      <c r="I1578" s="8"/>
    </row>
    <row r="1579" spans="1:9">
      <c r="A1579" s="8"/>
      <c r="B1579" s="8"/>
      <c r="C1579" s="2">
        <f>F1579/Instructions!$B$5</f>
        <v>0</v>
      </c>
      <c r="D1579" s="2">
        <f>G1579/Instructions!$B$5</f>
        <v>0</v>
      </c>
      <c r="E1579" s="2">
        <f t="shared" si="25"/>
        <v>0</v>
      </c>
      <c r="F1579" s="9"/>
      <c r="G1579" s="9"/>
      <c r="H1579" s="2">
        <f>IF(SUM(F1579:G1579)&gt;Instructions!$B$5,"Error",SUM(F1579:G1579))</f>
        <v>0</v>
      </c>
      <c r="I1579" s="8"/>
    </row>
    <row r="1580" spans="1:9">
      <c r="A1580" s="8"/>
      <c r="B1580" s="8"/>
      <c r="C1580" s="2">
        <f>F1580/Instructions!$B$5</f>
        <v>0</v>
      </c>
      <c r="D1580" s="2">
        <f>G1580/Instructions!$B$5</f>
        <v>0</v>
      </c>
      <c r="E1580" s="2">
        <f t="shared" si="25"/>
        <v>0</v>
      </c>
      <c r="F1580" s="9"/>
      <c r="G1580" s="9"/>
      <c r="H1580" s="2">
        <f>IF(SUM(F1580:G1580)&gt;Instructions!$B$5,"Error",SUM(F1580:G1580))</f>
        <v>0</v>
      </c>
      <c r="I1580" s="8"/>
    </row>
    <row r="1581" spans="1:9">
      <c r="A1581" s="8"/>
      <c r="B1581" s="8"/>
      <c r="C1581" s="2">
        <f>F1581/Instructions!$B$5</f>
        <v>0</v>
      </c>
      <c r="D1581" s="2">
        <f>G1581/Instructions!$B$5</f>
        <v>0</v>
      </c>
      <c r="E1581" s="2">
        <f t="shared" si="25"/>
        <v>0</v>
      </c>
      <c r="F1581" s="9"/>
      <c r="G1581" s="9"/>
      <c r="H1581" s="2">
        <f>IF(SUM(F1581:G1581)&gt;Instructions!$B$5,"Error",SUM(F1581:G1581))</f>
        <v>0</v>
      </c>
      <c r="I1581" s="8"/>
    </row>
    <row r="1582" spans="1:9">
      <c r="A1582" s="8"/>
      <c r="B1582" s="8"/>
      <c r="C1582" s="2">
        <f>F1582/Instructions!$B$5</f>
        <v>0</v>
      </c>
      <c r="D1582" s="2">
        <f>G1582/Instructions!$B$5</f>
        <v>0</v>
      </c>
      <c r="E1582" s="2">
        <f t="shared" si="25"/>
        <v>0</v>
      </c>
      <c r="F1582" s="9"/>
      <c r="G1582" s="9"/>
      <c r="H1582" s="2">
        <f>IF(SUM(F1582:G1582)&gt;Instructions!$B$5,"Error",SUM(F1582:G1582))</f>
        <v>0</v>
      </c>
      <c r="I1582" s="8"/>
    </row>
    <row r="1583" spans="1:9">
      <c r="A1583" s="8"/>
      <c r="B1583" s="8"/>
      <c r="C1583" s="2">
        <f>F1583/Instructions!$B$5</f>
        <v>0</v>
      </c>
      <c r="D1583" s="2">
        <f>G1583/Instructions!$B$5</f>
        <v>0</v>
      </c>
      <c r="E1583" s="2">
        <f t="shared" si="25"/>
        <v>0</v>
      </c>
      <c r="F1583" s="9"/>
      <c r="G1583" s="9"/>
      <c r="H1583" s="2">
        <f>IF(SUM(F1583:G1583)&gt;Instructions!$B$5,"Error",SUM(F1583:G1583))</f>
        <v>0</v>
      </c>
      <c r="I1583" s="8"/>
    </row>
    <row r="1584" spans="1:9">
      <c r="A1584" s="8"/>
      <c r="B1584" s="8"/>
      <c r="C1584" s="2">
        <f>F1584/Instructions!$B$5</f>
        <v>0</v>
      </c>
      <c r="D1584" s="2">
        <f>G1584/Instructions!$B$5</f>
        <v>0</v>
      </c>
      <c r="E1584" s="2">
        <f t="shared" si="25"/>
        <v>0</v>
      </c>
      <c r="F1584" s="9"/>
      <c r="G1584" s="9"/>
      <c r="H1584" s="2">
        <f>IF(SUM(F1584:G1584)&gt;Instructions!$B$5,"Error",SUM(F1584:G1584))</f>
        <v>0</v>
      </c>
      <c r="I1584" s="8"/>
    </row>
    <row r="1585" spans="1:9">
      <c r="A1585" s="8"/>
      <c r="B1585" s="8"/>
      <c r="C1585" s="2">
        <f>F1585/Instructions!$B$5</f>
        <v>0</v>
      </c>
      <c r="D1585" s="2">
        <f>G1585/Instructions!$B$5</f>
        <v>0</v>
      </c>
      <c r="E1585" s="2">
        <f t="shared" si="25"/>
        <v>0</v>
      </c>
      <c r="F1585" s="9"/>
      <c r="G1585" s="9"/>
      <c r="H1585" s="2">
        <f>IF(SUM(F1585:G1585)&gt;Instructions!$B$5,"Error",SUM(F1585:G1585))</f>
        <v>0</v>
      </c>
      <c r="I1585" s="8"/>
    </row>
    <row r="1586" spans="1:9">
      <c r="A1586" s="8"/>
      <c r="B1586" s="8"/>
      <c r="C1586" s="2">
        <f>F1586/Instructions!$B$5</f>
        <v>0</v>
      </c>
      <c r="D1586" s="2">
        <f>G1586/Instructions!$B$5</f>
        <v>0</v>
      </c>
      <c r="E1586" s="2">
        <f t="shared" si="25"/>
        <v>0</v>
      </c>
      <c r="F1586" s="9"/>
      <c r="G1586" s="9"/>
      <c r="H1586" s="2">
        <f>IF(SUM(F1586:G1586)&gt;Instructions!$B$5,"Error",SUM(F1586:G1586))</f>
        <v>0</v>
      </c>
      <c r="I1586" s="8"/>
    </row>
    <row r="1587" spans="1:9">
      <c r="A1587" s="8"/>
      <c r="B1587" s="8"/>
      <c r="C1587" s="2">
        <f>F1587/Instructions!$B$5</f>
        <v>0</v>
      </c>
      <c r="D1587" s="2">
        <f>G1587/Instructions!$B$5</f>
        <v>0</v>
      </c>
      <c r="E1587" s="2">
        <f t="shared" si="25"/>
        <v>0</v>
      </c>
      <c r="F1587" s="9"/>
      <c r="G1587" s="9"/>
      <c r="H1587" s="2">
        <f>IF(SUM(F1587:G1587)&gt;Instructions!$B$5,"Error",SUM(F1587:G1587))</f>
        <v>0</v>
      </c>
      <c r="I1587" s="8"/>
    </row>
    <row r="1588" spans="1:9">
      <c r="A1588" s="8"/>
      <c r="B1588" s="8"/>
      <c r="C1588" s="2">
        <f>F1588/Instructions!$B$5</f>
        <v>0</v>
      </c>
      <c r="D1588" s="2">
        <f>G1588/Instructions!$B$5</f>
        <v>0</v>
      </c>
      <c r="E1588" s="2">
        <f t="shared" si="25"/>
        <v>0</v>
      </c>
      <c r="F1588" s="9"/>
      <c r="G1588" s="9"/>
      <c r="H1588" s="2">
        <f>IF(SUM(F1588:G1588)&gt;Instructions!$B$5,"Error",SUM(F1588:G1588))</f>
        <v>0</v>
      </c>
      <c r="I1588" s="8"/>
    </row>
    <row r="1589" spans="1:9">
      <c r="A1589" s="8"/>
      <c r="B1589" s="8"/>
      <c r="C1589" s="2">
        <f>F1589/Instructions!$B$5</f>
        <v>0</v>
      </c>
      <c r="D1589" s="2">
        <f>G1589/Instructions!$B$5</f>
        <v>0</v>
      </c>
      <c r="E1589" s="2">
        <f t="shared" si="25"/>
        <v>0</v>
      </c>
      <c r="F1589" s="9"/>
      <c r="G1589" s="9"/>
      <c r="H1589" s="2">
        <f>IF(SUM(F1589:G1589)&gt;Instructions!$B$5,"Error",SUM(F1589:G1589))</f>
        <v>0</v>
      </c>
      <c r="I1589" s="8"/>
    </row>
    <row r="1590" spans="1:9">
      <c r="A1590" s="8"/>
      <c r="B1590" s="8"/>
      <c r="C1590" s="2">
        <f>F1590/Instructions!$B$5</f>
        <v>0</v>
      </c>
      <c r="D1590" s="2">
        <f>G1590/Instructions!$B$5</f>
        <v>0</v>
      </c>
      <c r="E1590" s="2">
        <f t="shared" si="25"/>
        <v>0</v>
      </c>
      <c r="F1590" s="9"/>
      <c r="G1590" s="9"/>
      <c r="H1590" s="2">
        <f>IF(SUM(F1590:G1590)&gt;Instructions!$B$5,"Error",SUM(F1590:G1590))</f>
        <v>0</v>
      </c>
      <c r="I1590" s="8"/>
    </row>
    <row r="1591" spans="1:9">
      <c r="A1591" s="8"/>
      <c r="B1591" s="8"/>
      <c r="C1591" s="2">
        <f>F1591/Instructions!$B$5</f>
        <v>0</v>
      </c>
      <c r="D1591" s="2">
        <f>G1591/Instructions!$B$5</f>
        <v>0</v>
      </c>
      <c r="E1591" s="2">
        <f t="shared" si="25"/>
        <v>0</v>
      </c>
      <c r="F1591" s="9"/>
      <c r="G1591" s="9"/>
      <c r="H1591" s="2">
        <f>IF(SUM(F1591:G1591)&gt;Instructions!$B$5,"Error",SUM(F1591:G1591))</f>
        <v>0</v>
      </c>
      <c r="I1591" s="8"/>
    </row>
    <row r="1592" spans="1:9">
      <c r="A1592" s="8"/>
      <c r="B1592" s="8"/>
      <c r="C1592" s="2">
        <f>F1592/Instructions!$B$5</f>
        <v>0</v>
      </c>
      <c r="D1592" s="2">
        <f>G1592/Instructions!$B$5</f>
        <v>0</v>
      </c>
      <c r="E1592" s="2">
        <f t="shared" si="25"/>
        <v>0</v>
      </c>
      <c r="F1592" s="9"/>
      <c r="G1592" s="9"/>
      <c r="H1592" s="2">
        <f>IF(SUM(F1592:G1592)&gt;Instructions!$B$5,"Error",SUM(F1592:G1592))</f>
        <v>0</v>
      </c>
      <c r="I1592" s="8"/>
    </row>
    <row r="1593" spans="1:9">
      <c r="A1593" s="8"/>
      <c r="B1593" s="8"/>
      <c r="C1593" s="2">
        <f>F1593/Instructions!$B$5</f>
        <v>0</v>
      </c>
      <c r="D1593" s="2">
        <f>G1593/Instructions!$B$5</f>
        <v>0</v>
      </c>
      <c r="E1593" s="2">
        <f t="shared" si="25"/>
        <v>0</v>
      </c>
      <c r="F1593" s="9"/>
      <c r="G1593" s="9"/>
      <c r="H1593" s="2">
        <f>IF(SUM(F1593:G1593)&gt;Instructions!$B$5,"Error",SUM(F1593:G1593))</f>
        <v>0</v>
      </c>
      <c r="I1593" s="8"/>
    </row>
    <row r="1594" spans="1:9">
      <c r="A1594" s="8"/>
      <c r="B1594" s="8"/>
      <c r="C1594" s="2">
        <f>F1594/Instructions!$B$5</f>
        <v>0</v>
      </c>
      <c r="D1594" s="2">
        <f>G1594/Instructions!$B$5</f>
        <v>0</v>
      </c>
      <c r="E1594" s="2">
        <f t="shared" si="25"/>
        <v>0</v>
      </c>
      <c r="F1594" s="9"/>
      <c r="G1594" s="9"/>
      <c r="H1594" s="2">
        <f>IF(SUM(F1594:G1594)&gt;Instructions!$B$5,"Error",SUM(F1594:G1594))</f>
        <v>0</v>
      </c>
      <c r="I1594" s="8"/>
    </row>
    <row r="1595" spans="1:9">
      <c r="A1595" s="8"/>
      <c r="B1595" s="8"/>
      <c r="C1595" s="2">
        <f>F1595/Instructions!$B$5</f>
        <v>0</v>
      </c>
      <c r="D1595" s="2">
        <f>G1595/Instructions!$B$5</f>
        <v>0</v>
      </c>
      <c r="E1595" s="2">
        <f t="shared" si="25"/>
        <v>0</v>
      </c>
      <c r="F1595" s="9"/>
      <c r="G1595" s="9"/>
      <c r="H1595" s="2">
        <f>IF(SUM(F1595:G1595)&gt;Instructions!$B$5,"Error",SUM(F1595:G1595))</f>
        <v>0</v>
      </c>
      <c r="I1595" s="8"/>
    </row>
    <row r="1596" spans="1:9">
      <c r="A1596" s="8"/>
      <c r="B1596" s="8"/>
      <c r="C1596" s="2">
        <f>F1596/Instructions!$B$5</f>
        <v>0</v>
      </c>
      <c r="D1596" s="2">
        <f>G1596/Instructions!$B$5</f>
        <v>0</v>
      </c>
      <c r="E1596" s="2">
        <f t="shared" si="25"/>
        <v>0</v>
      </c>
      <c r="F1596" s="9"/>
      <c r="G1596" s="9"/>
      <c r="H1596" s="2">
        <f>IF(SUM(F1596:G1596)&gt;Instructions!$B$5,"Error",SUM(F1596:G1596))</f>
        <v>0</v>
      </c>
      <c r="I1596" s="8"/>
    </row>
    <row r="1597" spans="1:9">
      <c r="A1597" s="8"/>
      <c r="B1597" s="8"/>
      <c r="C1597" s="2">
        <f>F1597/Instructions!$B$5</f>
        <v>0</v>
      </c>
      <c r="D1597" s="2">
        <f>G1597/Instructions!$B$5</f>
        <v>0</v>
      </c>
      <c r="E1597" s="2">
        <f t="shared" si="25"/>
        <v>0</v>
      </c>
      <c r="F1597" s="9"/>
      <c r="G1597" s="9"/>
      <c r="H1597" s="2">
        <f>IF(SUM(F1597:G1597)&gt;Instructions!$B$5,"Error",SUM(F1597:G1597))</f>
        <v>0</v>
      </c>
      <c r="I1597" s="8"/>
    </row>
    <row r="1598" spans="1:9">
      <c r="A1598" s="8"/>
      <c r="B1598" s="8"/>
      <c r="C1598" s="2">
        <f>F1598/Instructions!$B$5</f>
        <v>0</v>
      </c>
      <c r="D1598" s="2">
        <f>G1598/Instructions!$B$5</f>
        <v>0</v>
      </c>
      <c r="E1598" s="2">
        <f t="shared" si="25"/>
        <v>0</v>
      </c>
      <c r="F1598" s="9"/>
      <c r="G1598" s="9"/>
      <c r="H1598" s="2">
        <f>IF(SUM(F1598:G1598)&gt;Instructions!$B$5,"Error",SUM(F1598:G1598))</f>
        <v>0</v>
      </c>
      <c r="I1598" s="8"/>
    </row>
    <row r="1599" spans="1:9">
      <c r="A1599" s="8"/>
      <c r="B1599" s="8"/>
      <c r="C1599" s="2">
        <f>F1599/Instructions!$B$5</f>
        <v>0</v>
      </c>
      <c r="D1599" s="2">
        <f>G1599/Instructions!$B$5</f>
        <v>0</v>
      </c>
      <c r="E1599" s="2">
        <f t="shared" si="25"/>
        <v>0</v>
      </c>
      <c r="F1599" s="9"/>
      <c r="G1599" s="9"/>
      <c r="H1599" s="2">
        <f>IF(SUM(F1599:G1599)&gt;Instructions!$B$5,"Error",SUM(F1599:G1599))</f>
        <v>0</v>
      </c>
      <c r="I1599" s="8"/>
    </row>
    <row r="1600" spans="1:9">
      <c r="A1600" s="8"/>
      <c r="B1600" s="8"/>
      <c r="C1600" s="2">
        <f>F1600/Instructions!$B$5</f>
        <v>0</v>
      </c>
      <c r="D1600" s="2">
        <f>G1600/Instructions!$B$5</f>
        <v>0</v>
      </c>
      <c r="E1600" s="2">
        <f t="shared" si="25"/>
        <v>0</v>
      </c>
      <c r="F1600" s="9"/>
      <c r="G1600" s="9"/>
      <c r="H1600" s="2">
        <f>IF(SUM(F1600:G1600)&gt;Instructions!$B$5,"Error",SUM(F1600:G1600))</f>
        <v>0</v>
      </c>
      <c r="I1600" s="8"/>
    </row>
    <row r="1601" spans="1:9">
      <c r="A1601" s="8"/>
      <c r="B1601" s="8"/>
      <c r="C1601" s="2">
        <f>F1601/Instructions!$B$5</f>
        <v>0</v>
      </c>
      <c r="D1601" s="2">
        <f>G1601/Instructions!$B$5</f>
        <v>0</v>
      </c>
      <c r="E1601" s="2">
        <f t="shared" si="25"/>
        <v>0</v>
      </c>
      <c r="F1601" s="9"/>
      <c r="G1601" s="9"/>
      <c r="H1601" s="2">
        <f>IF(SUM(F1601:G1601)&gt;Instructions!$B$5,"Error",SUM(F1601:G1601))</f>
        <v>0</v>
      </c>
      <c r="I1601" s="8"/>
    </row>
    <row r="1602" spans="1:9">
      <c r="A1602" s="8"/>
      <c r="B1602" s="8"/>
      <c r="C1602" s="2">
        <f>F1602/Instructions!$B$5</f>
        <v>0</v>
      </c>
      <c r="D1602" s="2">
        <f>G1602/Instructions!$B$5</f>
        <v>0</v>
      </c>
      <c r="E1602" s="2">
        <f t="shared" si="25"/>
        <v>0</v>
      </c>
      <c r="F1602" s="9"/>
      <c r="G1602" s="9"/>
      <c r="H1602" s="2">
        <f>IF(SUM(F1602:G1602)&gt;Instructions!$B$5,"Error",SUM(F1602:G1602))</f>
        <v>0</v>
      </c>
      <c r="I1602" s="8"/>
    </row>
    <row r="1603" spans="1:9">
      <c r="A1603" s="8"/>
      <c r="B1603" s="8"/>
      <c r="C1603" s="2">
        <f>F1603/Instructions!$B$5</f>
        <v>0</v>
      </c>
      <c r="D1603" s="2">
        <f>G1603/Instructions!$B$5</f>
        <v>0</v>
      </c>
      <c r="E1603" s="2">
        <f t="shared" si="25"/>
        <v>0</v>
      </c>
      <c r="F1603" s="9"/>
      <c r="G1603" s="9"/>
      <c r="H1603" s="2">
        <f>IF(SUM(F1603:G1603)&gt;Instructions!$B$5,"Error",SUM(F1603:G1603))</f>
        <v>0</v>
      </c>
      <c r="I1603" s="8"/>
    </row>
    <row r="1604" spans="1:9">
      <c r="A1604" s="8"/>
      <c r="B1604" s="8"/>
      <c r="C1604" s="2">
        <f>F1604/Instructions!$B$5</f>
        <v>0</v>
      </c>
      <c r="D1604" s="2">
        <f>G1604/Instructions!$B$5</f>
        <v>0</v>
      </c>
      <c r="E1604" s="2">
        <f t="shared" si="25"/>
        <v>0</v>
      </c>
      <c r="F1604" s="9"/>
      <c r="G1604" s="9"/>
      <c r="H1604" s="2">
        <f>IF(SUM(F1604:G1604)&gt;Instructions!$B$5,"Error",SUM(F1604:G1604))</f>
        <v>0</v>
      </c>
      <c r="I1604" s="8"/>
    </row>
    <row r="1605" spans="1:9">
      <c r="A1605" s="8"/>
      <c r="B1605" s="8"/>
      <c r="C1605" s="2">
        <f>F1605/Instructions!$B$5</f>
        <v>0</v>
      </c>
      <c r="D1605" s="2">
        <f>G1605/Instructions!$B$5</f>
        <v>0</v>
      </c>
      <c r="E1605" s="2">
        <f t="shared" si="25"/>
        <v>0</v>
      </c>
      <c r="F1605" s="9"/>
      <c r="G1605" s="9"/>
      <c r="H1605" s="2">
        <f>IF(SUM(F1605:G1605)&gt;Instructions!$B$5,"Error",SUM(F1605:G1605))</f>
        <v>0</v>
      </c>
      <c r="I1605" s="8"/>
    </row>
    <row r="1606" spans="1:9">
      <c r="A1606" s="8"/>
      <c r="B1606" s="8"/>
      <c r="C1606" s="2">
        <f>F1606/Instructions!$B$5</f>
        <v>0</v>
      </c>
      <c r="D1606" s="2">
        <f>G1606/Instructions!$B$5</f>
        <v>0</v>
      </c>
      <c r="E1606" s="2">
        <f t="shared" si="25"/>
        <v>0</v>
      </c>
      <c r="F1606" s="9"/>
      <c r="G1606" s="9"/>
      <c r="H1606" s="2">
        <f>IF(SUM(F1606:G1606)&gt;Instructions!$B$5,"Error",SUM(F1606:G1606))</f>
        <v>0</v>
      </c>
      <c r="I1606" s="8"/>
    </row>
    <row r="1607" spans="1:9">
      <c r="A1607" s="8"/>
      <c r="B1607" s="8"/>
      <c r="C1607" s="2">
        <f>F1607/Instructions!$B$5</f>
        <v>0</v>
      </c>
      <c r="D1607" s="2">
        <f>G1607/Instructions!$B$5</f>
        <v>0</v>
      </c>
      <c r="E1607" s="2">
        <f t="shared" si="25"/>
        <v>0</v>
      </c>
      <c r="F1607" s="9"/>
      <c r="G1607" s="9"/>
      <c r="H1607" s="2">
        <f>IF(SUM(F1607:G1607)&gt;Instructions!$B$5,"Error",SUM(F1607:G1607))</f>
        <v>0</v>
      </c>
      <c r="I1607" s="8"/>
    </row>
    <row r="1608" spans="1:9">
      <c r="A1608" s="8"/>
      <c r="B1608" s="8"/>
      <c r="C1608" s="2">
        <f>F1608/Instructions!$B$5</f>
        <v>0</v>
      </c>
      <c r="D1608" s="2">
        <f>G1608/Instructions!$B$5</f>
        <v>0</v>
      </c>
      <c r="E1608" s="2">
        <f t="shared" ref="E1608:E1671" si="26">IF(SUM(C1608:D1608)&gt;1,"Error",SUM(C1608:D1608))</f>
        <v>0</v>
      </c>
      <c r="F1608" s="9"/>
      <c r="G1608" s="9"/>
      <c r="H1608" s="2">
        <f>IF(SUM(F1608:G1608)&gt;Instructions!$B$5,"Error",SUM(F1608:G1608))</f>
        <v>0</v>
      </c>
      <c r="I1608" s="8"/>
    </row>
    <row r="1609" spans="1:9">
      <c r="A1609" s="8"/>
      <c r="B1609" s="8"/>
      <c r="C1609" s="2">
        <f>F1609/Instructions!$B$5</f>
        <v>0</v>
      </c>
      <c r="D1609" s="2">
        <f>G1609/Instructions!$B$5</f>
        <v>0</v>
      </c>
      <c r="E1609" s="2">
        <f t="shared" si="26"/>
        <v>0</v>
      </c>
      <c r="F1609" s="9"/>
      <c r="G1609" s="9"/>
      <c r="H1609" s="2">
        <f>IF(SUM(F1609:G1609)&gt;Instructions!$B$5,"Error",SUM(F1609:G1609))</f>
        <v>0</v>
      </c>
      <c r="I1609" s="8"/>
    </row>
    <row r="1610" spans="1:9">
      <c r="A1610" s="8"/>
      <c r="B1610" s="8"/>
      <c r="C1610" s="2">
        <f>F1610/Instructions!$B$5</f>
        <v>0</v>
      </c>
      <c r="D1610" s="2">
        <f>G1610/Instructions!$B$5</f>
        <v>0</v>
      </c>
      <c r="E1610" s="2">
        <f t="shared" si="26"/>
        <v>0</v>
      </c>
      <c r="F1610" s="9"/>
      <c r="G1610" s="9"/>
      <c r="H1610" s="2">
        <f>IF(SUM(F1610:G1610)&gt;Instructions!$B$5,"Error",SUM(F1610:G1610))</f>
        <v>0</v>
      </c>
      <c r="I1610" s="8"/>
    </row>
    <row r="1611" spans="1:9">
      <c r="A1611" s="8"/>
      <c r="B1611" s="8"/>
      <c r="C1611" s="2">
        <f>F1611/Instructions!$B$5</f>
        <v>0</v>
      </c>
      <c r="D1611" s="2">
        <f>G1611/Instructions!$B$5</f>
        <v>0</v>
      </c>
      <c r="E1611" s="2">
        <f t="shared" si="26"/>
        <v>0</v>
      </c>
      <c r="F1611" s="9"/>
      <c r="G1611" s="9"/>
      <c r="H1611" s="2">
        <f>IF(SUM(F1611:G1611)&gt;Instructions!$B$5,"Error",SUM(F1611:G1611))</f>
        <v>0</v>
      </c>
      <c r="I1611" s="8"/>
    </row>
    <row r="1612" spans="1:9">
      <c r="A1612" s="8"/>
      <c r="B1612" s="8"/>
      <c r="C1612" s="2">
        <f>F1612/Instructions!$B$5</f>
        <v>0</v>
      </c>
      <c r="D1612" s="2">
        <f>G1612/Instructions!$B$5</f>
        <v>0</v>
      </c>
      <c r="E1612" s="2">
        <f t="shared" si="26"/>
        <v>0</v>
      </c>
      <c r="F1612" s="9"/>
      <c r="G1612" s="9"/>
      <c r="H1612" s="2">
        <f>IF(SUM(F1612:G1612)&gt;Instructions!$B$5,"Error",SUM(F1612:G1612))</f>
        <v>0</v>
      </c>
      <c r="I1612" s="8"/>
    </row>
    <row r="1613" spans="1:9">
      <c r="A1613" s="8"/>
      <c r="B1613" s="8"/>
      <c r="C1613" s="2">
        <f>F1613/Instructions!$B$5</f>
        <v>0</v>
      </c>
      <c r="D1613" s="2">
        <f>G1613/Instructions!$B$5</f>
        <v>0</v>
      </c>
      <c r="E1613" s="2">
        <f t="shared" si="26"/>
        <v>0</v>
      </c>
      <c r="F1613" s="9"/>
      <c r="G1613" s="9"/>
      <c r="H1613" s="2">
        <f>IF(SUM(F1613:G1613)&gt;Instructions!$B$5,"Error",SUM(F1613:G1613))</f>
        <v>0</v>
      </c>
      <c r="I1613" s="8"/>
    </row>
    <row r="1614" spans="1:9">
      <c r="A1614" s="8"/>
      <c r="B1614" s="8"/>
      <c r="C1614" s="2">
        <f>F1614/Instructions!$B$5</f>
        <v>0</v>
      </c>
      <c r="D1614" s="2">
        <f>G1614/Instructions!$B$5</f>
        <v>0</v>
      </c>
      <c r="E1614" s="2">
        <f t="shared" si="26"/>
        <v>0</v>
      </c>
      <c r="F1614" s="9"/>
      <c r="G1614" s="9"/>
      <c r="H1614" s="2">
        <f>IF(SUM(F1614:G1614)&gt;Instructions!$B$5,"Error",SUM(F1614:G1614))</f>
        <v>0</v>
      </c>
      <c r="I1614" s="8"/>
    </row>
    <row r="1615" spans="1:9">
      <c r="A1615" s="8"/>
      <c r="B1615" s="8"/>
      <c r="C1615" s="2">
        <f>F1615/Instructions!$B$5</f>
        <v>0</v>
      </c>
      <c r="D1615" s="2">
        <f>G1615/Instructions!$B$5</f>
        <v>0</v>
      </c>
      <c r="E1615" s="2">
        <f t="shared" si="26"/>
        <v>0</v>
      </c>
      <c r="F1615" s="9"/>
      <c r="G1615" s="9"/>
      <c r="H1615" s="2">
        <f>IF(SUM(F1615:G1615)&gt;Instructions!$B$5,"Error",SUM(F1615:G1615))</f>
        <v>0</v>
      </c>
      <c r="I1615" s="8"/>
    </row>
    <row r="1616" spans="1:9">
      <c r="A1616" s="8"/>
      <c r="B1616" s="8"/>
      <c r="C1616" s="2">
        <f>F1616/Instructions!$B$5</f>
        <v>0</v>
      </c>
      <c r="D1616" s="2">
        <f>G1616/Instructions!$B$5</f>
        <v>0</v>
      </c>
      <c r="E1616" s="2">
        <f t="shared" si="26"/>
        <v>0</v>
      </c>
      <c r="F1616" s="9"/>
      <c r="G1616" s="9"/>
      <c r="H1616" s="2">
        <f>IF(SUM(F1616:G1616)&gt;Instructions!$B$5,"Error",SUM(F1616:G1616))</f>
        <v>0</v>
      </c>
      <c r="I1616" s="8"/>
    </row>
    <row r="1617" spans="1:9">
      <c r="A1617" s="8"/>
      <c r="B1617" s="8"/>
      <c r="C1617" s="2">
        <f>F1617/Instructions!$B$5</f>
        <v>0</v>
      </c>
      <c r="D1617" s="2">
        <f>G1617/Instructions!$B$5</f>
        <v>0</v>
      </c>
      <c r="E1617" s="2">
        <f t="shared" si="26"/>
        <v>0</v>
      </c>
      <c r="F1617" s="9"/>
      <c r="G1617" s="9"/>
      <c r="H1617" s="2">
        <f>IF(SUM(F1617:G1617)&gt;Instructions!$B$5,"Error",SUM(F1617:G1617))</f>
        <v>0</v>
      </c>
      <c r="I1617" s="8"/>
    </row>
    <row r="1618" spans="1:9">
      <c r="A1618" s="8"/>
      <c r="B1618" s="8"/>
      <c r="C1618" s="2">
        <f>F1618/Instructions!$B$5</f>
        <v>0</v>
      </c>
      <c r="D1618" s="2">
        <f>G1618/Instructions!$B$5</f>
        <v>0</v>
      </c>
      <c r="E1618" s="2">
        <f t="shared" si="26"/>
        <v>0</v>
      </c>
      <c r="F1618" s="9"/>
      <c r="G1618" s="9"/>
      <c r="H1618" s="2">
        <f>IF(SUM(F1618:G1618)&gt;Instructions!$B$5,"Error",SUM(F1618:G1618))</f>
        <v>0</v>
      </c>
      <c r="I1618" s="8"/>
    </row>
    <row r="1619" spans="1:9">
      <c r="A1619" s="8"/>
      <c r="B1619" s="8"/>
      <c r="C1619" s="2">
        <f>F1619/Instructions!$B$5</f>
        <v>0</v>
      </c>
      <c r="D1619" s="2">
        <f>G1619/Instructions!$B$5</f>
        <v>0</v>
      </c>
      <c r="E1619" s="2">
        <f t="shared" si="26"/>
        <v>0</v>
      </c>
      <c r="F1619" s="9"/>
      <c r="G1619" s="9"/>
      <c r="H1619" s="2">
        <f>IF(SUM(F1619:G1619)&gt;Instructions!$B$5,"Error",SUM(F1619:G1619))</f>
        <v>0</v>
      </c>
      <c r="I1619" s="8"/>
    </row>
    <row r="1620" spans="1:9">
      <c r="A1620" s="8"/>
      <c r="B1620" s="8"/>
      <c r="C1620" s="2">
        <f>F1620/Instructions!$B$5</f>
        <v>0</v>
      </c>
      <c r="D1620" s="2">
        <f>G1620/Instructions!$B$5</f>
        <v>0</v>
      </c>
      <c r="E1620" s="2">
        <f t="shared" si="26"/>
        <v>0</v>
      </c>
      <c r="F1620" s="9"/>
      <c r="G1620" s="9"/>
      <c r="H1620" s="2">
        <f>IF(SUM(F1620:G1620)&gt;Instructions!$B$5,"Error",SUM(F1620:G1620))</f>
        <v>0</v>
      </c>
      <c r="I1620" s="8"/>
    </row>
    <row r="1621" spans="1:9">
      <c r="A1621" s="8"/>
      <c r="B1621" s="8"/>
      <c r="C1621" s="2">
        <f>F1621/Instructions!$B$5</f>
        <v>0</v>
      </c>
      <c r="D1621" s="2">
        <f>G1621/Instructions!$B$5</f>
        <v>0</v>
      </c>
      <c r="E1621" s="2">
        <f t="shared" si="26"/>
        <v>0</v>
      </c>
      <c r="F1621" s="9"/>
      <c r="G1621" s="9"/>
      <c r="H1621" s="2">
        <f>IF(SUM(F1621:G1621)&gt;Instructions!$B$5,"Error",SUM(F1621:G1621))</f>
        <v>0</v>
      </c>
      <c r="I1621" s="8"/>
    </row>
    <row r="1622" spans="1:9">
      <c r="A1622" s="8"/>
      <c r="B1622" s="8"/>
      <c r="C1622" s="2">
        <f>F1622/Instructions!$B$5</f>
        <v>0</v>
      </c>
      <c r="D1622" s="2">
        <f>G1622/Instructions!$B$5</f>
        <v>0</v>
      </c>
      <c r="E1622" s="2">
        <f t="shared" si="26"/>
        <v>0</v>
      </c>
      <c r="F1622" s="9"/>
      <c r="G1622" s="9"/>
      <c r="H1622" s="2">
        <f>IF(SUM(F1622:G1622)&gt;Instructions!$B$5,"Error",SUM(F1622:G1622))</f>
        <v>0</v>
      </c>
      <c r="I1622" s="8"/>
    </row>
    <row r="1623" spans="1:9">
      <c r="A1623" s="8"/>
      <c r="B1623" s="8"/>
      <c r="C1623" s="2">
        <f>F1623/Instructions!$B$5</f>
        <v>0</v>
      </c>
      <c r="D1623" s="2">
        <f>G1623/Instructions!$B$5</f>
        <v>0</v>
      </c>
      <c r="E1623" s="2">
        <f t="shared" si="26"/>
        <v>0</v>
      </c>
      <c r="F1623" s="9"/>
      <c r="G1623" s="9"/>
      <c r="H1623" s="2">
        <f>IF(SUM(F1623:G1623)&gt;Instructions!$B$5,"Error",SUM(F1623:G1623))</f>
        <v>0</v>
      </c>
      <c r="I1623" s="8"/>
    </row>
    <row r="1624" spans="1:9">
      <c r="A1624" s="8"/>
      <c r="B1624" s="8"/>
      <c r="C1624" s="2">
        <f>F1624/Instructions!$B$5</f>
        <v>0</v>
      </c>
      <c r="D1624" s="2">
        <f>G1624/Instructions!$B$5</f>
        <v>0</v>
      </c>
      <c r="E1624" s="2">
        <f t="shared" si="26"/>
        <v>0</v>
      </c>
      <c r="F1624" s="9"/>
      <c r="G1624" s="9"/>
      <c r="H1624" s="2">
        <f>IF(SUM(F1624:G1624)&gt;Instructions!$B$5,"Error",SUM(F1624:G1624))</f>
        <v>0</v>
      </c>
      <c r="I1624" s="8"/>
    </row>
    <row r="1625" spans="1:9">
      <c r="A1625" s="8"/>
      <c r="B1625" s="8"/>
      <c r="C1625" s="2">
        <f>F1625/Instructions!$B$5</f>
        <v>0</v>
      </c>
      <c r="D1625" s="2">
        <f>G1625/Instructions!$B$5</f>
        <v>0</v>
      </c>
      <c r="E1625" s="2">
        <f t="shared" si="26"/>
        <v>0</v>
      </c>
      <c r="F1625" s="9"/>
      <c r="G1625" s="9"/>
      <c r="H1625" s="2">
        <f>IF(SUM(F1625:G1625)&gt;Instructions!$B$5,"Error",SUM(F1625:G1625))</f>
        <v>0</v>
      </c>
      <c r="I1625" s="8"/>
    </row>
    <row r="1626" spans="1:9">
      <c r="A1626" s="8"/>
      <c r="B1626" s="8"/>
      <c r="C1626" s="2">
        <f>F1626/Instructions!$B$5</f>
        <v>0</v>
      </c>
      <c r="D1626" s="2">
        <f>G1626/Instructions!$B$5</f>
        <v>0</v>
      </c>
      <c r="E1626" s="2">
        <f t="shared" si="26"/>
        <v>0</v>
      </c>
      <c r="F1626" s="9"/>
      <c r="G1626" s="9"/>
      <c r="H1626" s="2">
        <f>IF(SUM(F1626:G1626)&gt;Instructions!$B$5,"Error",SUM(F1626:G1626))</f>
        <v>0</v>
      </c>
      <c r="I1626" s="8"/>
    </row>
    <row r="1627" spans="1:9">
      <c r="A1627" s="8"/>
      <c r="B1627" s="8"/>
      <c r="C1627" s="2">
        <f>F1627/Instructions!$B$5</f>
        <v>0</v>
      </c>
      <c r="D1627" s="2">
        <f>G1627/Instructions!$B$5</f>
        <v>0</v>
      </c>
      <c r="E1627" s="2">
        <f t="shared" si="26"/>
        <v>0</v>
      </c>
      <c r="F1627" s="9"/>
      <c r="G1627" s="9"/>
      <c r="H1627" s="2">
        <f>IF(SUM(F1627:G1627)&gt;Instructions!$B$5,"Error",SUM(F1627:G1627))</f>
        <v>0</v>
      </c>
      <c r="I1627" s="8"/>
    </row>
    <row r="1628" spans="1:9">
      <c r="A1628" s="8"/>
      <c r="B1628" s="8"/>
      <c r="C1628" s="2">
        <f>F1628/Instructions!$B$5</f>
        <v>0</v>
      </c>
      <c r="D1628" s="2">
        <f>G1628/Instructions!$B$5</f>
        <v>0</v>
      </c>
      <c r="E1628" s="2">
        <f t="shared" si="26"/>
        <v>0</v>
      </c>
      <c r="F1628" s="9"/>
      <c r="G1628" s="9"/>
      <c r="H1628" s="2">
        <f>IF(SUM(F1628:G1628)&gt;Instructions!$B$5,"Error",SUM(F1628:G1628))</f>
        <v>0</v>
      </c>
      <c r="I1628" s="8"/>
    </row>
    <row r="1629" spans="1:9">
      <c r="A1629" s="8"/>
      <c r="B1629" s="8"/>
      <c r="C1629" s="2">
        <f>F1629/Instructions!$B$5</f>
        <v>0</v>
      </c>
      <c r="D1629" s="2">
        <f>G1629/Instructions!$B$5</f>
        <v>0</v>
      </c>
      <c r="E1629" s="2">
        <f t="shared" si="26"/>
        <v>0</v>
      </c>
      <c r="F1629" s="9"/>
      <c r="G1629" s="9"/>
      <c r="H1629" s="2">
        <f>IF(SUM(F1629:G1629)&gt;Instructions!$B$5,"Error",SUM(F1629:G1629))</f>
        <v>0</v>
      </c>
      <c r="I1629" s="8"/>
    </row>
    <row r="1630" spans="1:9">
      <c r="A1630" s="8"/>
      <c r="B1630" s="8"/>
      <c r="C1630" s="2">
        <f>F1630/Instructions!$B$5</f>
        <v>0</v>
      </c>
      <c r="D1630" s="2">
        <f>G1630/Instructions!$B$5</f>
        <v>0</v>
      </c>
      <c r="E1630" s="2">
        <f t="shared" si="26"/>
        <v>0</v>
      </c>
      <c r="F1630" s="9"/>
      <c r="G1630" s="9"/>
      <c r="H1630" s="2">
        <f>IF(SUM(F1630:G1630)&gt;Instructions!$B$5,"Error",SUM(F1630:G1630))</f>
        <v>0</v>
      </c>
      <c r="I1630" s="8"/>
    </row>
    <row r="1631" spans="1:9">
      <c r="A1631" s="8"/>
      <c r="B1631" s="8"/>
      <c r="C1631" s="2">
        <f>F1631/Instructions!$B$5</f>
        <v>0</v>
      </c>
      <c r="D1631" s="2">
        <f>G1631/Instructions!$B$5</f>
        <v>0</v>
      </c>
      <c r="E1631" s="2">
        <f t="shared" si="26"/>
        <v>0</v>
      </c>
      <c r="F1631" s="9"/>
      <c r="G1631" s="9"/>
      <c r="H1631" s="2">
        <f>IF(SUM(F1631:G1631)&gt;Instructions!$B$5,"Error",SUM(F1631:G1631))</f>
        <v>0</v>
      </c>
      <c r="I1631" s="8"/>
    </row>
    <row r="1632" spans="1:9">
      <c r="A1632" s="8"/>
      <c r="B1632" s="8"/>
      <c r="C1632" s="2">
        <f>F1632/Instructions!$B$5</f>
        <v>0</v>
      </c>
      <c r="D1632" s="2">
        <f>G1632/Instructions!$B$5</f>
        <v>0</v>
      </c>
      <c r="E1632" s="2">
        <f t="shared" si="26"/>
        <v>0</v>
      </c>
      <c r="F1632" s="9"/>
      <c r="G1632" s="9"/>
      <c r="H1632" s="2">
        <f>IF(SUM(F1632:G1632)&gt;Instructions!$B$5,"Error",SUM(F1632:G1632))</f>
        <v>0</v>
      </c>
      <c r="I1632" s="8"/>
    </row>
    <row r="1633" spans="1:9">
      <c r="A1633" s="8"/>
      <c r="B1633" s="8"/>
      <c r="C1633" s="2">
        <f>F1633/Instructions!$B$5</f>
        <v>0</v>
      </c>
      <c r="D1633" s="2">
        <f>G1633/Instructions!$B$5</f>
        <v>0</v>
      </c>
      <c r="E1633" s="2">
        <f t="shared" si="26"/>
        <v>0</v>
      </c>
      <c r="F1633" s="9"/>
      <c r="G1633" s="9"/>
      <c r="H1633" s="2">
        <f>IF(SUM(F1633:G1633)&gt;Instructions!$B$5,"Error",SUM(F1633:G1633))</f>
        <v>0</v>
      </c>
      <c r="I1633" s="8"/>
    </row>
    <row r="1634" spans="1:9">
      <c r="A1634" s="8"/>
      <c r="B1634" s="8"/>
      <c r="C1634" s="2">
        <f>F1634/Instructions!$B$5</f>
        <v>0</v>
      </c>
      <c r="D1634" s="2">
        <f>G1634/Instructions!$B$5</f>
        <v>0</v>
      </c>
      <c r="E1634" s="2">
        <f t="shared" si="26"/>
        <v>0</v>
      </c>
      <c r="F1634" s="9"/>
      <c r="G1634" s="9"/>
      <c r="H1634" s="2">
        <f>IF(SUM(F1634:G1634)&gt;Instructions!$B$5,"Error",SUM(F1634:G1634))</f>
        <v>0</v>
      </c>
      <c r="I1634" s="8"/>
    </row>
    <row r="1635" spans="1:9">
      <c r="A1635" s="8"/>
      <c r="B1635" s="8"/>
      <c r="C1635" s="2">
        <f>F1635/Instructions!$B$5</f>
        <v>0</v>
      </c>
      <c r="D1635" s="2">
        <f>G1635/Instructions!$B$5</f>
        <v>0</v>
      </c>
      <c r="E1635" s="2">
        <f t="shared" si="26"/>
        <v>0</v>
      </c>
      <c r="F1635" s="9"/>
      <c r="G1635" s="9"/>
      <c r="H1635" s="2">
        <f>IF(SUM(F1635:G1635)&gt;Instructions!$B$5,"Error",SUM(F1635:G1635))</f>
        <v>0</v>
      </c>
      <c r="I1635" s="8"/>
    </row>
    <row r="1636" spans="1:9">
      <c r="A1636" s="8"/>
      <c r="B1636" s="8"/>
      <c r="C1636" s="2">
        <f>F1636/Instructions!$B$5</f>
        <v>0</v>
      </c>
      <c r="D1636" s="2">
        <f>G1636/Instructions!$B$5</f>
        <v>0</v>
      </c>
      <c r="E1636" s="2">
        <f t="shared" si="26"/>
        <v>0</v>
      </c>
      <c r="F1636" s="9"/>
      <c r="G1636" s="9"/>
      <c r="H1636" s="2">
        <f>IF(SUM(F1636:G1636)&gt;Instructions!$B$5,"Error",SUM(F1636:G1636))</f>
        <v>0</v>
      </c>
      <c r="I1636" s="8"/>
    </row>
    <row r="1637" spans="1:9">
      <c r="A1637" s="8"/>
      <c r="B1637" s="8"/>
      <c r="C1637" s="2">
        <f>F1637/Instructions!$B$5</f>
        <v>0</v>
      </c>
      <c r="D1637" s="2">
        <f>G1637/Instructions!$B$5</f>
        <v>0</v>
      </c>
      <c r="E1637" s="2">
        <f t="shared" si="26"/>
        <v>0</v>
      </c>
      <c r="F1637" s="9"/>
      <c r="G1637" s="9"/>
      <c r="H1637" s="2">
        <f>IF(SUM(F1637:G1637)&gt;Instructions!$B$5,"Error",SUM(F1637:G1637))</f>
        <v>0</v>
      </c>
      <c r="I1637" s="8"/>
    </row>
    <row r="1638" spans="1:9">
      <c r="A1638" s="8"/>
      <c r="B1638" s="8"/>
      <c r="C1638" s="2">
        <f>F1638/Instructions!$B$5</f>
        <v>0</v>
      </c>
      <c r="D1638" s="2">
        <f>G1638/Instructions!$B$5</f>
        <v>0</v>
      </c>
      <c r="E1638" s="2">
        <f t="shared" si="26"/>
        <v>0</v>
      </c>
      <c r="F1638" s="9"/>
      <c r="G1638" s="9"/>
      <c r="H1638" s="2">
        <f>IF(SUM(F1638:G1638)&gt;Instructions!$B$5,"Error",SUM(F1638:G1638))</f>
        <v>0</v>
      </c>
      <c r="I1638" s="8"/>
    </row>
    <row r="1639" spans="1:9">
      <c r="A1639" s="8"/>
      <c r="B1639" s="8"/>
      <c r="C1639" s="2">
        <f>F1639/Instructions!$B$5</f>
        <v>0</v>
      </c>
      <c r="D1639" s="2">
        <f>G1639/Instructions!$B$5</f>
        <v>0</v>
      </c>
      <c r="E1639" s="2">
        <f t="shared" si="26"/>
        <v>0</v>
      </c>
      <c r="F1639" s="9"/>
      <c r="G1639" s="9"/>
      <c r="H1639" s="2">
        <f>IF(SUM(F1639:G1639)&gt;Instructions!$B$5,"Error",SUM(F1639:G1639))</f>
        <v>0</v>
      </c>
      <c r="I1639" s="8"/>
    </row>
    <row r="1640" spans="1:9">
      <c r="A1640" s="8"/>
      <c r="B1640" s="8"/>
      <c r="C1640" s="2">
        <f>F1640/Instructions!$B$5</f>
        <v>0</v>
      </c>
      <c r="D1640" s="2">
        <f>G1640/Instructions!$B$5</f>
        <v>0</v>
      </c>
      <c r="E1640" s="2">
        <f t="shared" si="26"/>
        <v>0</v>
      </c>
      <c r="F1640" s="9"/>
      <c r="G1640" s="9"/>
      <c r="H1640" s="2">
        <f>IF(SUM(F1640:G1640)&gt;Instructions!$B$5,"Error",SUM(F1640:G1640))</f>
        <v>0</v>
      </c>
      <c r="I1640" s="8"/>
    </row>
    <row r="1641" spans="1:9">
      <c r="A1641" s="8"/>
      <c r="B1641" s="8"/>
      <c r="C1641" s="2">
        <f>F1641/Instructions!$B$5</f>
        <v>0</v>
      </c>
      <c r="D1641" s="2">
        <f>G1641/Instructions!$B$5</f>
        <v>0</v>
      </c>
      <c r="E1641" s="2">
        <f t="shared" si="26"/>
        <v>0</v>
      </c>
      <c r="F1641" s="9"/>
      <c r="G1641" s="9"/>
      <c r="H1641" s="2">
        <f>IF(SUM(F1641:G1641)&gt;Instructions!$B$5,"Error",SUM(F1641:G1641))</f>
        <v>0</v>
      </c>
      <c r="I1641" s="8"/>
    </row>
    <row r="1642" spans="1:9">
      <c r="A1642" s="8"/>
      <c r="B1642" s="8"/>
      <c r="C1642" s="2">
        <f>F1642/Instructions!$B$5</f>
        <v>0</v>
      </c>
      <c r="D1642" s="2">
        <f>G1642/Instructions!$B$5</f>
        <v>0</v>
      </c>
      <c r="E1642" s="2">
        <f t="shared" si="26"/>
        <v>0</v>
      </c>
      <c r="F1642" s="9"/>
      <c r="G1642" s="9"/>
      <c r="H1642" s="2">
        <f>IF(SUM(F1642:G1642)&gt;Instructions!$B$5,"Error",SUM(F1642:G1642))</f>
        <v>0</v>
      </c>
      <c r="I1642" s="8"/>
    </row>
    <row r="1643" spans="1:9">
      <c r="A1643" s="8"/>
      <c r="B1643" s="8"/>
      <c r="C1643" s="2">
        <f>F1643/Instructions!$B$5</f>
        <v>0</v>
      </c>
      <c r="D1643" s="2">
        <f>G1643/Instructions!$B$5</f>
        <v>0</v>
      </c>
      <c r="E1643" s="2">
        <f t="shared" si="26"/>
        <v>0</v>
      </c>
      <c r="F1643" s="9"/>
      <c r="G1643" s="9"/>
      <c r="H1643" s="2">
        <f>IF(SUM(F1643:G1643)&gt;Instructions!$B$5,"Error",SUM(F1643:G1643))</f>
        <v>0</v>
      </c>
      <c r="I1643" s="8"/>
    </row>
    <row r="1644" spans="1:9">
      <c r="A1644" s="8"/>
      <c r="B1644" s="8"/>
      <c r="C1644" s="2">
        <f>F1644/Instructions!$B$5</f>
        <v>0</v>
      </c>
      <c r="D1644" s="2">
        <f>G1644/Instructions!$B$5</f>
        <v>0</v>
      </c>
      <c r="E1644" s="2">
        <f t="shared" si="26"/>
        <v>0</v>
      </c>
      <c r="F1644" s="9"/>
      <c r="G1644" s="9"/>
      <c r="H1644" s="2">
        <f>IF(SUM(F1644:G1644)&gt;Instructions!$B$5,"Error",SUM(F1644:G1644))</f>
        <v>0</v>
      </c>
      <c r="I1644" s="8"/>
    </row>
    <row r="1645" spans="1:9">
      <c r="A1645" s="8"/>
      <c r="B1645" s="8"/>
      <c r="C1645" s="2">
        <f>F1645/Instructions!$B$5</f>
        <v>0</v>
      </c>
      <c r="D1645" s="2">
        <f>G1645/Instructions!$B$5</f>
        <v>0</v>
      </c>
      <c r="E1645" s="2">
        <f t="shared" si="26"/>
        <v>0</v>
      </c>
      <c r="F1645" s="9"/>
      <c r="G1645" s="9"/>
      <c r="H1645" s="2">
        <f>IF(SUM(F1645:G1645)&gt;Instructions!$B$5,"Error",SUM(F1645:G1645))</f>
        <v>0</v>
      </c>
      <c r="I1645" s="8"/>
    </row>
    <row r="1646" spans="1:9">
      <c r="A1646" s="8"/>
      <c r="B1646" s="8"/>
      <c r="C1646" s="2">
        <f>F1646/Instructions!$B$5</f>
        <v>0</v>
      </c>
      <c r="D1646" s="2">
        <f>G1646/Instructions!$B$5</f>
        <v>0</v>
      </c>
      <c r="E1646" s="2">
        <f t="shared" si="26"/>
        <v>0</v>
      </c>
      <c r="F1646" s="9"/>
      <c r="G1646" s="9"/>
      <c r="H1646" s="2">
        <f>IF(SUM(F1646:G1646)&gt;Instructions!$B$5,"Error",SUM(F1646:G1646))</f>
        <v>0</v>
      </c>
      <c r="I1646" s="8"/>
    </row>
    <row r="1647" spans="1:9">
      <c r="A1647" s="8"/>
      <c r="B1647" s="8"/>
      <c r="C1647" s="2">
        <f>F1647/Instructions!$B$5</f>
        <v>0</v>
      </c>
      <c r="D1647" s="2">
        <f>G1647/Instructions!$B$5</f>
        <v>0</v>
      </c>
      <c r="E1647" s="2">
        <f t="shared" si="26"/>
        <v>0</v>
      </c>
      <c r="F1647" s="9"/>
      <c r="G1647" s="9"/>
      <c r="H1647" s="2">
        <f>IF(SUM(F1647:G1647)&gt;Instructions!$B$5,"Error",SUM(F1647:G1647))</f>
        <v>0</v>
      </c>
      <c r="I1647" s="8"/>
    </row>
    <row r="1648" spans="1:9">
      <c r="A1648" s="8"/>
      <c r="B1648" s="8"/>
      <c r="C1648" s="2">
        <f>F1648/Instructions!$B$5</f>
        <v>0</v>
      </c>
      <c r="D1648" s="2">
        <f>G1648/Instructions!$B$5</f>
        <v>0</v>
      </c>
      <c r="E1648" s="2">
        <f t="shared" si="26"/>
        <v>0</v>
      </c>
      <c r="F1648" s="9"/>
      <c r="G1648" s="9"/>
      <c r="H1648" s="2">
        <f>IF(SUM(F1648:G1648)&gt;Instructions!$B$5,"Error",SUM(F1648:G1648))</f>
        <v>0</v>
      </c>
      <c r="I1648" s="8"/>
    </row>
    <row r="1649" spans="1:9">
      <c r="A1649" s="8"/>
      <c r="B1649" s="8"/>
      <c r="C1649" s="2">
        <f>F1649/Instructions!$B$5</f>
        <v>0</v>
      </c>
      <c r="D1649" s="2">
        <f>G1649/Instructions!$B$5</f>
        <v>0</v>
      </c>
      <c r="E1649" s="2">
        <f t="shared" si="26"/>
        <v>0</v>
      </c>
      <c r="F1649" s="9"/>
      <c r="G1649" s="9"/>
      <c r="H1649" s="2">
        <f>IF(SUM(F1649:G1649)&gt;Instructions!$B$5,"Error",SUM(F1649:G1649))</f>
        <v>0</v>
      </c>
      <c r="I1649" s="8"/>
    </row>
    <row r="1650" spans="1:9">
      <c r="A1650" s="8"/>
      <c r="B1650" s="8"/>
      <c r="C1650" s="2">
        <f>F1650/Instructions!$B$5</f>
        <v>0</v>
      </c>
      <c r="D1650" s="2">
        <f>G1650/Instructions!$B$5</f>
        <v>0</v>
      </c>
      <c r="E1650" s="2">
        <f t="shared" si="26"/>
        <v>0</v>
      </c>
      <c r="F1650" s="9"/>
      <c r="G1650" s="9"/>
      <c r="H1650" s="2">
        <f>IF(SUM(F1650:G1650)&gt;Instructions!$B$5,"Error",SUM(F1650:G1650))</f>
        <v>0</v>
      </c>
      <c r="I1650" s="8"/>
    </row>
    <row r="1651" spans="1:9">
      <c r="A1651" s="8"/>
      <c r="B1651" s="8"/>
      <c r="C1651" s="2">
        <f>F1651/Instructions!$B$5</f>
        <v>0</v>
      </c>
      <c r="D1651" s="2">
        <f>G1651/Instructions!$B$5</f>
        <v>0</v>
      </c>
      <c r="E1651" s="2">
        <f t="shared" si="26"/>
        <v>0</v>
      </c>
      <c r="F1651" s="9"/>
      <c r="G1651" s="9"/>
      <c r="H1651" s="2">
        <f>IF(SUM(F1651:G1651)&gt;Instructions!$B$5,"Error",SUM(F1651:G1651))</f>
        <v>0</v>
      </c>
      <c r="I1651" s="8"/>
    </row>
    <row r="1652" spans="1:9">
      <c r="A1652" s="8"/>
      <c r="B1652" s="8"/>
      <c r="C1652" s="2">
        <f>F1652/Instructions!$B$5</f>
        <v>0</v>
      </c>
      <c r="D1652" s="2">
        <f>G1652/Instructions!$B$5</f>
        <v>0</v>
      </c>
      <c r="E1652" s="2">
        <f t="shared" si="26"/>
        <v>0</v>
      </c>
      <c r="F1652" s="9"/>
      <c r="G1652" s="9"/>
      <c r="H1652" s="2">
        <f>IF(SUM(F1652:G1652)&gt;Instructions!$B$5,"Error",SUM(F1652:G1652))</f>
        <v>0</v>
      </c>
      <c r="I1652" s="8"/>
    </row>
    <row r="1653" spans="1:9">
      <c r="A1653" s="8"/>
      <c r="B1653" s="8"/>
      <c r="C1653" s="2">
        <f>F1653/Instructions!$B$5</f>
        <v>0</v>
      </c>
      <c r="D1653" s="2">
        <f>G1653/Instructions!$B$5</f>
        <v>0</v>
      </c>
      <c r="E1653" s="2">
        <f t="shared" si="26"/>
        <v>0</v>
      </c>
      <c r="F1653" s="9"/>
      <c r="G1653" s="9"/>
      <c r="H1653" s="2">
        <f>IF(SUM(F1653:G1653)&gt;Instructions!$B$5,"Error",SUM(F1653:G1653))</f>
        <v>0</v>
      </c>
      <c r="I1653" s="8"/>
    </row>
    <row r="1654" spans="1:9">
      <c r="A1654" s="8"/>
      <c r="B1654" s="8"/>
      <c r="C1654" s="2">
        <f>F1654/Instructions!$B$5</f>
        <v>0</v>
      </c>
      <c r="D1654" s="2">
        <f>G1654/Instructions!$B$5</f>
        <v>0</v>
      </c>
      <c r="E1654" s="2">
        <f t="shared" si="26"/>
        <v>0</v>
      </c>
      <c r="F1654" s="9"/>
      <c r="G1654" s="9"/>
      <c r="H1654" s="2">
        <f>IF(SUM(F1654:G1654)&gt;Instructions!$B$5,"Error",SUM(F1654:G1654))</f>
        <v>0</v>
      </c>
      <c r="I1654" s="8"/>
    </row>
    <row r="1655" spans="1:9">
      <c r="A1655" s="8"/>
      <c r="B1655" s="8"/>
      <c r="C1655" s="2">
        <f>F1655/Instructions!$B$5</f>
        <v>0</v>
      </c>
      <c r="D1655" s="2">
        <f>G1655/Instructions!$B$5</f>
        <v>0</v>
      </c>
      <c r="E1655" s="2">
        <f t="shared" si="26"/>
        <v>0</v>
      </c>
      <c r="F1655" s="9"/>
      <c r="G1655" s="9"/>
      <c r="H1655" s="2">
        <f>IF(SUM(F1655:G1655)&gt;Instructions!$B$5,"Error",SUM(F1655:G1655))</f>
        <v>0</v>
      </c>
      <c r="I1655" s="8"/>
    </row>
    <row r="1656" spans="1:9">
      <c r="A1656" s="8"/>
      <c r="B1656" s="8"/>
      <c r="C1656" s="2">
        <f>F1656/Instructions!$B$5</f>
        <v>0</v>
      </c>
      <c r="D1656" s="2">
        <f>G1656/Instructions!$B$5</f>
        <v>0</v>
      </c>
      <c r="E1656" s="2">
        <f t="shared" si="26"/>
        <v>0</v>
      </c>
      <c r="F1656" s="9"/>
      <c r="G1656" s="9"/>
      <c r="H1656" s="2">
        <f>IF(SUM(F1656:G1656)&gt;Instructions!$B$5,"Error",SUM(F1656:G1656))</f>
        <v>0</v>
      </c>
      <c r="I1656" s="8"/>
    </row>
    <row r="1657" spans="1:9">
      <c r="A1657" s="8"/>
      <c r="B1657" s="8"/>
      <c r="C1657" s="2">
        <f>F1657/Instructions!$B$5</f>
        <v>0</v>
      </c>
      <c r="D1657" s="2">
        <f>G1657/Instructions!$B$5</f>
        <v>0</v>
      </c>
      <c r="E1657" s="2">
        <f t="shared" si="26"/>
        <v>0</v>
      </c>
      <c r="F1657" s="9"/>
      <c r="G1657" s="9"/>
      <c r="H1657" s="2">
        <f>IF(SUM(F1657:G1657)&gt;Instructions!$B$5,"Error",SUM(F1657:G1657))</f>
        <v>0</v>
      </c>
      <c r="I1657" s="8"/>
    </row>
    <row r="1658" spans="1:9">
      <c r="A1658" s="8"/>
      <c r="B1658" s="8"/>
      <c r="C1658" s="2">
        <f>F1658/Instructions!$B$5</f>
        <v>0</v>
      </c>
      <c r="D1658" s="2">
        <f>G1658/Instructions!$B$5</f>
        <v>0</v>
      </c>
      <c r="E1658" s="2">
        <f t="shared" si="26"/>
        <v>0</v>
      </c>
      <c r="F1658" s="9"/>
      <c r="G1658" s="9"/>
      <c r="H1658" s="2">
        <f>IF(SUM(F1658:G1658)&gt;Instructions!$B$5,"Error",SUM(F1658:G1658))</f>
        <v>0</v>
      </c>
      <c r="I1658" s="8"/>
    </row>
    <row r="1659" spans="1:9">
      <c r="A1659" s="8"/>
      <c r="B1659" s="8"/>
      <c r="C1659" s="2">
        <f>F1659/Instructions!$B$5</f>
        <v>0</v>
      </c>
      <c r="D1659" s="2">
        <f>G1659/Instructions!$B$5</f>
        <v>0</v>
      </c>
      <c r="E1659" s="2">
        <f t="shared" si="26"/>
        <v>0</v>
      </c>
      <c r="F1659" s="9"/>
      <c r="G1659" s="9"/>
      <c r="H1659" s="2">
        <f>IF(SUM(F1659:G1659)&gt;Instructions!$B$5,"Error",SUM(F1659:G1659))</f>
        <v>0</v>
      </c>
      <c r="I1659" s="8"/>
    </row>
    <row r="1660" spans="1:9">
      <c r="A1660" s="8"/>
      <c r="B1660" s="8"/>
      <c r="C1660" s="2">
        <f>F1660/Instructions!$B$5</f>
        <v>0</v>
      </c>
      <c r="D1660" s="2">
        <f>G1660/Instructions!$B$5</f>
        <v>0</v>
      </c>
      <c r="E1660" s="2">
        <f t="shared" si="26"/>
        <v>0</v>
      </c>
      <c r="F1660" s="9"/>
      <c r="G1660" s="9"/>
      <c r="H1660" s="2">
        <f>IF(SUM(F1660:G1660)&gt;Instructions!$B$5,"Error",SUM(F1660:G1660))</f>
        <v>0</v>
      </c>
      <c r="I1660" s="8"/>
    </row>
    <row r="1661" spans="1:9">
      <c r="A1661" s="8"/>
      <c r="B1661" s="8"/>
      <c r="C1661" s="2">
        <f>F1661/Instructions!$B$5</f>
        <v>0</v>
      </c>
      <c r="D1661" s="2">
        <f>G1661/Instructions!$B$5</f>
        <v>0</v>
      </c>
      <c r="E1661" s="2">
        <f t="shared" si="26"/>
        <v>0</v>
      </c>
      <c r="F1661" s="9"/>
      <c r="G1661" s="9"/>
      <c r="H1661" s="2">
        <f>IF(SUM(F1661:G1661)&gt;Instructions!$B$5,"Error",SUM(F1661:G1661))</f>
        <v>0</v>
      </c>
      <c r="I1661" s="8"/>
    </row>
    <row r="1662" spans="1:9">
      <c r="A1662" s="8"/>
      <c r="B1662" s="8"/>
      <c r="C1662" s="2">
        <f>F1662/Instructions!$B$5</f>
        <v>0</v>
      </c>
      <c r="D1662" s="2">
        <f>G1662/Instructions!$B$5</f>
        <v>0</v>
      </c>
      <c r="E1662" s="2">
        <f t="shared" si="26"/>
        <v>0</v>
      </c>
      <c r="F1662" s="9"/>
      <c r="G1662" s="9"/>
      <c r="H1662" s="2">
        <f>IF(SUM(F1662:G1662)&gt;Instructions!$B$5,"Error",SUM(F1662:G1662))</f>
        <v>0</v>
      </c>
      <c r="I1662" s="8"/>
    </row>
    <row r="1663" spans="1:9">
      <c r="A1663" s="8"/>
      <c r="B1663" s="8"/>
      <c r="C1663" s="2">
        <f>F1663/Instructions!$B$5</f>
        <v>0</v>
      </c>
      <c r="D1663" s="2">
        <f>G1663/Instructions!$B$5</f>
        <v>0</v>
      </c>
      <c r="E1663" s="2">
        <f t="shared" si="26"/>
        <v>0</v>
      </c>
      <c r="F1663" s="9"/>
      <c r="G1663" s="9"/>
      <c r="H1663" s="2">
        <f>IF(SUM(F1663:G1663)&gt;Instructions!$B$5,"Error",SUM(F1663:G1663))</f>
        <v>0</v>
      </c>
      <c r="I1663" s="8"/>
    </row>
    <row r="1664" spans="1:9">
      <c r="A1664" s="8"/>
      <c r="B1664" s="8"/>
      <c r="C1664" s="2">
        <f>F1664/Instructions!$B$5</f>
        <v>0</v>
      </c>
      <c r="D1664" s="2">
        <f>G1664/Instructions!$B$5</f>
        <v>0</v>
      </c>
      <c r="E1664" s="2">
        <f t="shared" si="26"/>
        <v>0</v>
      </c>
      <c r="F1664" s="9"/>
      <c r="G1664" s="9"/>
      <c r="H1664" s="2">
        <f>IF(SUM(F1664:G1664)&gt;Instructions!$B$5,"Error",SUM(F1664:G1664))</f>
        <v>0</v>
      </c>
      <c r="I1664" s="8"/>
    </row>
    <row r="1665" spans="1:9">
      <c r="A1665" s="8"/>
      <c r="B1665" s="8"/>
      <c r="C1665" s="2">
        <f>F1665/Instructions!$B$5</f>
        <v>0</v>
      </c>
      <c r="D1665" s="2">
        <f>G1665/Instructions!$B$5</f>
        <v>0</v>
      </c>
      <c r="E1665" s="2">
        <f t="shared" si="26"/>
        <v>0</v>
      </c>
      <c r="F1665" s="9"/>
      <c r="G1665" s="9"/>
      <c r="H1665" s="2">
        <f>IF(SUM(F1665:G1665)&gt;Instructions!$B$5,"Error",SUM(F1665:G1665))</f>
        <v>0</v>
      </c>
      <c r="I1665" s="8"/>
    </row>
    <row r="1666" spans="1:9">
      <c r="A1666" s="8"/>
      <c r="B1666" s="8"/>
      <c r="C1666" s="2">
        <f>F1666/Instructions!$B$5</f>
        <v>0</v>
      </c>
      <c r="D1666" s="2">
        <f>G1666/Instructions!$B$5</f>
        <v>0</v>
      </c>
      <c r="E1666" s="2">
        <f t="shared" si="26"/>
        <v>0</v>
      </c>
      <c r="F1666" s="9"/>
      <c r="G1666" s="9"/>
      <c r="H1666" s="2">
        <f>IF(SUM(F1666:G1666)&gt;Instructions!$B$5,"Error",SUM(F1666:G1666))</f>
        <v>0</v>
      </c>
      <c r="I1666" s="8"/>
    </row>
    <row r="1667" spans="1:9">
      <c r="A1667" s="8"/>
      <c r="B1667" s="8"/>
      <c r="C1667" s="2">
        <f>F1667/Instructions!$B$5</f>
        <v>0</v>
      </c>
      <c r="D1667" s="2">
        <f>G1667/Instructions!$B$5</f>
        <v>0</v>
      </c>
      <c r="E1667" s="2">
        <f t="shared" si="26"/>
        <v>0</v>
      </c>
      <c r="F1667" s="9"/>
      <c r="G1667" s="9"/>
      <c r="H1667" s="2">
        <f>IF(SUM(F1667:G1667)&gt;Instructions!$B$5,"Error",SUM(F1667:G1667))</f>
        <v>0</v>
      </c>
      <c r="I1667" s="8"/>
    </row>
    <row r="1668" spans="1:9">
      <c r="A1668" s="8"/>
      <c r="B1668" s="8"/>
      <c r="C1668" s="2">
        <f>F1668/Instructions!$B$5</f>
        <v>0</v>
      </c>
      <c r="D1668" s="2">
        <f>G1668/Instructions!$B$5</f>
        <v>0</v>
      </c>
      <c r="E1668" s="2">
        <f t="shared" si="26"/>
        <v>0</v>
      </c>
      <c r="F1668" s="9"/>
      <c r="G1668" s="9"/>
      <c r="H1668" s="2">
        <f>IF(SUM(F1668:G1668)&gt;Instructions!$B$5,"Error",SUM(F1668:G1668))</f>
        <v>0</v>
      </c>
      <c r="I1668" s="8"/>
    </row>
    <row r="1669" spans="1:9">
      <c r="A1669" s="8"/>
      <c r="B1669" s="8"/>
      <c r="C1669" s="2">
        <f>F1669/Instructions!$B$5</f>
        <v>0</v>
      </c>
      <c r="D1669" s="2">
        <f>G1669/Instructions!$B$5</f>
        <v>0</v>
      </c>
      <c r="E1669" s="2">
        <f t="shared" si="26"/>
        <v>0</v>
      </c>
      <c r="F1669" s="9"/>
      <c r="G1669" s="9"/>
      <c r="H1669" s="2">
        <f>IF(SUM(F1669:G1669)&gt;Instructions!$B$5,"Error",SUM(F1669:G1669))</f>
        <v>0</v>
      </c>
      <c r="I1669" s="8"/>
    </row>
    <row r="1670" spans="1:9">
      <c r="A1670" s="8"/>
      <c r="B1670" s="8"/>
      <c r="C1670" s="2">
        <f>F1670/Instructions!$B$5</f>
        <v>0</v>
      </c>
      <c r="D1670" s="2">
        <f>G1670/Instructions!$B$5</f>
        <v>0</v>
      </c>
      <c r="E1670" s="2">
        <f t="shared" si="26"/>
        <v>0</v>
      </c>
      <c r="F1670" s="9"/>
      <c r="G1670" s="9"/>
      <c r="H1670" s="2">
        <f>IF(SUM(F1670:G1670)&gt;Instructions!$B$5,"Error",SUM(F1670:G1670))</f>
        <v>0</v>
      </c>
      <c r="I1670" s="8"/>
    </row>
    <row r="1671" spans="1:9">
      <c r="A1671" s="8"/>
      <c r="B1671" s="8"/>
      <c r="C1671" s="2">
        <f>F1671/Instructions!$B$5</f>
        <v>0</v>
      </c>
      <c r="D1671" s="2">
        <f>G1671/Instructions!$B$5</f>
        <v>0</v>
      </c>
      <c r="E1671" s="2">
        <f t="shared" si="26"/>
        <v>0</v>
      </c>
      <c r="F1671" s="9"/>
      <c r="G1671" s="9"/>
      <c r="H1671" s="2">
        <f>IF(SUM(F1671:G1671)&gt;Instructions!$B$5,"Error",SUM(F1671:G1671))</f>
        <v>0</v>
      </c>
      <c r="I1671" s="8"/>
    </row>
    <row r="1672" spans="1:9">
      <c r="A1672" s="8"/>
      <c r="B1672" s="8"/>
      <c r="C1672" s="2">
        <f>F1672/Instructions!$B$5</f>
        <v>0</v>
      </c>
      <c r="D1672" s="2">
        <f>G1672/Instructions!$B$5</f>
        <v>0</v>
      </c>
      <c r="E1672" s="2">
        <f t="shared" ref="E1672:E1735" si="27">IF(SUM(C1672:D1672)&gt;1,"Error",SUM(C1672:D1672))</f>
        <v>0</v>
      </c>
      <c r="F1672" s="9"/>
      <c r="G1672" s="9"/>
      <c r="H1672" s="2">
        <f>IF(SUM(F1672:G1672)&gt;Instructions!$B$5,"Error",SUM(F1672:G1672))</f>
        <v>0</v>
      </c>
      <c r="I1672" s="8"/>
    </row>
    <row r="1673" spans="1:9">
      <c r="A1673" s="8"/>
      <c r="B1673" s="8"/>
      <c r="C1673" s="2">
        <f>F1673/Instructions!$B$5</f>
        <v>0</v>
      </c>
      <c r="D1673" s="2">
        <f>G1673/Instructions!$B$5</f>
        <v>0</v>
      </c>
      <c r="E1673" s="2">
        <f t="shared" si="27"/>
        <v>0</v>
      </c>
      <c r="F1673" s="9"/>
      <c r="G1673" s="9"/>
      <c r="H1673" s="2">
        <f>IF(SUM(F1673:G1673)&gt;Instructions!$B$5,"Error",SUM(F1673:G1673))</f>
        <v>0</v>
      </c>
      <c r="I1673" s="8"/>
    </row>
    <row r="1674" spans="1:9">
      <c r="A1674" s="8"/>
      <c r="B1674" s="8"/>
      <c r="C1674" s="2">
        <f>F1674/Instructions!$B$5</f>
        <v>0</v>
      </c>
      <c r="D1674" s="2">
        <f>G1674/Instructions!$B$5</f>
        <v>0</v>
      </c>
      <c r="E1674" s="2">
        <f t="shared" si="27"/>
        <v>0</v>
      </c>
      <c r="F1674" s="9"/>
      <c r="G1674" s="9"/>
      <c r="H1674" s="2">
        <f>IF(SUM(F1674:G1674)&gt;Instructions!$B$5,"Error",SUM(F1674:G1674))</f>
        <v>0</v>
      </c>
      <c r="I1674" s="8"/>
    </row>
    <row r="1675" spans="1:9">
      <c r="A1675" s="8"/>
      <c r="B1675" s="8"/>
      <c r="C1675" s="2">
        <f>F1675/Instructions!$B$5</f>
        <v>0</v>
      </c>
      <c r="D1675" s="2">
        <f>G1675/Instructions!$B$5</f>
        <v>0</v>
      </c>
      <c r="E1675" s="2">
        <f t="shared" si="27"/>
        <v>0</v>
      </c>
      <c r="F1675" s="9"/>
      <c r="G1675" s="9"/>
      <c r="H1675" s="2">
        <f>IF(SUM(F1675:G1675)&gt;Instructions!$B$5,"Error",SUM(F1675:G1675))</f>
        <v>0</v>
      </c>
      <c r="I1675" s="8"/>
    </row>
    <row r="1676" spans="1:9">
      <c r="A1676" s="8"/>
      <c r="B1676" s="8"/>
      <c r="C1676" s="2">
        <f>F1676/Instructions!$B$5</f>
        <v>0</v>
      </c>
      <c r="D1676" s="2">
        <f>G1676/Instructions!$B$5</f>
        <v>0</v>
      </c>
      <c r="E1676" s="2">
        <f t="shared" si="27"/>
        <v>0</v>
      </c>
      <c r="F1676" s="9"/>
      <c r="G1676" s="9"/>
      <c r="H1676" s="2">
        <f>IF(SUM(F1676:G1676)&gt;Instructions!$B$5,"Error",SUM(F1676:G1676))</f>
        <v>0</v>
      </c>
      <c r="I1676" s="8"/>
    </row>
    <row r="1677" spans="1:9">
      <c r="A1677" s="8"/>
      <c r="B1677" s="8"/>
      <c r="C1677" s="2">
        <f>F1677/Instructions!$B$5</f>
        <v>0</v>
      </c>
      <c r="D1677" s="2">
        <f>G1677/Instructions!$B$5</f>
        <v>0</v>
      </c>
      <c r="E1677" s="2">
        <f t="shared" si="27"/>
        <v>0</v>
      </c>
      <c r="F1677" s="9"/>
      <c r="G1677" s="9"/>
      <c r="H1677" s="2">
        <f>IF(SUM(F1677:G1677)&gt;Instructions!$B$5,"Error",SUM(F1677:G1677))</f>
        <v>0</v>
      </c>
      <c r="I1677" s="8"/>
    </row>
    <row r="1678" spans="1:9">
      <c r="A1678" s="8"/>
      <c r="B1678" s="8"/>
      <c r="C1678" s="2">
        <f>F1678/Instructions!$B$5</f>
        <v>0</v>
      </c>
      <c r="D1678" s="2">
        <f>G1678/Instructions!$B$5</f>
        <v>0</v>
      </c>
      <c r="E1678" s="2">
        <f t="shared" si="27"/>
        <v>0</v>
      </c>
      <c r="F1678" s="9"/>
      <c r="G1678" s="9"/>
      <c r="H1678" s="2">
        <f>IF(SUM(F1678:G1678)&gt;Instructions!$B$5,"Error",SUM(F1678:G1678))</f>
        <v>0</v>
      </c>
      <c r="I1678" s="8"/>
    </row>
    <row r="1679" spans="1:9">
      <c r="A1679" s="8"/>
      <c r="B1679" s="8"/>
      <c r="C1679" s="2">
        <f>F1679/Instructions!$B$5</f>
        <v>0</v>
      </c>
      <c r="D1679" s="2">
        <f>G1679/Instructions!$B$5</f>
        <v>0</v>
      </c>
      <c r="E1679" s="2">
        <f t="shared" si="27"/>
        <v>0</v>
      </c>
      <c r="F1679" s="9"/>
      <c r="G1679" s="9"/>
      <c r="H1679" s="2">
        <f>IF(SUM(F1679:G1679)&gt;Instructions!$B$5,"Error",SUM(F1679:G1679))</f>
        <v>0</v>
      </c>
      <c r="I1679" s="8"/>
    </row>
    <row r="1680" spans="1:9">
      <c r="A1680" s="8"/>
      <c r="B1680" s="8"/>
      <c r="C1680" s="2">
        <f>F1680/Instructions!$B$5</f>
        <v>0</v>
      </c>
      <c r="D1680" s="2">
        <f>G1680/Instructions!$B$5</f>
        <v>0</v>
      </c>
      <c r="E1680" s="2">
        <f t="shared" si="27"/>
        <v>0</v>
      </c>
      <c r="F1680" s="9"/>
      <c r="G1680" s="9"/>
      <c r="H1680" s="2">
        <f>IF(SUM(F1680:G1680)&gt;Instructions!$B$5,"Error",SUM(F1680:G1680))</f>
        <v>0</v>
      </c>
      <c r="I1680" s="8"/>
    </row>
    <row r="1681" spans="1:9">
      <c r="A1681" s="8"/>
      <c r="B1681" s="8"/>
      <c r="C1681" s="2">
        <f>F1681/Instructions!$B$5</f>
        <v>0</v>
      </c>
      <c r="D1681" s="2">
        <f>G1681/Instructions!$B$5</f>
        <v>0</v>
      </c>
      <c r="E1681" s="2">
        <f t="shared" si="27"/>
        <v>0</v>
      </c>
      <c r="F1681" s="9"/>
      <c r="G1681" s="9"/>
      <c r="H1681" s="2">
        <f>IF(SUM(F1681:G1681)&gt;Instructions!$B$5,"Error",SUM(F1681:G1681))</f>
        <v>0</v>
      </c>
      <c r="I1681" s="8"/>
    </row>
    <row r="1682" spans="1:9">
      <c r="A1682" s="8"/>
      <c r="B1682" s="8"/>
      <c r="C1682" s="2">
        <f>F1682/Instructions!$B$5</f>
        <v>0</v>
      </c>
      <c r="D1682" s="2">
        <f>G1682/Instructions!$B$5</f>
        <v>0</v>
      </c>
      <c r="E1682" s="2">
        <f t="shared" si="27"/>
        <v>0</v>
      </c>
      <c r="F1682" s="9"/>
      <c r="G1682" s="9"/>
      <c r="H1682" s="2">
        <f>IF(SUM(F1682:G1682)&gt;Instructions!$B$5,"Error",SUM(F1682:G1682))</f>
        <v>0</v>
      </c>
      <c r="I1682" s="8"/>
    </row>
    <row r="1683" spans="1:9">
      <c r="A1683" s="8"/>
      <c r="B1683" s="8"/>
      <c r="C1683" s="2">
        <f>F1683/Instructions!$B$5</f>
        <v>0</v>
      </c>
      <c r="D1683" s="2">
        <f>G1683/Instructions!$B$5</f>
        <v>0</v>
      </c>
      <c r="E1683" s="2">
        <f t="shared" si="27"/>
        <v>0</v>
      </c>
      <c r="F1683" s="9"/>
      <c r="G1683" s="9"/>
      <c r="H1683" s="2">
        <f>IF(SUM(F1683:G1683)&gt;Instructions!$B$5,"Error",SUM(F1683:G1683))</f>
        <v>0</v>
      </c>
      <c r="I1683" s="8"/>
    </row>
    <row r="1684" spans="1:9">
      <c r="A1684" s="8"/>
      <c r="B1684" s="8"/>
      <c r="C1684" s="2">
        <f>F1684/Instructions!$B$5</f>
        <v>0</v>
      </c>
      <c r="D1684" s="2">
        <f>G1684/Instructions!$B$5</f>
        <v>0</v>
      </c>
      <c r="E1684" s="2">
        <f t="shared" si="27"/>
        <v>0</v>
      </c>
      <c r="F1684" s="9"/>
      <c r="G1684" s="9"/>
      <c r="H1684" s="2">
        <f>IF(SUM(F1684:G1684)&gt;Instructions!$B$5,"Error",SUM(F1684:G1684))</f>
        <v>0</v>
      </c>
      <c r="I1684" s="8"/>
    </row>
    <row r="1685" spans="1:9">
      <c r="A1685" s="8"/>
      <c r="B1685" s="8"/>
      <c r="C1685" s="2">
        <f>F1685/Instructions!$B$5</f>
        <v>0</v>
      </c>
      <c r="D1685" s="2">
        <f>G1685/Instructions!$B$5</f>
        <v>0</v>
      </c>
      <c r="E1685" s="2">
        <f t="shared" si="27"/>
        <v>0</v>
      </c>
      <c r="F1685" s="9"/>
      <c r="G1685" s="9"/>
      <c r="H1685" s="2">
        <f>IF(SUM(F1685:G1685)&gt;Instructions!$B$5,"Error",SUM(F1685:G1685))</f>
        <v>0</v>
      </c>
      <c r="I1685" s="8"/>
    </row>
    <row r="1686" spans="1:9">
      <c r="A1686" s="8"/>
      <c r="B1686" s="8"/>
      <c r="C1686" s="2">
        <f>F1686/Instructions!$B$5</f>
        <v>0</v>
      </c>
      <c r="D1686" s="2">
        <f>G1686/Instructions!$B$5</f>
        <v>0</v>
      </c>
      <c r="E1686" s="2">
        <f t="shared" si="27"/>
        <v>0</v>
      </c>
      <c r="F1686" s="9"/>
      <c r="G1686" s="9"/>
      <c r="H1686" s="2">
        <f>IF(SUM(F1686:G1686)&gt;Instructions!$B$5,"Error",SUM(F1686:G1686))</f>
        <v>0</v>
      </c>
      <c r="I1686" s="8"/>
    </row>
    <row r="1687" spans="1:9">
      <c r="A1687" s="8"/>
      <c r="B1687" s="8"/>
      <c r="C1687" s="2">
        <f>F1687/Instructions!$B$5</f>
        <v>0</v>
      </c>
      <c r="D1687" s="2">
        <f>G1687/Instructions!$B$5</f>
        <v>0</v>
      </c>
      <c r="E1687" s="2">
        <f t="shared" si="27"/>
        <v>0</v>
      </c>
      <c r="F1687" s="9"/>
      <c r="G1687" s="9"/>
      <c r="H1687" s="2">
        <f>IF(SUM(F1687:G1687)&gt;Instructions!$B$5,"Error",SUM(F1687:G1687))</f>
        <v>0</v>
      </c>
      <c r="I1687" s="8"/>
    </row>
    <row r="1688" spans="1:9">
      <c r="A1688" s="8"/>
      <c r="B1688" s="8"/>
      <c r="C1688" s="2">
        <f>F1688/Instructions!$B$5</f>
        <v>0</v>
      </c>
      <c r="D1688" s="2">
        <f>G1688/Instructions!$B$5</f>
        <v>0</v>
      </c>
      <c r="E1688" s="2">
        <f t="shared" si="27"/>
        <v>0</v>
      </c>
      <c r="F1688" s="9"/>
      <c r="G1688" s="9"/>
      <c r="H1688" s="2">
        <f>IF(SUM(F1688:G1688)&gt;Instructions!$B$5,"Error",SUM(F1688:G1688))</f>
        <v>0</v>
      </c>
      <c r="I1688" s="8"/>
    </row>
    <row r="1689" spans="1:9">
      <c r="A1689" s="8"/>
      <c r="B1689" s="8"/>
      <c r="C1689" s="2">
        <f>F1689/Instructions!$B$5</f>
        <v>0</v>
      </c>
      <c r="D1689" s="2">
        <f>G1689/Instructions!$B$5</f>
        <v>0</v>
      </c>
      <c r="E1689" s="2">
        <f t="shared" si="27"/>
        <v>0</v>
      </c>
      <c r="F1689" s="9"/>
      <c r="G1689" s="9"/>
      <c r="H1689" s="2">
        <f>IF(SUM(F1689:G1689)&gt;Instructions!$B$5,"Error",SUM(F1689:G1689))</f>
        <v>0</v>
      </c>
      <c r="I1689" s="8"/>
    </row>
    <row r="1690" spans="1:9">
      <c r="A1690" s="8"/>
      <c r="B1690" s="8"/>
      <c r="C1690" s="2">
        <f>F1690/Instructions!$B$5</f>
        <v>0</v>
      </c>
      <c r="D1690" s="2">
        <f>G1690/Instructions!$B$5</f>
        <v>0</v>
      </c>
      <c r="E1690" s="2">
        <f t="shared" si="27"/>
        <v>0</v>
      </c>
      <c r="F1690" s="9"/>
      <c r="G1690" s="9"/>
      <c r="H1690" s="2">
        <f>IF(SUM(F1690:G1690)&gt;Instructions!$B$5,"Error",SUM(F1690:G1690))</f>
        <v>0</v>
      </c>
      <c r="I1690" s="8"/>
    </row>
    <row r="1691" spans="1:9">
      <c r="A1691" s="8"/>
      <c r="B1691" s="8"/>
      <c r="C1691" s="2">
        <f>F1691/Instructions!$B$5</f>
        <v>0</v>
      </c>
      <c r="D1691" s="2">
        <f>G1691/Instructions!$B$5</f>
        <v>0</v>
      </c>
      <c r="E1691" s="2">
        <f t="shared" si="27"/>
        <v>0</v>
      </c>
      <c r="F1691" s="9"/>
      <c r="G1691" s="9"/>
      <c r="H1691" s="2">
        <f>IF(SUM(F1691:G1691)&gt;Instructions!$B$5,"Error",SUM(F1691:G1691))</f>
        <v>0</v>
      </c>
      <c r="I1691" s="8"/>
    </row>
    <row r="1692" spans="1:9">
      <c r="A1692" s="8"/>
      <c r="B1692" s="8"/>
      <c r="C1692" s="2">
        <f>F1692/Instructions!$B$5</f>
        <v>0</v>
      </c>
      <c r="D1692" s="2">
        <f>G1692/Instructions!$B$5</f>
        <v>0</v>
      </c>
      <c r="E1692" s="2">
        <f t="shared" si="27"/>
        <v>0</v>
      </c>
      <c r="F1692" s="9"/>
      <c r="G1692" s="9"/>
      <c r="H1692" s="2">
        <f>IF(SUM(F1692:G1692)&gt;Instructions!$B$5,"Error",SUM(F1692:G1692))</f>
        <v>0</v>
      </c>
      <c r="I1692" s="8"/>
    </row>
    <row r="1693" spans="1:9">
      <c r="A1693" s="8"/>
      <c r="B1693" s="8"/>
      <c r="C1693" s="2">
        <f>F1693/Instructions!$B$5</f>
        <v>0</v>
      </c>
      <c r="D1693" s="2">
        <f>G1693/Instructions!$B$5</f>
        <v>0</v>
      </c>
      <c r="E1693" s="2">
        <f t="shared" si="27"/>
        <v>0</v>
      </c>
      <c r="F1693" s="9"/>
      <c r="G1693" s="9"/>
      <c r="H1693" s="2">
        <f>IF(SUM(F1693:G1693)&gt;Instructions!$B$5,"Error",SUM(F1693:G1693))</f>
        <v>0</v>
      </c>
      <c r="I1693" s="8"/>
    </row>
    <row r="1694" spans="1:9">
      <c r="A1694" s="8"/>
      <c r="B1694" s="8"/>
      <c r="C1694" s="2">
        <f>F1694/Instructions!$B$5</f>
        <v>0</v>
      </c>
      <c r="D1694" s="2">
        <f>G1694/Instructions!$B$5</f>
        <v>0</v>
      </c>
      <c r="E1694" s="2">
        <f t="shared" si="27"/>
        <v>0</v>
      </c>
      <c r="F1694" s="9"/>
      <c r="G1694" s="9"/>
      <c r="H1694" s="2">
        <f>IF(SUM(F1694:G1694)&gt;Instructions!$B$5,"Error",SUM(F1694:G1694))</f>
        <v>0</v>
      </c>
      <c r="I1694" s="8"/>
    </row>
    <row r="1695" spans="1:9">
      <c r="A1695" s="8"/>
      <c r="B1695" s="8"/>
      <c r="C1695" s="2">
        <f>F1695/Instructions!$B$5</f>
        <v>0</v>
      </c>
      <c r="D1695" s="2">
        <f>G1695/Instructions!$B$5</f>
        <v>0</v>
      </c>
      <c r="E1695" s="2">
        <f t="shared" si="27"/>
        <v>0</v>
      </c>
      <c r="F1695" s="9"/>
      <c r="G1695" s="9"/>
      <c r="H1695" s="2">
        <f>IF(SUM(F1695:G1695)&gt;Instructions!$B$5,"Error",SUM(F1695:G1695))</f>
        <v>0</v>
      </c>
      <c r="I1695" s="8"/>
    </row>
    <row r="1696" spans="1:9">
      <c r="A1696" s="8"/>
      <c r="B1696" s="8"/>
      <c r="C1696" s="2">
        <f>F1696/Instructions!$B$5</f>
        <v>0</v>
      </c>
      <c r="D1696" s="2">
        <f>G1696/Instructions!$B$5</f>
        <v>0</v>
      </c>
      <c r="E1696" s="2">
        <f t="shared" si="27"/>
        <v>0</v>
      </c>
      <c r="F1696" s="9"/>
      <c r="G1696" s="9"/>
      <c r="H1696" s="2">
        <f>IF(SUM(F1696:G1696)&gt;Instructions!$B$5,"Error",SUM(F1696:G1696))</f>
        <v>0</v>
      </c>
      <c r="I1696" s="8"/>
    </row>
    <row r="1697" spans="1:9">
      <c r="A1697" s="8"/>
      <c r="B1697" s="8"/>
      <c r="C1697" s="2">
        <f>F1697/Instructions!$B$5</f>
        <v>0</v>
      </c>
      <c r="D1697" s="2">
        <f>G1697/Instructions!$B$5</f>
        <v>0</v>
      </c>
      <c r="E1697" s="2">
        <f t="shared" si="27"/>
        <v>0</v>
      </c>
      <c r="F1697" s="9"/>
      <c r="G1697" s="9"/>
      <c r="H1697" s="2">
        <f>IF(SUM(F1697:G1697)&gt;Instructions!$B$5,"Error",SUM(F1697:G1697))</f>
        <v>0</v>
      </c>
      <c r="I1697" s="8"/>
    </row>
    <row r="1698" spans="1:9">
      <c r="A1698" s="8"/>
      <c r="B1698" s="8"/>
      <c r="C1698" s="2">
        <f>F1698/Instructions!$B$5</f>
        <v>0</v>
      </c>
      <c r="D1698" s="2">
        <f>G1698/Instructions!$B$5</f>
        <v>0</v>
      </c>
      <c r="E1698" s="2">
        <f t="shared" si="27"/>
        <v>0</v>
      </c>
      <c r="F1698" s="9"/>
      <c r="G1698" s="9"/>
      <c r="H1698" s="2">
        <f>IF(SUM(F1698:G1698)&gt;Instructions!$B$5,"Error",SUM(F1698:G1698))</f>
        <v>0</v>
      </c>
      <c r="I1698" s="8"/>
    </row>
    <row r="1699" spans="1:9">
      <c r="A1699" s="8"/>
      <c r="B1699" s="8"/>
      <c r="C1699" s="2">
        <f>F1699/Instructions!$B$5</f>
        <v>0</v>
      </c>
      <c r="D1699" s="2">
        <f>G1699/Instructions!$B$5</f>
        <v>0</v>
      </c>
      <c r="E1699" s="2">
        <f t="shared" si="27"/>
        <v>0</v>
      </c>
      <c r="F1699" s="9"/>
      <c r="G1699" s="9"/>
      <c r="H1699" s="2">
        <f>IF(SUM(F1699:G1699)&gt;Instructions!$B$5,"Error",SUM(F1699:G1699))</f>
        <v>0</v>
      </c>
      <c r="I1699" s="8"/>
    </row>
    <row r="1700" spans="1:9">
      <c r="A1700" s="8"/>
      <c r="B1700" s="8"/>
      <c r="C1700" s="2">
        <f>F1700/Instructions!$B$5</f>
        <v>0</v>
      </c>
      <c r="D1700" s="2">
        <f>G1700/Instructions!$B$5</f>
        <v>0</v>
      </c>
      <c r="E1700" s="2">
        <f t="shared" si="27"/>
        <v>0</v>
      </c>
      <c r="F1700" s="9"/>
      <c r="G1700" s="9"/>
      <c r="H1700" s="2">
        <f>IF(SUM(F1700:G1700)&gt;Instructions!$B$5,"Error",SUM(F1700:G1700))</f>
        <v>0</v>
      </c>
      <c r="I1700" s="8"/>
    </row>
    <row r="1701" spans="1:9">
      <c r="A1701" s="8"/>
      <c r="B1701" s="8"/>
      <c r="C1701" s="2">
        <f>F1701/Instructions!$B$5</f>
        <v>0</v>
      </c>
      <c r="D1701" s="2">
        <f>G1701/Instructions!$B$5</f>
        <v>0</v>
      </c>
      <c r="E1701" s="2">
        <f t="shared" si="27"/>
        <v>0</v>
      </c>
      <c r="F1701" s="9"/>
      <c r="G1701" s="9"/>
      <c r="H1701" s="2">
        <f>IF(SUM(F1701:G1701)&gt;Instructions!$B$5,"Error",SUM(F1701:G1701))</f>
        <v>0</v>
      </c>
      <c r="I1701" s="8"/>
    </row>
    <row r="1702" spans="1:9">
      <c r="A1702" s="8"/>
      <c r="B1702" s="8"/>
      <c r="C1702" s="2">
        <f>F1702/Instructions!$B$5</f>
        <v>0</v>
      </c>
      <c r="D1702" s="2">
        <f>G1702/Instructions!$B$5</f>
        <v>0</v>
      </c>
      <c r="E1702" s="2">
        <f t="shared" si="27"/>
        <v>0</v>
      </c>
      <c r="F1702" s="9"/>
      <c r="G1702" s="9"/>
      <c r="H1702" s="2">
        <f>IF(SUM(F1702:G1702)&gt;Instructions!$B$5,"Error",SUM(F1702:G1702))</f>
        <v>0</v>
      </c>
      <c r="I1702" s="8"/>
    </row>
    <row r="1703" spans="1:9">
      <c r="A1703" s="8"/>
      <c r="B1703" s="8"/>
      <c r="C1703" s="2">
        <f>F1703/Instructions!$B$5</f>
        <v>0</v>
      </c>
      <c r="D1703" s="2">
        <f>G1703/Instructions!$B$5</f>
        <v>0</v>
      </c>
      <c r="E1703" s="2">
        <f t="shared" si="27"/>
        <v>0</v>
      </c>
      <c r="F1703" s="9"/>
      <c r="G1703" s="9"/>
      <c r="H1703" s="2">
        <f>IF(SUM(F1703:G1703)&gt;Instructions!$B$5,"Error",SUM(F1703:G1703))</f>
        <v>0</v>
      </c>
      <c r="I1703" s="8"/>
    </row>
    <row r="1704" spans="1:9">
      <c r="A1704" s="8"/>
      <c r="B1704" s="8"/>
      <c r="C1704" s="2">
        <f>F1704/Instructions!$B$5</f>
        <v>0</v>
      </c>
      <c r="D1704" s="2">
        <f>G1704/Instructions!$B$5</f>
        <v>0</v>
      </c>
      <c r="E1704" s="2">
        <f t="shared" si="27"/>
        <v>0</v>
      </c>
      <c r="F1704" s="9"/>
      <c r="G1704" s="9"/>
      <c r="H1704" s="2">
        <f>IF(SUM(F1704:G1704)&gt;Instructions!$B$5,"Error",SUM(F1704:G1704))</f>
        <v>0</v>
      </c>
      <c r="I1704" s="8"/>
    </row>
    <row r="1705" spans="1:9">
      <c r="A1705" s="8"/>
      <c r="B1705" s="8"/>
      <c r="C1705" s="2">
        <f>F1705/Instructions!$B$5</f>
        <v>0</v>
      </c>
      <c r="D1705" s="2">
        <f>G1705/Instructions!$B$5</f>
        <v>0</v>
      </c>
      <c r="E1705" s="2">
        <f t="shared" si="27"/>
        <v>0</v>
      </c>
      <c r="F1705" s="9"/>
      <c r="G1705" s="9"/>
      <c r="H1705" s="2">
        <f>IF(SUM(F1705:G1705)&gt;Instructions!$B$5,"Error",SUM(F1705:G1705))</f>
        <v>0</v>
      </c>
      <c r="I1705" s="8"/>
    </row>
    <row r="1706" spans="1:9">
      <c r="A1706" s="8"/>
      <c r="B1706" s="8"/>
      <c r="C1706" s="2">
        <f>F1706/Instructions!$B$5</f>
        <v>0</v>
      </c>
      <c r="D1706" s="2">
        <f>G1706/Instructions!$B$5</f>
        <v>0</v>
      </c>
      <c r="E1706" s="2">
        <f t="shared" si="27"/>
        <v>0</v>
      </c>
      <c r="F1706" s="9"/>
      <c r="G1706" s="9"/>
      <c r="H1706" s="2">
        <f>IF(SUM(F1706:G1706)&gt;Instructions!$B$5,"Error",SUM(F1706:G1706))</f>
        <v>0</v>
      </c>
      <c r="I1706" s="8"/>
    </row>
    <row r="1707" spans="1:9">
      <c r="A1707" s="8"/>
      <c r="B1707" s="8"/>
      <c r="C1707" s="2">
        <f>F1707/Instructions!$B$5</f>
        <v>0</v>
      </c>
      <c r="D1707" s="2">
        <f>G1707/Instructions!$B$5</f>
        <v>0</v>
      </c>
      <c r="E1707" s="2">
        <f t="shared" si="27"/>
        <v>0</v>
      </c>
      <c r="F1707" s="9"/>
      <c r="G1707" s="9"/>
      <c r="H1707" s="2">
        <f>IF(SUM(F1707:G1707)&gt;Instructions!$B$5,"Error",SUM(F1707:G1707))</f>
        <v>0</v>
      </c>
      <c r="I1707" s="8"/>
    </row>
    <row r="1708" spans="1:9">
      <c r="A1708" s="8"/>
      <c r="B1708" s="8"/>
      <c r="C1708" s="2">
        <f>F1708/Instructions!$B$5</f>
        <v>0</v>
      </c>
      <c r="D1708" s="2">
        <f>G1708/Instructions!$B$5</f>
        <v>0</v>
      </c>
      <c r="E1708" s="2">
        <f t="shared" si="27"/>
        <v>0</v>
      </c>
      <c r="F1708" s="9"/>
      <c r="G1708" s="9"/>
      <c r="H1708" s="2">
        <f>IF(SUM(F1708:G1708)&gt;Instructions!$B$5,"Error",SUM(F1708:G1708))</f>
        <v>0</v>
      </c>
      <c r="I1708" s="8"/>
    </row>
    <row r="1709" spans="1:9">
      <c r="A1709" s="8"/>
      <c r="B1709" s="8"/>
      <c r="C1709" s="2">
        <f>F1709/Instructions!$B$5</f>
        <v>0</v>
      </c>
      <c r="D1709" s="2">
        <f>G1709/Instructions!$B$5</f>
        <v>0</v>
      </c>
      <c r="E1709" s="2">
        <f t="shared" si="27"/>
        <v>0</v>
      </c>
      <c r="F1709" s="9"/>
      <c r="G1709" s="9"/>
      <c r="H1709" s="2">
        <f>IF(SUM(F1709:G1709)&gt;Instructions!$B$5,"Error",SUM(F1709:G1709))</f>
        <v>0</v>
      </c>
      <c r="I1709" s="8"/>
    </row>
    <row r="1710" spans="1:9">
      <c r="A1710" s="8"/>
      <c r="B1710" s="8"/>
      <c r="C1710" s="2">
        <f>F1710/Instructions!$B$5</f>
        <v>0</v>
      </c>
      <c r="D1710" s="2">
        <f>G1710/Instructions!$B$5</f>
        <v>0</v>
      </c>
      <c r="E1710" s="2">
        <f t="shared" si="27"/>
        <v>0</v>
      </c>
      <c r="F1710" s="9"/>
      <c r="G1710" s="9"/>
      <c r="H1710" s="2">
        <f>IF(SUM(F1710:G1710)&gt;Instructions!$B$5,"Error",SUM(F1710:G1710))</f>
        <v>0</v>
      </c>
      <c r="I1710" s="8"/>
    </row>
    <row r="1711" spans="1:9">
      <c r="A1711" s="8"/>
      <c r="B1711" s="8"/>
      <c r="C1711" s="2">
        <f>F1711/Instructions!$B$5</f>
        <v>0</v>
      </c>
      <c r="D1711" s="2">
        <f>G1711/Instructions!$B$5</f>
        <v>0</v>
      </c>
      <c r="E1711" s="2">
        <f t="shared" si="27"/>
        <v>0</v>
      </c>
      <c r="F1711" s="9"/>
      <c r="G1711" s="9"/>
      <c r="H1711" s="2">
        <f>IF(SUM(F1711:G1711)&gt;Instructions!$B$5,"Error",SUM(F1711:G1711))</f>
        <v>0</v>
      </c>
      <c r="I1711" s="8"/>
    </row>
    <row r="1712" spans="1:9">
      <c r="A1712" s="8"/>
      <c r="B1712" s="8"/>
      <c r="C1712" s="2">
        <f>F1712/Instructions!$B$5</f>
        <v>0</v>
      </c>
      <c r="D1712" s="2">
        <f>G1712/Instructions!$B$5</f>
        <v>0</v>
      </c>
      <c r="E1712" s="2">
        <f t="shared" si="27"/>
        <v>0</v>
      </c>
      <c r="F1712" s="9"/>
      <c r="G1712" s="9"/>
      <c r="H1712" s="2">
        <f>IF(SUM(F1712:G1712)&gt;Instructions!$B$5,"Error",SUM(F1712:G1712))</f>
        <v>0</v>
      </c>
      <c r="I1712" s="8"/>
    </row>
    <row r="1713" spans="1:9">
      <c r="A1713" s="8"/>
      <c r="B1713" s="8"/>
      <c r="C1713" s="2">
        <f>F1713/Instructions!$B$5</f>
        <v>0</v>
      </c>
      <c r="D1713" s="2">
        <f>G1713/Instructions!$B$5</f>
        <v>0</v>
      </c>
      <c r="E1713" s="2">
        <f t="shared" si="27"/>
        <v>0</v>
      </c>
      <c r="F1713" s="9"/>
      <c r="G1713" s="9"/>
      <c r="H1713" s="2">
        <f>IF(SUM(F1713:G1713)&gt;Instructions!$B$5,"Error",SUM(F1713:G1713))</f>
        <v>0</v>
      </c>
      <c r="I1713" s="8"/>
    </row>
    <row r="1714" spans="1:9">
      <c r="A1714" s="8"/>
      <c r="B1714" s="8"/>
      <c r="C1714" s="2">
        <f>F1714/Instructions!$B$5</f>
        <v>0</v>
      </c>
      <c r="D1714" s="2">
        <f>G1714/Instructions!$B$5</f>
        <v>0</v>
      </c>
      <c r="E1714" s="2">
        <f t="shared" si="27"/>
        <v>0</v>
      </c>
      <c r="F1714" s="9"/>
      <c r="G1714" s="9"/>
      <c r="H1714" s="2">
        <f>IF(SUM(F1714:G1714)&gt;Instructions!$B$5,"Error",SUM(F1714:G1714))</f>
        <v>0</v>
      </c>
      <c r="I1714" s="8"/>
    </row>
    <row r="1715" spans="1:9">
      <c r="A1715" s="8"/>
      <c r="B1715" s="8"/>
      <c r="C1715" s="2">
        <f>F1715/Instructions!$B$5</f>
        <v>0</v>
      </c>
      <c r="D1715" s="2">
        <f>G1715/Instructions!$B$5</f>
        <v>0</v>
      </c>
      <c r="E1715" s="2">
        <f t="shared" si="27"/>
        <v>0</v>
      </c>
      <c r="F1715" s="9"/>
      <c r="G1715" s="9"/>
      <c r="H1715" s="2">
        <f>IF(SUM(F1715:G1715)&gt;Instructions!$B$5,"Error",SUM(F1715:G1715))</f>
        <v>0</v>
      </c>
      <c r="I1715" s="8"/>
    </row>
    <row r="1716" spans="1:9">
      <c r="A1716" s="8"/>
      <c r="B1716" s="8"/>
      <c r="C1716" s="2">
        <f>F1716/Instructions!$B$5</f>
        <v>0</v>
      </c>
      <c r="D1716" s="2">
        <f>G1716/Instructions!$B$5</f>
        <v>0</v>
      </c>
      <c r="E1716" s="2">
        <f t="shared" si="27"/>
        <v>0</v>
      </c>
      <c r="F1716" s="9"/>
      <c r="G1716" s="9"/>
      <c r="H1716" s="2">
        <f>IF(SUM(F1716:G1716)&gt;Instructions!$B$5,"Error",SUM(F1716:G1716))</f>
        <v>0</v>
      </c>
      <c r="I1716" s="8"/>
    </row>
    <row r="1717" spans="1:9">
      <c r="A1717" s="8"/>
      <c r="B1717" s="8"/>
      <c r="C1717" s="2">
        <f>F1717/Instructions!$B$5</f>
        <v>0</v>
      </c>
      <c r="D1717" s="2">
        <f>G1717/Instructions!$B$5</f>
        <v>0</v>
      </c>
      <c r="E1717" s="2">
        <f t="shared" si="27"/>
        <v>0</v>
      </c>
      <c r="F1717" s="9"/>
      <c r="G1717" s="9"/>
      <c r="H1717" s="2">
        <f>IF(SUM(F1717:G1717)&gt;Instructions!$B$5,"Error",SUM(F1717:G1717))</f>
        <v>0</v>
      </c>
      <c r="I1717" s="8"/>
    </row>
    <row r="1718" spans="1:9">
      <c r="A1718" s="8"/>
      <c r="B1718" s="8"/>
      <c r="C1718" s="2">
        <f>F1718/Instructions!$B$5</f>
        <v>0</v>
      </c>
      <c r="D1718" s="2">
        <f>G1718/Instructions!$B$5</f>
        <v>0</v>
      </c>
      <c r="E1718" s="2">
        <f t="shared" si="27"/>
        <v>0</v>
      </c>
      <c r="F1718" s="9"/>
      <c r="G1718" s="9"/>
      <c r="H1718" s="2">
        <f>IF(SUM(F1718:G1718)&gt;Instructions!$B$5,"Error",SUM(F1718:G1718))</f>
        <v>0</v>
      </c>
      <c r="I1718" s="8"/>
    </row>
    <row r="1719" spans="1:9">
      <c r="A1719" s="8"/>
      <c r="B1719" s="8"/>
      <c r="C1719" s="2">
        <f>F1719/Instructions!$B$5</f>
        <v>0</v>
      </c>
      <c r="D1719" s="2">
        <f>G1719/Instructions!$B$5</f>
        <v>0</v>
      </c>
      <c r="E1719" s="2">
        <f t="shared" si="27"/>
        <v>0</v>
      </c>
      <c r="F1719" s="9"/>
      <c r="G1719" s="9"/>
      <c r="H1719" s="2">
        <f>IF(SUM(F1719:G1719)&gt;Instructions!$B$5,"Error",SUM(F1719:G1719))</f>
        <v>0</v>
      </c>
      <c r="I1719" s="8"/>
    </row>
    <row r="1720" spans="1:9">
      <c r="A1720" s="8"/>
      <c r="B1720" s="8"/>
      <c r="C1720" s="2">
        <f>F1720/Instructions!$B$5</f>
        <v>0</v>
      </c>
      <c r="D1720" s="2">
        <f>G1720/Instructions!$B$5</f>
        <v>0</v>
      </c>
      <c r="E1720" s="2">
        <f t="shared" si="27"/>
        <v>0</v>
      </c>
      <c r="F1720" s="9"/>
      <c r="G1720" s="9"/>
      <c r="H1720" s="2">
        <f>IF(SUM(F1720:G1720)&gt;Instructions!$B$5,"Error",SUM(F1720:G1720))</f>
        <v>0</v>
      </c>
      <c r="I1720" s="8"/>
    </row>
    <row r="1721" spans="1:9">
      <c r="A1721" s="8"/>
      <c r="B1721" s="8"/>
      <c r="C1721" s="2">
        <f>F1721/Instructions!$B$5</f>
        <v>0</v>
      </c>
      <c r="D1721" s="2">
        <f>G1721/Instructions!$B$5</f>
        <v>0</v>
      </c>
      <c r="E1721" s="2">
        <f t="shared" si="27"/>
        <v>0</v>
      </c>
      <c r="F1721" s="9"/>
      <c r="G1721" s="9"/>
      <c r="H1721" s="2">
        <f>IF(SUM(F1721:G1721)&gt;Instructions!$B$5,"Error",SUM(F1721:G1721))</f>
        <v>0</v>
      </c>
      <c r="I1721" s="8"/>
    </row>
    <row r="1722" spans="1:9">
      <c r="A1722" s="8"/>
      <c r="B1722" s="8"/>
      <c r="C1722" s="2">
        <f>F1722/Instructions!$B$5</f>
        <v>0</v>
      </c>
      <c r="D1722" s="2">
        <f>G1722/Instructions!$B$5</f>
        <v>0</v>
      </c>
      <c r="E1722" s="2">
        <f t="shared" si="27"/>
        <v>0</v>
      </c>
      <c r="F1722" s="9"/>
      <c r="G1722" s="9"/>
      <c r="H1722" s="2">
        <f>IF(SUM(F1722:G1722)&gt;Instructions!$B$5,"Error",SUM(F1722:G1722))</f>
        <v>0</v>
      </c>
      <c r="I1722" s="8"/>
    </row>
    <row r="1723" spans="1:9">
      <c r="A1723" s="8"/>
      <c r="B1723" s="8"/>
      <c r="C1723" s="2">
        <f>F1723/Instructions!$B$5</f>
        <v>0</v>
      </c>
      <c r="D1723" s="2">
        <f>G1723/Instructions!$B$5</f>
        <v>0</v>
      </c>
      <c r="E1723" s="2">
        <f t="shared" si="27"/>
        <v>0</v>
      </c>
      <c r="F1723" s="9"/>
      <c r="G1723" s="9"/>
      <c r="H1723" s="2">
        <f>IF(SUM(F1723:G1723)&gt;Instructions!$B$5,"Error",SUM(F1723:G1723))</f>
        <v>0</v>
      </c>
      <c r="I1723" s="8"/>
    </row>
    <row r="1724" spans="1:9">
      <c r="A1724" s="8"/>
      <c r="B1724" s="8"/>
      <c r="C1724" s="2">
        <f>F1724/Instructions!$B$5</f>
        <v>0</v>
      </c>
      <c r="D1724" s="2">
        <f>G1724/Instructions!$B$5</f>
        <v>0</v>
      </c>
      <c r="E1724" s="2">
        <f t="shared" si="27"/>
        <v>0</v>
      </c>
      <c r="F1724" s="9"/>
      <c r="G1724" s="9"/>
      <c r="H1724" s="2">
        <f>IF(SUM(F1724:G1724)&gt;Instructions!$B$5,"Error",SUM(F1724:G1724))</f>
        <v>0</v>
      </c>
      <c r="I1724" s="8"/>
    </row>
    <row r="1725" spans="1:9">
      <c r="A1725" s="8"/>
      <c r="B1725" s="8"/>
      <c r="C1725" s="2">
        <f>F1725/Instructions!$B$5</f>
        <v>0</v>
      </c>
      <c r="D1725" s="2">
        <f>G1725/Instructions!$B$5</f>
        <v>0</v>
      </c>
      <c r="E1725" s="2">
        <f t="shared" si="27"/>
        <v>0</v>
      </c>
      <c r="F1725" s="9"/>
      <c r="G1725" s="9"/>
      <c r="H1725" s="2">
        <f>IF(SUM(F1725:G1725)&gt;Instructions!$B$5,"Error",SUM(F1725:G1725))</f>
        <v>0</v>
      </c>
      <c r="I1725" s="8"/>
    </row>
    <row r="1726" spans="1:9">
      <c r="A1726" s="8"/>
      <c r="B1726" s="8"/>
      <c r="C1726" s="2">
        <f>F1726/Instructions!$B$5</f>
        <v>0</v>
      </c>
      <c r="D1726" s="2">
        <f>G1726/Instructions!$B$5</f>
        <v>0</v>
      </c>
      <c r="E1726" s="2">
        <f t="shared" si="27"/>
        <v>0</v>
      </c>
      <c r="F1726" s="9"/>
      <c r="G1726" s="9"/>
      <c r="H1726" s="2">
        <f>IF(SUM(F1726:G1726)&gt;Instructions!$B$5,"Error",SUM(F1726:G1726))</f>
        <v>0</v>
      </c>
      <c r="I1726" s="8"/>
    </row>
    <row r="1727" spans="1:9">
      <c r="A1727" s="8"/>
      <c r="B1727" s="8"/>
      <c r="C1727" s="2">
        <f>F1727/Instructions!$B$5</f>
        <v>0</v>
      </c>
      <c r="D1727" s="2">
        <f>G1727/Instructions!$B$5</f>
        <v>0</v>
      </c>
      <c r="E1727" s="2">
        <f t="shared" si="27"/>
        <v>0</v>
      </c>
      <c r="F1727" s="9"/>
      <c r="G1727" s="9"/>
      <c r="H1727" s="2">
        <f>IF(SUM(F1727:G1727)&gt;Instructions!$B$5,"Error",SUM(F1727:G1727))</f>
        <v>0</v>
      </c>
      <c r="I1727" s="8"/>
    </row>
    <row r="1728" spans="1:9">
      <c r="A1728" s="8"/>
      <c r="B1728" s="8"/>
      <c r="C1728" s="2">
        <f>F1728/Instructions!$B$5</f>
        <v>0</v>
      </c>
      <c r="D1728" s="2">
        <f>G1728/Instructions!$B$5</f>
        <v>0</v>
      </c>
      <c r="E1728" s="2">
        <f t="shared" si="27"/>
        <v>0</v>
      </c>
      <c r="F1728" s="9"/>
      <c r="G1728" s="9"/>
      <c r="H1728" s="2">
        <f>IF(SUM(F1728:G1728)&gt;Instructions!$B$5,"Error",SUM(F1728:G1728))</f>
        <v>0</v>
      </c>
      <c r="I1728" s="8"/>
    </row>
    <row r="1729" spans="1:9">
      <c r="A1729" s="8"/>
      <c r="B1729" s="8"/>
      <c r="C1729" s="2">
        <f>F1729/Instructions!$B$5</f>
        <v>0</v>
      </c>
      <c r="D1729" s="2">
        <f>G1729/Instructions!$B$5</f>
        <v>0</v>
      </c>
      <c r="E1729" s="2">
        <f t="shared" si="27"/>
        <v>0</v>
      </c>
      <c r="F1729" s="9"/>
      <c r="G1729" s="9"/>
      <c r="H1729" s="2">
        <f>IF(SUM(F1729:G1729)&gt;Instructions!$B$5,"Error",SUM(F1729:G1729))</f>
        <v>0</v>
      </c>
      <c r="I1729" s="8"/>
    </row>
    <row r="1730" spans="1:9">
      <c r="A1730" s="8"/>
      <c r="B1730" s="8"/>
      <c r="C1730" s="2">
        <f>F1730/Instructions!$B$5</f>
        <v>0</v>
      </c>
      <c r="D1730" s="2">
        <f>G1730/Instructions!$B$5</f>
        <v>0</v>
      </c>
      <c r="E1730" s="2">
        <f t="shared" si="27"/>
        <v>0</v>
      </c>
      <c r="F1730" s="9"/>
      <c r="G1730" s="9"/>
      <c r="H1730" s="2">
        <f>IF(SUM(F1730:G1730)&gt;Instructions!$B$5,"Error",SUM(F1730:G1730))</f>
        <v>0</v>
      </c>
      <c r="I1730" s="8"/>
    </row>
    <row r="1731" spans="1:9">
      <c r="A1731" s="8"/>
      <c r="B1731" s="8"/>
      <c r="C1731" s="2">
        <f>F1731/Instructions!$B$5</f>
        <v>0</v>
      </c>
      <c r="D1731" s="2">
        <f>G1731/Instructions!$B$5</f>
        <v>0</v>
      </c>
      <c r="E1731" s="2">
        <f t="shared" si="27"/>
        <v>0</v>
      </c>
      <c r="F1731" s="9"/>
      <c r="G1731" s="9"/>
      <c r="H1731" s="2">
        <f>IF(SUM(F1731:G1731)&gt;Instructions!$B$5,"Error",SUM(F1731:G1731))</f>
        <v>0</v>
      </c>
      <c r="I1731" s="8"/>
    </row>
    <row r="1732" spans="1:9">
      <c r="A1732" s="8"/>
      <c r="B1732" s="8"/>
      <c r="C1732" s="2">
        <f>F1732/Instructions!$B$5</f>
        <v>0</v>
      </c>
      <c r="D1732" s="2">
        <f>G1732/Instructions!$B$5</f>
        <v>0</v>
      </c>
      <c r="E1732" s="2">
        <f t="shared" si="27"/>
        <v>0</v>
      </c>
      <c r="F1732" s="9"/>
      <c r="G1732" s="9"/>
      <c r="H1732" s="2">
        <f>IF(SUM(F1732:G1732)&gt;Instructions!$B$5,"Error",SUM(F1732:G1732))</f>
        <v>0</v>
      </c>
      <c r="I1732" s="8"/>
    </row>
    <row r="1733" spans="1:9">
      <c r="A1733" s="8"/>
      <c r="B1733" s="8"/>
      <c r="C1733" s="2">
        <f>F1733/Instructions!$B$5</f>
        <v>0</v>
      </c>
      <c r="D1733" s="2">
        <f>G1733/Instructions!$B$5</f>
        <v>0</v>
      </c>
      <c r="E1733" s="2">
        <f t="shared" si="27"/>
        <v>0</v>
      </c>
      <c r="F1733" s="9"/>
      <c r="G1733" s="9"/>
      <c r="H1733" s="2">
        <f>IF(SUM(F1733:G1733)&gt;Instructions!$B$5,"Error",SUM(F1733:G1733))</f>
        <v>0</v>
      </c>
      <c r="I1733" s="8"/>
    </row>
    <row r="1734" spans="1:9">
      <c r="A1734" s="8"/>
      <c r="B1734" s="8"/>
      <c r="C1734" s="2">
        <f>F1734/Instructions!$B$5</f>
        <v>0</v>
      </c>
      <c r="D1734" s="2">
        <f>G1734/Instructions!$B$5</f>
        <v>0</v>
      </c>
      <c r="E1734" s="2">
        <f t="shared" si="27"/>
        <v>0</v>
      </c>
      <c r="F1734" s="9"/>
      <c r="G1734" s="9"/>
      <c r="H1734" s="2">
        <f>IF(SUM(F1734:G1734)&gt;Instructions!$B$5,"Error",SUM(F1734:G1734))</f>
        <v>0</v>
      </c>
      <c r="I1734" s="8"/>
    </row>
    <row r="1735" spans="1:9">
      <c r="A1735" s="8"/>
      <c r="B1735" s="8"/>
      <c r="C1735" s="2">
        <f>F1735/Instructions!$B$5</f>
        <v>0</v>
      </c>
      <c r="D1735" s="2">
        <f>G1735/Instructions!$B$5</f>
        <v>0</v>
      </c>
      <c r="E1735" s="2">
        <f t="shared" si="27"/>
        <v>0</v>
      </c>
      <c r="F1735" s="9"/>
      <c r="G1735" s="9"/>
      <c r="H1735" s="2">
        <f>IF(SUM(F1735:G1735)&gt;Instructions!$B$5,"Error",SUM(F1735:G1735))</f>
        <v>0</v>
      </c>
      <c r="I1735" s="8"/>
    </row>
    <row r="1736" spans="1:9">
      <c r="A1736" s="8"/>
      <c r="B1736" s="8"/>
      <c r="C1736" s="2">
        <f>F1736/Instructions!$B$5</f>
        <v>0</v>
      </c>
      <c r="D1736" s="2">
        <f>G1736/Instructions!$B$5</f>
        <v>0</v>
      </c>
      <c r="E1736" s="2">
        <f t="shared" ref="E1736:E1799" si="28">IF(SUM(C1736:D1736)&gt;1,"Error",SUM(C1736:D1736))</f>
        <v>0</v>
      </c>
      <c r="F1736" s="9"/>
      <c r="G1736" s="9"/>
      <c r="H1736" s="2">
        <f>IF(SUM(F1736:G1736)&gt;Instructions!$B$5,"Error",SUM(F1736:G1736))</f>
        <v>0</v>
      </c>
      <c r="I1736" s="8"/>
    </row>
    <row r="1737" spans="1:9">
      <c r="A1737" s="8"/>
      <c r="B1737" s="8"/>
      <c r="C1737" s="2">
        <f>F1737/Instructions!$B$5</f>
        <v>0</v>
      </c>
      <c r="D1737" s="2">
        <f>G1737/Instructions!$B$5</f>
        <v>0</v>
      </c>
      <c r="E1737" s="2">
        <f t="shared" si="28"/>
        <v>0</v>
      </c>
      <c r="F1737" s="9"/>
      <c r="G1737" s="9"/>
      <c r="H1737" s="2">
        <f>IF(SUM(F1737:G1737)&gt;Instructions!$B$5,"Error",SUM(F1737:G1737))</f>
        <v>0</v>
      </c>
      <c r="I1737" s="8"/>
    </row>
    <row r="1738" spans="1:9">
      <c r="A1738" s="8"/>
      <c r="B1738" s="8"/>
      <c r="C1738" s="2">
        <f>F1738/Instructions!$B$5</f>
        <v>0</v>
      </c>
      <c r="D1738" s="2">
        <f>G1738/Instructions!$B$5</f>
        <v>0</v>
      </c>
      <c r="E1738" s="2">
        <f t="shared" si="28"/>
        <v>0</v>
      </c>
      <c r="F1738" s="9"/>
      <c r="G1738" s="9"/>
      <c r="H1738" s="2">
        <f>IF(SUM(F1738:G1738)&gt;Instructions!$B$5,"Error",SUM(F1738:G1738))</f>
        <v>0</v>
      </c>
      <c r="I1738" s="8"/>
    </row>
    <row r="1739" spans="1:9">
      <c r="A1739" s="8"/>
      <c r="B1739" s="8"/>
      <c r="C1739" s="2">
        <f>F1739/Instructions!$B$5</f>
        <v>0</v>
      </c>
      <c r="D1739" s="2">
        <f>G1739/Instructions!$B$5</f>
        <v>0</v>
      </c>
      <c r="E1739" s="2">
        <f t="shared" si="28"/>
        <v>0</v>
      </c>
      <c r="F1739" s="9"/>
      <c r="G1739" s="9"/>
      <c r="H1739" s="2">
        <f>IF(SUM(F1739:G1739)&gt;Instructions!$B$5,"Error",SUM(F1739:G1739))</f>
        <v>0</v>
      </c>
      <c r="I1739" s="8"/>
    </row>
    <row r="1740" spans="1:9">
      <c r="A1740" s="8"/>
      <c r="B1740" s="8"/>
      <c r="C1740" s="2">
        <f>F1740/Instructions!$B$5</f>
        <v>0</v>
      </c>
      <c r="D1740" s="2">
        <f>G1740/Instructions!$B$5</f>
        <v>0</v>
      </c>
      <c r="E1740" s="2">
        <f t="shared" si="28"/>
        <v>0</v>
      </c>
      <c r="F1740" s="9"/>
      <c r="G1740" s="9"/>
      <c r="H1740" s="2">
        <f>IF(SUM(F1740:G1740)&gt;Instructions!$B$5,"Error",SUM(F1740:G1740))</f>
        <v>0</v>
      </c>
      <c r="I1740" s="8"/>
    </row>
    <row r="1741" spans="1:9">
      <c r="A1741" s="8"/>
      <c r="B1741" s="8"/>
      <c r="C1741" s="2">
        <f>F1741/Instructions!$B$5</f>
        <v>0</v>
      </c>
      <c r="D1741" s="2">
        <f>G1741/Instructions!$B$5</f>
        <v>0</v>
      </c>
      <c r="E1741" s="2">
        <f t="shared" si="28"/>
        <v>0</v>
      </c>
      <c r="F1741" s="9"/>
      <c r="G1741" s="9"/>
      <c r="H1741" s="2">
        <f>IF(SUM(F1741:G1741)&gt;Instructions!$B$5,"Error",SUM(F1741:G1741))</f>
        <v>0</v>
      </c>
      <c r="I1741" s="8"/>
    </row>
    <row r="1742" spans="1:9">
      <c r="A1742" s="8"/>
      <c r="B1742" s="8"/>
      <c r="C1742" s="2">
        <f>F1742/Instructions!$B$5</f>
        <v>0</v>
      </c>
      <c r="D1742" s="2">
        <f>G1742/Instructions!$B$5</f>
        <v>0</v>
      </c>
      <c r="E1742" s="2">
        <f t="shared" si="28"/>
        <v>0</v>
      </c>
      <c r="F1742" s="9"/>
      <c r="G1742" s="9"/>
      <c r="H1742" s="2">
        <f>IF(SUM(F1742:G1742)&gt;Instructions!$B$5,"Error",SUM(F1742:G1742))</f>
        <v>0</v>
      </c>
      <c r="I1742" s="8"/>
    </row>
    <row r="1743" spans="1:9">
      <c r="A1743" s="8"/>
      <c r="B1743" s="8"/>
      <c r="C1743" s="2">
        <f>F1743/Instructions!$B$5</f>
        <v>0</v>
      </c>
      <c r="D1743" s="2">
        <f>G1743/Instructions!$B$5</f>
        <v>0</v>
      </c>
      <c r="E1743" s="2">
        <f t="shared" si="28"/>
        <v>0</v>
      </c>
      <c r="F1743" s="9"/>
      <c r="G1743" s="9"/>
      <c r="H1743" s="2">
        <f>IF(SUM(F1743:G1743)&gt;Instructions!$B$5,"Error",SUM(F1743:G1743))</f>
        <v>0</v>
      </c>
      <c r="I1743" s="8"/>
    </row>
    <row r="1744" spans="1:9">
      <c r="A1744" s="8"/>
      <c r="B1744" s="8"/>
      <c r="C1744" s="2">
        <f>F1744/Instructions!$B$5</f>
        <v>0</v>
      </c>
      <c r="D1744" s="2">
        <f>G1744/Instructions!$B$5</f>
        <v>0</v>
      </c>
      <c r="E1744" s="2">
        <f t="shared" si="28"/>
        <v>0</v>
      </c>
      <c r="F1744" s="9"/>
      <c r="G1744" s="9"/>
      <c r="H1744" s="2">
        <f>IF(SUM(F1744:G1744)&gt;Instructions!$B$5,"Error",SUM(F1744:G1744))</f>
        <v>0</v>
      </c>
      <c r="I1744" s="8"/>
    </row>
    <row r="1745" spans="1:9">
      <c r="A1745" s="8"/>
      <c r="B1745" s="8"/>
      <c r="C1745" s="2">
        <f>F1745/Instructions!$B$5</f>
        <v>0</v>
      </c>
      <c r="D1745" s="2">
        <f>G1745/Instructions!$B$5</f>
        <v>0</v>
      </c>
      <c r="E1745" s="2">
        <f t="shared" si="28"/>
        <v>0</v>
      </c>
      <c r="F1745" s="9"/>
      <c r="G1745" s="9"/>
      <c r="H1745" s="2">
        <f>IF(SUM(F1745:G1745)&gt;Instructions!$B$5,"Error",SUM(F1745:G1745))</f>
        <v>0</v>
      </c>
      <c r="I1745" s="8"/>
    </row>
    <row r="1746" spans="1:9">
      <c r="A1746" s="8"/>
      <c r="B1746" s="8"/>
      <c r="C1746" s="2">
        <f>F1746/Instructions!$B$5</f>
        <v>0</v>
      </c>
      <c r="D1746" s="2">
        <f>G1746/Instructions!$B$5</f>
        <v>0</v>
      </c>
      <c r="E1746" s="2">
        <f t="shared" si="28"/>
        <v>0</v>
      </c>
      <c r="F1746" s="9"/>
      <c r="G1746" s="9"/>
      <c r="H1746" s="2">
        <f>IF(SUM(F1746:G1746)&gt;Instructions!$B$5,"Error",SUM(F1746:G1746))</f>
        <v>0</v>
      </c>
      <c r="I1746" s="8"/>
    </row>
    <row r="1747" spans="1:9">
      <c r="A1747" s="8"/>
      <c r="B1747" s="8"/>
      <c r="C1747" s="2">
        <f>F1747/Instructions!$B$5</f>
        <v>0</v>
      </c>
      <c r="D1747" s="2">
        <f>G1747/Instructions!$B$5</f>
        <v>0</v>
      </c>
      <c r="E1747" s="2">
        <f t="shared" si="28"/>
        <v>0</v>
      </c>
      <c r="F1747" s="9"/>
      <c r="G1747" s="9"/>
      <c r="H1747" s="2">
        <f>IF(SUM(F1747:G1747)&gt;Instructions!$B$5,"Error",SUM(F1747:G1747))</f>
        <v>0</v>
      </c>
      <c r="I1747" s="8"/>
    </row>
    <row r="1748" spans="1:9">
      <c r="A1748" s="8"/>
      <c r="B1748" s="8"/>
      <c r="C1748" s="2">
        <f>F1748/Instructions!$B$5</f>
        <v>0</v>
      </c>
      <c r="D1748" s="2">
        <f>G1748/Instructions!$B$5</f>
        <v>0</v>
      </c>
      <c r="E1748" s="2">
        <f t="shared" si="28"/>
        <v>0</v>
      </c>
      <c r="F1748" s="9"/>
      <c r="G1748" s="9"/>
      <c r="H1748" s="2">
        <f>IF(SUM(F1748:G1748)&gt;Instructions!$B$5,"Error",SUM(F1748:G1748))</f>
        <v>0</v>
      </c>
      <c r="I1748" s="8"/>
    </row>
    <row r="1749" spans="1:9">
      <c r="A1749" s="8"/>
      <c r="B1749" s="8"/>
      <c r="C1749" s="2">
        <f>F1749/Instructions!$B$5</f>
        <v>0</v>
      </c>
      <c r="D1749" s="2">
        <f>G1749/Instructions!$B$5</f>
        <v>0</v>
      </c>
      <c r="E1749" s="2">
        <f t="shared" si="28"/>
        <v>0</v>
      </c>
      <c r="F1749" s="9"/>
      <c r="G1749" s="9"/>
      <c r="H1749" s="2">
        <f>IF(SUM(F1749:G1749)&gt;Instructions!$B$5,"Error",SUM(F1749:G1749))</f>
        <v>0</v>
      </c>
      <c r="I1749" s="8"/>
    </row>
    <row r="1750" spans="1:9">
      <c r="A1750" s="8"/>
      <c r="B1750" s="8"/>
      <c r="C1750" s="2">
        <f>F1750/Instructions!$B$5</f>
        <v>0</v>
      </c>
      <c r="D1750" s="2">
        <f>G1750/Instructions!$B$5</f>
        <v>0</v>
      </c>
      <c r="E1750" s="2">
        <f t="shared" si="28"/>
        <v>0</v>
      </c>
      <c r="F1750" s="9"/>
      <c r="G1750" s="9"/>
      <c r="H1750" s="2">
        <f>IF(SUM(F1750:G1750)&gt;Instructions!$B$5,"Error",SUM(F1750:G1750))</f>
        <v>0</v>
      </c>
      <c r="I1750" s="8"/>
    </row>
    <row r="1751" spans="1:9">
      <c r="A1751" s="8"/>
      <c r="B1751" s="8"/>
      <c r="C1751" s="2">
        <f>F1751/Instructions!$B$5</f>
        <v>0</v>
      </c>
      <c r="D1751" s="2">
        <f>G1751/Instructions!$B$5</f>
        <v>0</v>
      </c>
      <c r="E1751" s="2">
        <f t="shared" si="28"/>
        <v>0</v>
      </c>
      <c r="F1751" s="9"/>
      <c r="G1751" s="9"/>
      <c r="H1751" s="2">
        <f>IF(SUM(F1751:G1751)&gt;Instructions!$B$5,"Error",SUM(F1751:G1751))</f>
        <v>0</v>
      </c>
      <c r="I1751" s="8"/>
    </row>
    <row r="1752" spans="1:9">
      <c r="A1752" s="8"/>
      <c r="B1752" s="8"/>
      <c r="C1752" s="2">
        <f>F1752/Instructions!$B$5</f>
        <v>0</v>
      </c>
      <c r="D1752" s="2">
        <f>G1752/Instructions!$B$5</f>
        <v>0</v>
      </c>
      <c r="E1752" s="2">
        <f t="shared" si="28"/>
        <v>0</v>
      </c>
      <c r="F1752" s="9"/>
      <c r="G1752" s="9"/>
      <c r="H1752" s="2">
        <f>IF(SUM(F1752:G1752)&gt;Instructions!$B$5,"Error",SUM(F1752:G1752))</f>
        <v>0</v>
      </c>
      <c r="I1752" s="8"/>
    </row>
    <row r="1753" spans="1:9">
      <c r="A1753" s="8"/>
      <c r="B1753" s="8"/>
      <c r="C1753" s="2">
        <f>F1753/Instructions!$B$5</f>
        <v>0</v>
      </c>
      <c r="D1753" s="2">
        <f>G1753/Instructions!$B$5</f>
        <v>0</v>
      </c>
      <c r="E1753" s="2">
        <f t="shared" si="28"/>
        <v>0</v>
      </c>
      <c r="F1753" s="9"/>
      <c r="G1753" s="9"/>
      <c r="H1753" s="2">
        <f>IF(SUM(F1753:G1753)&gt;Instructions!$B$5,"Error",SUM(F1753:G1753))</f>
        <v>0</v>
      </c>
      <c r="I1753" s="8"/>
    </row>
    <row r="1754" spans="1:9">
      <c r="A1754" s="8"/>
      <c r="B1754" s="8"/>
      <c r="C1754" s="2">
        <f>F1754/Instructions!$B$5</f>
        <v>0</v>
      </c>
      <c r="D1754" s="2">
        <f>G1754/Instructions!$B$5</f>
        <v>0</v>
      </c>
      <c r="E1754" s="2">
        <f t="shared" si="28"/>
        <v>0</v>
      </c>
      <c r="F1754" s="9"/>
      <c r="G1754" s="9"/>
      <c r="H1754" s="2">
        <f>IF(SUM(F1754:G1754)&gt;Instructions!$B$5,"Error",SUM(F1754:G1754))</f>
        <v>0</v>
      </c>
      <c r="I1754" s="8"/>
    </row>
    <row r="1755" spans="1:9">
      <c r="A1755" s="8"/>
      <c r="B1755" s="8"/>
      <c r="C1755" s="2">
        <f>F1755/Instructions!$B$5</f>
        <v>0</v>
      </c>
      <c r="D1755" s="2">
        <f>G1755/Instructions!$B$5</f>
        <v>0</v>
      </c>
      <c r="E1755" s="2">
        <f t="shared" si="28"/>
        <v>0</v>
      </c>
      <c r="F1755" s="9"/>
      <c r="G1755" s="9"/>
      <c r="H1755" s="2">
        <f>IF(SUM(F1755:G1755)&gt;Instructions!$B$5,"Error",SUM(F1755:G1755))</f>
        <v>0</v>
      </c>
      <c r="I1755" s="8"/>
    </row>
    <row r="1756" spans="1:9">
      <c r="A1756" s="8"/>
      <c r="B1756" s="8"/>
      <c r="C1756" s="2">
        <f>F1756/Instructions!$B$5</f>
        <v>0</v>
      </c>
      <c r="D1756" s="2">
        <f>G1756/Instructions!$B$5</f>
        <v>0</v>
      </c>
      <c r="E1756" s="2">
        <f t="shared" si="28"/>
        <v>0</v>
      </c>
      <c r="F1756" s="9"/>
      <c r="G1756" s="9"/>
      <c r="H1756" s="2">
        <f>IF(SUM(F1756:G1756)&gt;Instructions!$B$5,"Error",SUM(F1756:G1756))</f>
        <v>0</v>
      </c>
      <c r="I1756" s="8"/>
    </row>
    <row r="1757" spans="1:9">
      <c r="A1757" s="8"/>
      <c r="B1757" s="8"/>
      <c r="C1757" s="2">
        <f>F1757/Instructions!$B$5</f>
        <v>0</v>
      </c>
      <c r="D1757" s="2">
        <f>G1757/Instructions!$B$5</f>
        <v>0</v>
      </c>
      <c r="E1757" s="2">
        <f t="shared" si="28"/>
        <v>0</v>
      </c>
      <c r="F1757" s="9"/>
      <c r="G1757" s="9"/>
      <c r="H1757" s="2">
        <f>IF(SUM(F1757:G1757)&gt;Instructions!$B$5,"Error",SUM(F1757:G1757))</f>
        <v>0</v>
      </c>
      <c r="I1757" s="8"/>
    </row>
    <row r="1758" spans="1:9">
      <c r="A1758" s="8"/>
      <c r="B1758" s="8"/>
      <c r="C1758" s="2">
        <f>F1758/Instructions!$B$5</f>
        <v>0</v>
      </c>
      <c r="D1758" s="2">
        <f>G1758/Instructions!$B$5</f>
        <v>0</v>
      </c>
      <c r="E1758" s="2">
        <f t="shared" si="28"/>
        <v>0</v>
      </c>
      <c r="F1758" s="9"/>
      <c r="G1758" s="9"/>
      <c r="H1758" s="2">
        <f>IF(SUM(F1758:G1758)&gt;Instructions!$B$5,"Error",SUM(F1758:G1758))</f>
        <v>0</v>
      </c>
      <c r="I1758" s="8"/>
    </row>
    <row r="1759" spans="1:9">
      <c r="A1759" s="8"/>
      <c r="B1759" s="8"/>
      <c r="C1759" s="2">
        <f>F1759/Instructions!$B$5</f>
        <v>0</v>
      </c>
      <c r="D1759" s="2">
        <f>G1759/Instructions!$B$5</f>
        <v>0</v>
      </c>
      <c r="E1759" s="2">
        <f t="shared" si="28"/>
        <v>0</v>
      </c>
      <c r="F1759" s="9"/>
      <c r="G1759" s="9"/>
      <c r="H1759" s="2">
        <f>IF(SUM(F1759:G1759)&gt;Instructions!$B$5,"Error",SUM(F1759:G1759))</f>
        <v>0</v>
      </c>
      <c r="I1759" s="8"/>
    </row>
    <row r="1760" spans="1:9">
      <c r="A1760" s="8"/>
      <c r="B1760" s="8"/>
      <c r="C1760" s="2">
        <f>F1760/Instructions!$B$5</f>
        <v>0</v>
      </c>
      <c r="D1760" s="2">
        <f>G1760/Instructions!$B$5</f>
        <v>0</v>
      </c>
      <c r="E1760" s="2">
        <f t="shared" si="28"/>
        <v>0</v>
      </c>
      <c r="F1760" s="9"/>
      <c r="G1760" s="9"/>
      <c r="H1760" s="2">
        <f>IF(SUM(F1760:G1760)&gt;Instructions!$B$5,"Error",SUM(F1760:G1760))</f>
        <v>0</v>
      </c>
      <c r="I1760" s="8"/>
    </row>
    <row r="1761" spans="1:9">
      <c r="A1761" s="8"/>
      <c r="B1761" s="8"/>
      <c r="C1761" s="2">
        <f>F1761/Instructions!$B$5</f>
        <v>0</v>
      </c>
      <c r="D1761" s="2">
        <f>G1761/Instructions!$B$5</f>
        <v>0</v>
      </c>
      <c r="E1761" s="2">
        <f t="shared" si="28"/>
        <v>0</v>
      </c>
      <c r="F1761" s="9"/>
      <c r="G1761" s="9"/>
      <c r="H1761" s="2">
        <f>IF(SUM(F1761:G1761)&gt;Instructions!$B$5,"Error",SUM(F1761:G1761))</f>
        <v>0</v>
      </c>
      <c r="I1761" s="8"/>
    </row>
    <row r="1762" spans="1:9">
      <c r="A1762" s="8"/>
      <c r="B1762" s="8"/>
      <c r="C1762" s="2">
        <f>F1762/Instructions!$B$5</f>
        <v>0</v>
      </c>
      <c r="D1762" s="2">
        <f>G1762/Instructions!$B$5</f>
        <v>0</v>
      </c>
      <c r="E1762" s="2">
        <f t="shared" si="28"/>
        <v>0</v>
      </c>
      <c r="F1762" s="9"/>
      <c r="G1762" s="9"/>
      <c r="H1762" s="2">
        <f>IF(SUM(F1762:G1762)&gt;Instructions!$B$5,"Error",SUM(F1762:G1762))</f>
        <v>0</v>
      </c>
      <c r="I1762" s="8"/>
    </row>
    <row r="1763" spans="1:9">
      <c r="A1763" s="8"/>
      <c r="B1763" s="8"/>
      <c r="C1763" s="2">
        <f>F1763/Instructions!$B$5</f>
        <v>0</v>
      </c>
      <c r="D1763" s="2">
        <f>G1763/Instructions!$B$5</f>
        <v>0</v>
      </c>
      <c r="E1763" s="2">
        <f t="shared" si="28"/>
        <v>0</v>
      </c>
      <c r="F1763" s="9"/>
      <c r="G1763" s="9"/>
      <c r="H1763" s="2">
        <f>IF(SUM(F1763:G1763)&gt;Instructions!$B$5,"Error",SUM(F1763:G1763))</f>
        <v>0</v>
      </c>
      <c r="I1763" s="8"/>
    </row>
    <row r="1764" spans="1:9">
      <c r="A1764" s="8"/>
      <c r="B1764" s="8"/>
      <c r="C1764" s="2">
        <f>F1764/Instructions!$B$5</f>
        <v>0</v>
      </c>
      <c r="D1764" s="2">
        <f>G1764/Instructions!$B$5</f>
        <v>0</v>
      </c>
      <c r="E1764" s="2">
        <f t="shared" si="28"/>
        <v>0</v>
      </c>
      <c r="F1764" s="9"/>
      <c r="G1764" s="9"/>
      <c r="H1764" s="2">
        <f>IF(SUM(F1764:G1764)&gt;Instructions!$B$5,"Error",SUM(F1764:G1764))</f>
        <v>0</v>
      </c>
      <c r="I1764" s="8"/>
    </row>
    <row r="1765" spans="1:9">
      <c r="A1765" s="8"/>
      <c r="B1765" s="8"/>
      <c r="C1765" s="2">
        <f>F1765/Instructions!$B$5</f>
        <v>0</v>
      </c>
      <c r="D1765" s="2">
        <f>G1765/Instructions!$B$5</f>
        <v>0</v>
      </c>
      <c r="E1765" s="2">
        <f t="shared" si="28"/>
        <v>0</v>
      </c>
      <c r="F1765" s="9"/>
      <c r="G1765" s="9"/>
      <c r="H1765" s="2">
        <f>IF(SUM(F1765:G1765)&gt;Instructions!$B$5,"Error",SUM(F1765:G1765))</f>
        <v>0</v>
      </c>
      <c r="I1765" s="8"/>
    </row>
    <row r="1766" spans="1:9">
      <c r="A1766" s="8"/>
      <c r="B1766" s="8"/>
      <c r="C1766" s="2">
        <f>F1766/Instructions!$B$5</f>
        <v>0</v>
      </c>
      <c r="D1766" s="2">
        <f>G1766/Instructions!$B$5</f>
        <v>0</v>
      </c>
      <c r="E1766" s="2">
        <f t="shared" si="28"/>
        <v>0</v>
      </c>
      <c r="F1766" s="9"/>
      <c r="G1766" s="9"/>
      <c r="H1766" s="2">
        <f>IF(SUM(F1766:G1766)&gt;Instructions!$B$5,"Error",SUM(F1766:G1766))</f>
        <v>0</v>
      </c>
      <c r="I1766" s="8"/>
    </row>
    <row r="1767" spans="1:9">
      <c r="A1767" s="8"/>
      <c r="B1767" s="8"/>
      <c r="C1767" s="2">
        <f>F1767/Instructions!$B$5</f>
        <v>0</v>
      </c>
      <c r="D1767" s="2">
        <f>G1767/Instructions!$B$5</f>
        <v>0</v>
      </c>
      <c r="E1767" s="2">
        <f t="shared" si="28"/>
        <v>0</v>
      </c>
      <c r="F1767" s="9"/>
      <c r="G1767" s="9"/>
      <c r="H1767" s="2">
        <f>IF(SUM(F1767:G1767)&gt;Instructions!$B$5,"Error",SUM(F1767:G1767))</f>
        <v>0</v>
      </c>
      <c r="I1767" s="8"/>
    </row>
    <row r="1768" spans="1:9">
      <c r="A1768" s="8"/>
      <c r="B1768" s="8"/>
      <c r="C1768" s="2">
        <f>F1768/Instructions!$B$5</f>
        <v>0</v>
      </c>
      <c r="D1768" s="2">
        <f>G1768/Instructions!$B$5</f>
        <v>0</v>
      </c>
      <c r="E1768" s="2">
        <f t="shared" si="28"/>
        <v>0</v>
      </c>
      <c r="F1768" s="9"/>
      <c r="G1768" s="9"/>
      <c r="H1768" s="2">
        <f>IF(SUM(F1768:G1768)&gt;Instructions!$B$5,"Error",SUM(F1768:G1768))</f>
        <v>0</v>
      </c>
      <c r="I1768" s="8"/>
    </row>
    <row r="1769" spans="1:9">
      <c r="A1769" s="8"/>
      <c r="B1769" s="8"/>
      <c r="C1769" s="2">
        <f>F1769/Instructions!$B$5</f>
        <v>0</v>
      </c>
      <c r="D1769" s="2">
        <f>G1769/Instructions!$B$5</f>
        <v>0</v>
      </c>
      <c r="E1769" s="2">
        <f t="shared" si="28"/>
        <v>0</v>
      </c>
      <c r="F1769" s="9"/>
      <c r="G1769" s="9"/>
      <c r="H1769" s="2">
        <f>IF(SUM(F1769:G1769)&gt;Instructions!$B$5,"Error",SUM(F1769:G1769))</f>
        <v>0</v>
      </c>
      <c r="I1769" s="8"/>
    </row>
    <row r="1770" spans="1:9">
      <c r="A1770" s="8"/>
      <c r="B1770" s="8"/>
      <c r="C1770" s="2">
        <f>F1770/Instructions!$B$5</f>
        <v>0</v>
      </c>
      <c r="D1770" s="2">
        <f>G1770/Instructions!$B$5</f>
        <v>0</v>
      </c>
      <c r="E1770" s="2">
        <f t="shared" si="28"/>
        <v>0</v>
      </c>
      <c r="F1770" s="9"/>
      <c r="G1770" s="9"/>
      <c r="H1770" s="2">
        <f>IF(SUM(F1770:G1770)&gt;Instructions!$B$5,"Error",SUM(F1770:G1770))</f>
        <v>0</v>
      </c>
      <c r="I1770" s="8"/>
    </row>
    <row r="1771" spans="1:9">
      <c r="A1771" s="8"/>
      <c r="B1771" s="8"/>
      <c r="C1771" s="2">
        <f>F1771/Instructions!$B$5</f>
        <v>0</v>
      </c>
      <c r="D1771" s="2">
        <f>G1771/Instructions!$B$5</f>
        <v>0</v>
      </c>
      <c r="E1771" s="2">
        <f t="shared" si="28"/>
        <v>0</v>
      </c>
      <c r="F1771" s="9"/>
      <c r="G1771" s="9"/>
      <c r="H1771" s="2">
        <f>IF(SUM(F1771:G1771)&gt;Instructions!$B$5,"Error",SUM(F1771:G1771))</f>
        <v>0</v>
      </c>
      <c r="I1771" s="8"/>
    </row>
    <row r="1772" spans="1:9">
      <c r="A1772" s="8"/>
      <c r="B1772" s="8"/>
      <c r="C1772" s="2">
        <f>F1772/Instructions!$B$5</f>
        <v>0</v>
      </c>
      <c r="D1772" s="2">
        <f>G1772/Instructions!$B$5</f>
        <v>0</v>
      </c>
      <c r="E1772" s="2">
        <f t="shared" si="28"/>
        <v>0</v>
      </c>
      <c r="F1772" s="9"/>
      <c r="G1772" s="9"/>
      <c r="H1772" s="2">
        <f>IF(SUM(F1772:G1772)&gt;Instructions!$B$5,"Error",SUM(F1772:G1772))</f>
        <v>0</v>
      </c>
      <c r="I1772" s="8"/>
    </row>
    <row r="1773" spans="1:9">
      <c r="A1773" s="8"/>
      <c r="B1773" s="8"/>
      <c r="C1773" s="2">
        <f>F1773/Instructions!$B$5</f>
        <v>0</v>
      </c>
      <c r="D1773" s="2">
        <f>G1773/Instructions!$B$5</f>
        <v>0</v>
      </c>
      <c r="E1773" s="2">
        <f t="shared" si="28"/>
        <v>0</v>
      </c>
      <c r="F1773" s="9"/>
      <c r="G1773" s="9"/>
      <c r="H1773" s="2">
        <f>IF(SUM(F1773:G1773)&gt;Instructions!$B$5,"Error",SUM(F1773:G1773))</f>
        <v>0</v>
      </c>
      <c r="I1773" s="8"/>
    </row>
    <row r="1774" spans="1:9">
      <c r="A1774" s="8"/>
      <c r="B1774" s="8"/>
      <c r="C1774" s="2">
        <f>F1774/Instructions!$B$5</f>
        <v>0</v>
      </c>
      <c r="D1774" s="2">
        <f>G1774/Instructions!$B$5</f>
        <v>0</v>
      </c>
      <c r="E1774" s="2">
        <f t="shared" si="28"/>
        <v>0</v>
      </c>
      <c r="F1774" s="9"/>
      <c r="G1774" s="9"/>
      <c r="H1774" s="2">
        <f>IF(SUM(F1774:G1774)&gt;Instructions!$B$5,"Error",SUM(F1774:G1774))</f>
        <v>0</v>
      </c>
      <c r="I1774" s="8"/>
    </row>
    <row r="1775" spans="1:9">
      <c r="A1775" s="8"/>
      <c r="B1775" s="8"/>
      <c r="C1775" s="2">
        <f>F1775/Instructions!$B$5</f>
        <v>0</v>
      </c>
      <c r="D1775" s="2">
        <f>G1775/Instructions!$B$5</f>
        <v>0</v>
      </c>
      <c r="E1775" s="2">
        <f t="shared" si="28"/>
        <v>0</v>
      </c>
      <c r="F1775" s="9"/>
      <c r="G1775" s="9"/>
      <c r="H1775" s="2">
        <f>IF(SUM(F1775:G1775)&gt;Instructions!$B$5,"Error",SUM(F1775:G1775))</f>
        <v>0</v>
      </c>
      <c r="I1775" s="8"/>
    </row>
    <row r="1776" spans="1:9">
      <c r="A1776" s="8"/>
      <c r="B1776" s="8"/>
      <c r="C1776" s="2">
        <f>F1776/Instructions!$B$5</f>
        <v>0</v>
      </c>
      <c r="D1776" s="2">
        <f>G1776/Instructions!$B$5</f>
        <v>0</v>
      </c>
      <c r="E1776" s="2">
        <f t="shared" si="28"/>
        <v>0</v>
      </c>
      <c r="F1776" s="9"/>
      <c r="G1776" s="9"/>
      <c r="H1776" s="2">
        <f>IF(SUM(F1776:G1776)&gt;Instructions!$B$5,"Error",SUM(F1776:G1776))</f>
        <v>0</v>
      </c>
      <c r="I1776" s="8"/>
    </row>
    <row r="1777" spans="1:9">
      <c r="A1777" s="8"/>
      <c r="B1777" s="8"/>
      <c r="C1777" s="2">
        <f>F1777/Instructions!$B$5</f>
        <v>0</v>
      </c>
      <c r="D1777" s="2">
        <f>G1777/Instructions!$B$5</f>
        <v>0</v>
      </c>
      <c r="E1777" s="2">
        <f t="shared" si="28"/>
        <v>0</v>
      </c>
      <c r="F1777" s="9"/>
      <c r="G1777" s="9"/>
      <c r="H1777" s="2">
        <f>IF(SUM(F1777:G1777)&gt;Instructions!$B$5,"Error",SUM(F1777:G1777))</f>
        <v>0</v>
      </c>
      <c r="I1777" s="8"/>
    </row>
    <row r="1778" spans="1:9">
      <c r="A1778" s="8"/>
      <c r="B1778" s="8"/>
      <c r="C1778" s="2">
        <f>F1778/Instructions!$B$5</f>
        <v>0</v>
      </c>
      <c r="D1778" s="2">
        <f>G1778/Instructions!$B$5</f>
        <v>0</v>
      </c>
      <c r="E1778" s="2">
        <f t="shared" si="28"/>
        <v>0</v>
      </c>
      <c r="F1778" s="9"/>
      <c r="G1778" s="9"/>
      <c r="H1778" s="2">
        <f>IF(SUM(F1778:G1778)&gt;Instructions!$B$5,"Error",SUM(F1778:G1778))</f>
        <v>0</v>
      </c>
      <c r="I1778" s="8"/>
    </row>
    <row r="1779" spans="1:9">
      <c r="A1779" s="8"/>
      <c r="B1779" s="8"/>
      <c r="C1779" s="2">
        <f>F1779/Instructions!$B$5</f>
        <v>0</v>
      </c>
      <c r="D1779" s="2">
        <f>G1779/Instructions!$B$5</f>
        <v>0</v>
      </c>
      <c r="E1779" s="2">
        <f t="shared" si="28"/>
        <v>0</v>
      </c>
      <c r="F1779" s="9"/>
      <c r="G1779" s="9"/>
      <c r="H1779" s="2">
        <f>IF(SUM(F1779:G1779)&gt;Instructions!$B$5,"Error",SUM(F1779:G1779))</f>
        <v>0</v>
      </c>
      <c r="I1779" s="8"/>
    </row>
    <row r="1780" spans="1:9">
      <c r="A1780" s="8"/>
      <c r="B1780" s="8"/>
      <c r="C1780" s="2">
        <f>F1780/Instructions!$B$5</f>
        <v>0</v>
      </c>
      <c r="D1780" s="2">
        <f>G1780/Instructions!$B$5</f>
        <v>0</v>
      </c>
      <c r="E1780" s="2">
        <f t="shared" si="28"/>
        <v>0</v>
      </c>
      <c r="F1780" s="9"/>
      <c r="G1780" s="9"/>
      <c r="H1780" s="2">
        <f>IF(SUM(F1780:G1780)&gt;Instructions!$B$5,"Error",SUM(F1780:G1780))</f>
        <v>0</v>
      </c>
      <c r="I1780" s="8"/>
    </row>
    <row r="1781" spans="1:9">
      <c r="A1781" s="8"/>
      <c r="B1781" s="8"/>
      <c r="C1781" s="2">
        <f>F1781/Instructions!$B$5</f>
        <v>0</v>
      </c>
      <c r="D1781" s="2">
        <f>G1781/Instructions!$B$5</f>
        <v>0</v>
      </c>
      <c r="E1781" s="2">
        <f t="shared" si="28"/>
        <v>0</v>
      </c>
      <c r="F1781" s="9"/>
      <c r="G1781" s="9"/>
      <c r="H1781" s="2">
        <f>IF(SUM(F1781:G1781)&gt;Instructions!$B$5,"Error",SUM(F1781:G1781))</f>
        <v>0</v>
      </c>
      <c r="I1781" s="8"/>
    </row>
    <row r="1782" spans="1:9">
      <c r="A1782" s="8"/>
      <c r="B1782" s="8"/>
      <c r="C1782" s="2">
        <f>F1782/Instructions!$B$5</f>
        <v>0</v>
      </c>
      <c r="D1782" s="2">
        <f>G1782/Instructions!$B$5</f>
        <v>0</v>
      </c>
      <c r="E1782" s="2">
        <f t="shared" si="28"/>
        <v>0</v>
      </c>
      <c r="F1782" s="9"/>
      <c r="G1782" s="9"/>
      <c r="H1782" s="2">
        <f>IF(SUM(F1782:G1782)&gt;Instructions!$B$5,"Error",SUM(F1782:G1782))</f>
        <v>0</v>
      </c>
      <c r="I1782" s="8"/>
    </row>
    <row r="1783" spans="1:9">
      <c r="A1783" s="8"/>
      <c r="B1783" s="8"/>
      <c r="C1783" s="2">
        <f>F1783/Instructions!$B$5</f>
        <v>0</v>
      </c>
      <c r="D1783" s="2">
        <f>G1783/Instructions!$B$5</f>
        <v>0</v>
      </c>
      <c r="E1783" s="2">
        <f t="shared" si="28"/>
        <v>0</v>
      </c>
      <c r="F1783" s="9"/>
      <c r="G1783" s="9"/>
      <c r="H1783" s="2">
        <f>IF(SUM(F1783:G1783)&gt;Instructions!$B$5,"Error",SUM(F1783:G1783))</f>
        <v>0</v>
      </c>
      <c r="I1783" s="8"/>
    </row>
    <row r="1784" spans="1:9">
      <c r="A1784" s="8"/>
      <c r="B1784" s="8"/>
      <c r="C1784" s="2">
        <f>F1784/Instructions!$B$5</f>
        <v>0</v>
      </c>
      <c r="D1784" s="2">
        <f>G1784/Instructions!$B$5</f>
        <v>0</v>
      </c>
      <c r="E1784" s="2">
        <f t="shared" si="28"/>
        <v>0</v>
      </c>
      <c r="F1784" s="9"/>
      <c r="G1784" s="9"/>
      <c r="H1784" s="2">
        <f>IF(SUM(F1784:G1784)&gt;Instructions!$B$5,"Error",SUM(F1784:G1784))</f>
        <v>0</v>
      </c>
      <c r="I1784" s="8"/>
    </row>
    <row r="1785" spans="1:9">
      <c r="A1785" s="8"/>
      <c r="B1785" s="8"/>
      <c r="C1785" s="2">
        <f>F1785/Instructions!$B$5</f>
        <v>0</v>
      </c>
      <c r="D1785" s="2">
        <f>G1785/Instructions!$B$5</f>
        <v>0</v>
      </c>
      <c r="E1785" s="2">
        <f t="shared" si="28"/>
        <v>0</v>
      </c>
      <c r="F1785" s="9"/>
      <c r="G1785" s="9"/>
      <c r="H1785" s="2">
        <f>IF(SUM(F1785:G1785)&gt;Instructions!$B$5,"Error",SUM(F1785:G1785))</f>
        <v>0</v>
      </c>
      <c r="I1785" s="8"/>
    </row>
    <row r="1786" spans="1:9">
      <c r="A1786" s="8"/>
      <c r="B1786" s="8"/>
      <c r="C1786" s="2">
        <f>F1786/Instructions!$B$5</f>
        <v>0</v>
      </c>
      <c r="D1786" s="2">
        <f>G1786/Instructions!$B$5</f>
        <v>0</v>
      </c>
      <c r="E1786" s="2">
        <f t="shared" si="28"/>
        <v>0</v>
      </c>
      <c r="F1786" s="9"/>
      <c r="G1786" s="9"/>
      <c r="H1786" s="2">
        <f>IF(SUM(F1786:G1786)&gt;Instructions!$B$5,"Error",SUM(F1786:G1786))</f>
        <v>0</v>
      </c>
      <c r="I1786" s="8"/>
    </row>
    <row r="1787" spans="1:9">
      <c r="A1787" s="8"/>
      <c r="B1787" s="8"/>
      <c r="C1787" s="2">
        <f>F1787/Instructions!$B$5</f>
        <v>0</v>
      </c>
      <c r="D1787" s="2">
        <f>G1787/Instructions!$B$5</f>
        <v>0</v>
      </c>
      <c r="E1787" s="2">
        <f t="shared" si="28"/>
        <v>0</v>
      </c>
      <c r="F1787" s="9"/>
      <c r="G1787" s="9"/>
      <c r="H1787" s="2">
        <f>IF(SUM(F1787:G1787)&gt;Instructions!$B$5,"Error",SUM(F1787:G1787))</f>
        <v>0</v>
      </c>
      <c r="I1787" s="8"/>
    </row>
    <row r="1788" spans="1:9">
      <c r="A1788" s="8"/>
      <c r="B1788" s="8"/>
      <c r="C1788" s="2">
        <f>F1788/Instructions!$B$5</f>
        <v>0</v>
      </c>
      <c r="D1788" s="2">
        <f>G1788/Instructions!$B$5</f>
        <v>0</v>
      </c>
      <c r="E1788" s="2">
        <f t="shared" si="28"/>
        <v>0</v>
      </c>
      <c r="F1788" s="9"/>
      <c r="G1788" s="9"/>
      <c r="H1788" s="2">
        <f>IF(SUM(F1788:G1788)&gt;Instructions!$B$5,"Error",SUM(F1788:G1788))</f>
        <v>0</v>
      </c>
      <c r="I1788" s="8"/>
    </row>
    <row r="1789" spans="1:9">
      <c r="A1789" s="8"/>
      <c r="B1789" s="8"/>
      <c r="C1789" s="2">
        <f>F1789/Instructions!$B$5</f>
        <v>0</v>
      </c>
      <c r="D1789" s="2">
        <f>G1789/Instructions!$B$5</f>
        <v>0</v>
      </c>
      <c r="E1789" s="2">
        <f t="shared" si="28"/>
        <v>0</v>
      </c>
      <c r="F1789" s="9"/>
      <c r="G1789" s="9"/>
      <c r="H1789" s="2">
        <f>IF(SUM(F1789:G1789)&gt;Instructions!$B$5,"Error",SUM(F1789:G1789))</f>
        <v>0</v>
      </c>
      <c r="I1789" s="8"/>
    </row>
    <row r="1790" spans="1:9">
      <c r="A1790" s="8"/>
      <c r="B1790" s="8"/>
      <c r="C1790" s="2">
        <f>F1790/Instructions!$B$5</f>
        <v>0</v>
      </c>
      <c r="D1790" s="2">
        <f>G1790/Instructions!$B$5</f>
        <v>0</v>
      </c>
      <c r="E1790" s="2">
        <f t="shared" si="28"/>
        <v>0</v>
      </c>
      <c r="F1790" s="9"/>
      <c r="G1790" s="9"/>
      <c r="H1790" s="2">
        <f>IF(SUM(F1790:G1790)&gt;Instructions!$B$5,"Error",SUM(F1790:G1790))</f>
        <v>0</v>
      </c>
      <c r="I1790" s="8"/>
    </row>
    <row r="1791" spans="1:9">
      <c r="A1791" s="8"/>
      <c r="B1791" s="8"/>
      <c r="C1791" s="2">
        <f>F1791/Instructions!$B$5</f>
        <v>0</v>
      </c>
      <c r="D1791" s="2">
        <f>G1791/Instructions!$B$5</f>
        <v>0</v>
      </c>
      <c r="E1791" s="2">
        <f t="shared" si="28"/>
        <v>0</v>
      </c>
      <c r="F1791" s="9"/>
      <c r="G1791" s="9"/>
      <c r="H1791" s="2">
        <f>IF(SUM(F1791:G1791)&gt;Instructions!$B$5,"Error",SUM(F1791:G1791))</f>
        <v>0</v>
      </c>
      <c r="I1791" s="8"/>
    </row>
    <row r="1792" spans="1:9">
      <c r="A1792" s="8"/>
      <c r="B1792" s="8"/>
      <c r="C1792" s="2">
        <f>F1792/Instructions!$B$5</f>
        <v>0</v>
      </c>
      <c r="D1792" s="2">
        <f>G1792/Instructions!$B$5</f>
        <v>0</v>
      </c>
      <c r="E1792" s="2">
        <f t="shared" si="28"/>
        <v>0</v>
      </c>
      <c r="F1792" s="9"/>
      <c r="G1792" s="9"/>
      <c r="H1792" s="2">
        <f>IF(SUM(F1792:G1792)&gt;Instructions!$B$5,"Error",SUM(F1792:G1792))</f>
        <v>0</v>
      </c>
      <c r="I1792" s="8"/>
    </row>
    <row r="1793" spans="1:9">
      <c r="A1793" s="8"/>
      <c r="B1793" s="8"/>
      <c r="C1793" s="2">
        <f>F1793/Instructions!$B$5</f>
        <v>0</v>
      </c>
      <c r="D1793" s="2">
        <f>G1793/Instructions!$B$5</f>
        <v>0</v>
      </c>
      <c r="E1793" s="2">
        <f t="shared" si="28"/>
        <v>0</v>
      </c>
      <c r="F1793" s="9"/>
      <c r="G1793" s="9"/>
      <c r="H1793" s="2">
        <f>IF(SUM(F1793:G1793)&gt;Instructions!$B$5,"Error",SUM(F1793:G1793))</f>
        <v>0</v>
      </c>
      <c r="I1793" s="8"/>
    </row>
    <row r="1794" spans="1:9">
      <c r="A1794" s="8"/>
      <c r="B1794" s="8"/>
      <c r="C1794" s="2">
        <f>F1794/Instructions!$B$5</f>
        <v>0</v>
      </c>
      <c r="D1794" s="2">
        <f>G1794/Instructions!$B$5</f>
        <v>0</v>
      </c>
      <c r="E1794" s="2">
        <f t="shared" si="28"/>
        <v>0</v>
      </c>
      <c r="F1794" s="9"/>
      <c r="G1794" s="9"/>
      <c r="H1794" s="2">
        <f>IF(SUM(F1794:G1794)&gt;Instructions!$B$5,"Error",SUM(F1794:G1794))</f>
        <v>0</v>
      </c>
      <c r="I1794" s="8"/>
    </row>
    <row r="1795" spans="1:9">
      <c r="A1795" s="8"/>
      <c r="B1795" s="8"/>
      <c r="C1795" s="2">
        <f>F1795/Instructions!$B$5</f>
        <v>0</v>
      </c>
      <c r="D1795" s="2">
        <f>G1795/Instructions!$B$5</f>
        <v>0</v>
      </c>
      <c r="E1795" s="2">
        <f t="shared" si="28"/>
        <v>0</v>
      </c>
      <c r="F1795" s="9"/>
      <c r="G1795" s="9"/>
      <c r="H1795" s="2">
        <f>IF(SUM(F1795:G1795)&gt;Instructions!$B$5,"Error",SUM(F1795:G1795))</f>
        <v>0</v>
      </c>
      <c r="I1795" s="8"/>
    </row>
    <row r="1796" spans="1:9">
      <c r="A1796" s="8"/>
      <c r="B1796" s="8"/>
      <c r="C1796" s="2">
        <f>F1796/Instructions!$B$5</f>
        <v>0</v>
      </c>
      <c r="D1796" s="2">
        <f>G1796/Instructions!$B$5</f>
        <v>0</v>
      </c>
      <c r="E1796" s="2">
        <f t="shared" si="28"/>
        <v>0</v>
      </c>
      <c r="F1796" s="9"/>
      <c r="G1796" s="9"/>
      <c r="H1796" s="2">
        <f>IF(SUM(F1796:G1796)&gt;Instructions!$B$5,"Error",SUM(F1796:G1796))</f>
        <v>0</v>
      </c>
      <c r="I1796" s="8"/>
    </row>
    <row r="1797" spans="1:9">
      <c r="A1797" s="8"/>
      <c r="B1797" s="8"/>
      <c r="C1797" s="2">
        <f>F1797/Instructions!$B$5</f>
        <v>0</v>
      </c>
      <c r="D1797" s="2">
        <f>G1797/Instructions!$B$5</f>
        <v>0</v>
      </c>
      <c r="E1797" s="2">
        <f t="shared" si="28"/>
        <v>0</v>
      </c>
      <c r="F1797" s="9"/>
      <c r="G1797" s="9"/>
      <c r="H1797" s="2">
        <f>IF(SUM(F1797:G1797)&gt;Instructions!$B$5,"Error",SUM(F1797:G1797))</f>
        <v>0</v>
      </c>
      <c r="I1797" s="8"/>
    </row>
    <row r="1798" spans="1:9">
      <c r="A1798" s="8"/>
      <c r="B1798" s="8"/>
      <c r="C1798" s="2">
        <f>F1798/Instructions!$B$5</f>
        <v>0</v>
      </c>
      <c r="D1798" s="2">
        <f>G1798/Instructions!$B$5</f>
        <v>0</v>
      </c>
      <c r="E1798" s="2">
        <f t="shared" si="28"/>
        <v>0</v>
      </c>
      <c r="F1798" s="9"/>
      <c r="G1798" s="9"/>
      <c r="H1798" s="2">
        <f>IF(SUM(F1798:G1798)&gt;Instructions!$B$5,"Error",SUM(F1798:G1798))</f>
        <v>0</v>
      </c>
      <c r="I1798" s="8"/>
    </row>
    <row r="1799" spans="1:9">
      <c r="A1799" s="8"/>
      <c r="B1799" s="8"/>
      <c r="C1799" s="2">
        <f>F1799/Instructions!$B$5</f>
        <v>0</v>
      </c>
      <c r="D1799" s="2">
        <f>G1799/Instructions!$B$5</f>
        <v>0</v>
      </c>
      <c r="E1799" s="2">
        <f t="shared" si="28"/>
        <v>0</v>
      </c>
      <c r="F1799" s="9"/>
      <c r="G1799" s="9"/>
      <c r="H1799" s="2">
        <f>IF(SUM(F1799:G1799)&gt;Instructions!$B$5,"Error",SUM(F1799:G1799))</f>
        <v>0</v>
      </c>
      <c r="I1799" s="8"/>
    </row>
    <row r="1800" spans="1:9">
      <c r="A1800" s="8"/>
      <c r="B1800" s="8"/>
      <c r="C1800" s="2">
        <f>F1800/Instructions!$B$5</f>
        <v>0</v>
      </c>
      <c r="D1800" s="2">
        <f>G1800/Instructions!$B$5</f>
        <v>0</v>
      </c>
      <c r="E1800" s="2">
        <f t="shared" ref="E1800:E1863" si="29">IF(SUM(C1800:D1800)&gt;1,"Error",SUM(C1800:D1800))</f>
        <v>0</v>
      </c>
      <c r="F1800" s="9"/>
      <c r="G1800" s="9"/>
      <c r="H1800" s="2">
        <f>IF(SUM(F1800:G1800)&gt;Instructions!$B$5,"Error",SUM(F1800:G1800))</f>
        <v>0</v>
      </c>
      <c r="I1800" s="8"/>
    </row>
    <row r="1801" spans="1:9">
      <c r="A1801" s="8"/>
      <c r="B1801" s="8"/>
      <c r="C1801" s="2">
        <f>F1801/Instructions!$B$5</f>
        <v>0</v>
      </c>
      <c r="D1801" s="2">
        <f>G1801/Instructions!$B$5</f>
        <v>0</v>
      </c>
      <c r="E1801" s="2">
        <f t="shared" si="29"/>
        <v>0</v>
      </c>
      <c r="F1801" s="9"/>
      <c r="G1801" s="9"/>
      <c r="H1801" s="2">
        <f>IF(SUM(F1801:G1801)&gt;Instructions!$B$5,"Error",SUM(F1801:G1801))</f>
        <v>0</v>
      </c>
      <c r="I1801" s="8"/>
    </row>
    <row r="1802" spans="1:9">
      <c r="A1802" s="8"/>
      <c r="B1802" s="8"/>
      <c r="C1802" s="2">
        <f>F1802/Instructions!$B$5</f>
        <v>0</v>
      </c>
      <c r="D1802" s="2">
        <f>G1802/Instructions!$B$5</f>
        <v>0</v>
      </c>
      <c r="E1802" s="2">
        <f t="shared" si="29"/>
        <v>0</v>
      </c>
      <c r="F1802" s="9"/>
      <c r="G1802" s="9"/>
      <c r="H1802" s="2">
        <f>IF(SUM(F1802:G1802)&gt;Instructions!$B$5,"Error",SUM(F1802:G1802))</f>
        <v>0</v>
      </c>
      <c r="I1802" s="8"/>
    </row>
    <row r="1803" spans="1:9">
      <c r="A1803" s="8"/>
      <c r="B1803" s="8"/>
      <c r="C1803" s="2">
        <f>F1803/Instructions!$B$5</f>
        <v>0</v>
      </c>
      <c r="D1803" s="2">
        <f>G1803/Instructions!$B$5</f>
        <v>0</v>
      </c>
      <c r="E1803" s="2">
        <f t="shared" si="29"/>
        <v>0</v>
      </c>
      <c r="F1803" s="9"/>
      <c r="G1803" s="9"/>
      <c r="H1803" s="2">
        <f>IF(SUM(F1803:G1803)&gt;Instructions!$B$5,"Error",SUM(F1803:G1803))</f>
        <v>0</v>
      </c>
      <c r="I1803" s="8"/>
    </row>
    <row r="1804" spans="1:9">
      <c r="A1804" s="8"/>
      <c r="B1804" s="8"/>
      <c r="C1804" s="2">
        <f>F1804/Instructions!$B$5</f>
        <v>0</v>
      </c>
      <c r="D1804" s="2">
        <f>G1804/Instructions!$B$5</f>
        <v>0</v>
      </c>
      <c r="E1804" s="2">
        <f t="shared" si="29"/>
        <v>0</v>
      </c>
      <c r="F1804" s="9"/>
      <c r="G1804" s="9"/>
      <c r="H1804" s="2">
        <f>IF(SUM(F1804:G1804)&gt;Instructions!$B$5,"Error",SUM(F1804:G1804))</f>
        <v>0</v>
      </c>
      <c r="I1804" s="8"/>
    </row>
    <row r="1805" spans="1:9">
      <c r="A1805" s="8"/>
      <c r="B1805" s="8"/>
      <c r="C1805" s="2">
        <f>F1805/Instructions!$B$5</f>
        <v>0</v>
      </c>
      <c r="D1805" s="2">
        <f>G1805/Instructions!$B$5</f>
        <v>0</v>
      </c>
      <c r="E1805" s="2">
        <f t="shared" si="29"/>
        <v>0</v>
      </c>
      <c r="F1805" s="9"/>
      <c r="G1805" s="9"/>
      <c r="H1805" s="2">
        <f>IF(SUM(F1805:G1805)&gt;Instructions!$B$5,"Error",SUM(F1805:G1805))</f>
        <v>0</v>
      </c>
      <c r="I1805" s="8"/>
    </row>
    <row r="1806" spans="1:9">
      <c r="A1806" s="8"/>
      <c r="B1806" s="8"/>
      <c r="C1806" s="2">
        <f>F1806/Instructions!$B$5</f>
        <v>0</v>
      </c>
      <c r="D1806" s="2">
        <f>G1806/Instructions!$B$5</f>
        <v>0</v>
      </c>
      <c r="E1806" s="2">
        <f t="shared" si="29"/>
        <v>0</v>
      </c>
      <c r="F1806" s="9"/>
      <c r="G1806" s="9"/>
      <c r="H1806" s="2">
        <f>IF(SUM(F1806:G1806)&gt;Instructions!$B$5,"Error",SUM(F1806:G1806))</f>
        <v>0</v>
      </c>
      <c r="I1806" s="8"/>
    </row>
    <row r="1807" spans="1:9">
      <c r="A1807" s="8"/>
      <c r="B1807" s="8"/>
      <c r="C1807" s="2">
        <f>F1807/Instructions!$B$5</f>
        <v>0</v>
      </c>
      <c r="D1807" s="2">
        <f>G1807/Instructions!$B$5</f>
        <v>0</v>
      </c>
      <c r="E1807" s="2">
        <f t="shared" si="29"/>
        <v>0</v>
      </c>
      <c r="F1807" s="9"/>
      <c r="G1807" s="9"/>
      <c r="H1807" s="2">
        <f>IF(SUM(F1807:G1807)&gt;Instructions!$B$5,"Error",SUM(F1807:G1807))</f>
        <v>0</v>
      </c>
      <c r="I1807" s="8"/>
    </row>
    <row r="1808" spans="1:9">
      <c r="A1808" s="8"/>
      <c r="B1808" s="8"/>
      <c r="C1808" s="2">
        <f>F1808/Instructions!$B$5</f>
        <v>0</v>
      </c>
      <c r="D1808" s="2">
        <f>G1808/Instructions!$B$5</f>
        <v>0</v>
      </c>
      <c r="E1808" s="2">
        <f t="shared" si="29"/>
        <v>0</v>
      </c>
      <c r="F1808" s="9"/>
      <c r="G1808" s="9"/>
      <c r="H1808" s="2">
        <f>IF(SUM(F1808:G1808)&gt;Instructions!$B$5,"Error",SUM(F1808:G1808))</f>
        <v>0</v>
      </c>
      <c r="I1808" s="8"/>
    </row>
    <row r="1809" spans="1:9">
      <c r="A1809" s="8"/>
      <c r="B1809" s="8"/>
      <c r="C1809" s="2">
        <f>F1809/Instructions!$B$5</f>
        <v>0</v>
      </c>
      <c r="D1809" s="2">
        <f>G1809/Instructions!$B$5</f>
        <v>0</v>
      </c>
      <c r="E1809" s="2">
        <f t="shared" si="29"/>
        <v>0</v>
      </c>
      <c r="F1809" s="9"/>
      <c r="G1809" s="9"/>
      <c r="H1809" s="2">
        <f>IF(SUM(F1809:G1809)&gt;Instructions!$B$5,"Error",SUM(F1809:G1809))</f>
        <v>0</v>
      </c>
      <c r="I1809" s="8"/>
    </row>
    <row r="1810" spans="1:9">
      <c r="A1810" s="8"/>
      <c r="B1810" s="8"/>
      <c r="C1810" s="2">
        <f>F1810/Instructions!$B$5</f>
        <v>0</v>
      </c>
      <c r="D1810" s="2">
        <f>G1810/Instructions!$B$5</f>
        <v>0</v>
      </c>
      <c r="E1810" s="2">
        <f t="shared" si="29"/>
        <v>0</v>
      </c>
      <c r="F1810" s="9"/>
      <c r="G1810" s="9"/>
      <c r="H1810" s="2">
        <f>IF(SUM(F1810:G1810)&gt;Instructions!$B$5,"Error",SUM(F1810:G1810))</f>
        <v>0</v>
      </c>
      <c r="I1810" s="8"/>
    </row>
    <row r="1811" spans="1:9">
      <c r="A1811" s="8"/>
      <c r="B1811" s="8"/>
      <c r="C1811" s="2">
        <f>F1811/Instructions!$B$5</f>
        <v>0</v>
      </c>
      <c r="D1811" s="2">
        <f>G1811/Instructions!$B$5</f>
        <v>0</v>
      </c>
      <c r="E1811" s="2">
        <f t="shared" si="29"/>
        <v>0</v>
      </c>
      <c r="F1811" s="9"/>
      <c r="G1811" s="9"/>
      <c r="H1811" s="2">
        <f>IF(SUM(F1811:G1811)&gt;Instructions!$B$5,"Error",SUM(F1811:G1811))</f>
        <v>0</v>
      </c>
      <c r="I1811" s="8"/>
    </row>
    <row r="1812" spans="1:9">
      <c r="A1812" s="8"/>
      <c r="B1812" s="8"/>
      <c r="C1812" s="2">
        <f>F1812/Instructions!$B$5</f>
        <v>0</v>
      </c>
      <c r="D1812" s="2">
        <f>G1812/Instructions!$B$5</f>
        <v>0</v>
      </c>
      <c r="E1812" s="2">
        <f t="shared" si="29"/>
        <v>0</v>
      </c>
      <c r="F1812" s="9"/>
      <c r="G1812" s="9"/>
      <c r="H1812" s="2">
        <f>IF(SUM(F1812:G1812)&gt;Instructions!$B$5,"Error",SUM(F1812:G1812))</f>
        <v>0</v>
      </c>
      <c r="I1812" s="8"/>
    </row>
    <row r="1813" spans="1:9">
      <c r="A1813" s="8"/>
      <c r="B1813" s="8"/>
      <c r="C1813" s="2">
        <f>F1813/Instructions!$B$5</f>
        <v>0</v>
      </c>
      <c r="D1813" s="2">
        <f>G1813/Instructions!$B$5</f>
        <v>0</v>
      </c>
      <c r="E1813" s="2">
        <f t="shared" si="29"/>
        <v>0</v>
      </c>
      <c r="F1813" s="9"/>
      <c r="G1813" s="9"/>
      <c r="H1813" s="2">
        <f>IF(SUM(F1813:G1813)&gt;Instructions!$B$5,"Error",SUM(F1813:G1813))</f>
        <v>0</v>
      </c>
      <c r="I1813" s="8"/>
    </row>
    <row r="1814" spans="1:9">
      <c r="A1814" s="8"/>
      <c r="B1814" s="8"/>
      <c r="C1814" s="2">
        <f>F1814/Instructions!$B$5</f>
        <v>0</v>
      </c>
      <c r="D1814" s="2">
        <f>G1814/Instructions!$B$5</f>
        <v>0</v>
      </c>
      <c r="E1814" s="2">
        <f t="shared" si="29"/>
        <v>0</v>
      </c>
      <c r="F1814" s="9"/>
      <c r="G1814" s="9"/>
      <c r="H1814" s="2">
        <f>IF(SUM(F1814:G1814)&gt;Instructions!$B$5,"Error",SUM(F1814:G1814))</f>
        <v>0</v>
      </c>
      <c r="I1814" s="8"/>
    </row>
    <row r="1815" spans="1:9">
      <c r="A1815" s="8"/>
      <c r="B1815" s="8"/>
      <c r="C1815" s="2">
        <f>F1815/Instructions!$B$5</f>
        <v>0</v>
      </c>
      <c r="D1815" s="2">
        <f>G1815/Instructions!$B$5</f>
        <v>0</v>
      </c>
      <c r="E1815" s="2">
        <f t="shared" si="29"/>
        <v>0</v>
      </c>
      <c r="F1815" s="9"/>
      <c r="G1815" s="9"/>
      <c r="H1815" s="2">
        <f>IF(SUM(F1815:G1815)&gt;Instructions!$B$5,"Error",SUM(F1815:G1815))</f>
        <v>0</v>
      </c>
      <c r="I1815" s="8"/>
    </row>
    <row r="1816" spans="1:9">
      <c r="A1816" s="8"/>
      <c r="B1816" s="8"/>
      <c r="C1816" s="2">
        <f>F1816/Instructions!$B$5</f>
        <v>0</v>
      </c>
      <c r="D1816" s="2">
        <f>G1816/Instructions!$B$5</f>
        <v>0</v>
      </c>
      <c r="E1816" s="2">
        <f t="shared" si="29"/>
        <v>0</v>
      </c>
      <c r="F1816" s="9"/>
      <c r="G1816" s="9"/>
      <c r="H1816" s="2">
        <f>IF(SUM(F1816:G1816)&gt;Instructions!$B$5,"Error",SUM(F1816:G1816))</f>
        <v>0</v>
      </c>
      <c r="I1816" s="8"/>
    </row>
    <row r="1817" spans="1:9">
      <c r="A1817" s="8"/>
      <c r="B1817" s="8"/>
      <c r="C1817" s="2">
        <f>F1817/Instructions!$B$5</f>
        <v>0</v>
      </c>
      <c r="D1817" s="2">
        <f>G1817/Instructions!$B$5</f>
        <v>0</v>
      </c>
      <c r="E1817" s="2">
        <f t="shared" si="29"/>
        <v>0</v>
      </c>
      <c r="F1817" s="9"/>
      <c r="G1817" s="9"/>
      <c r="H1817" s="2">
        <f>IF(SUM(F1817:G1817)&gt;Instructions!$B$5,"Error",SUM(F1817:G1817))</f>
        <v>0</v>
      </c>
      <c r="I1817" s="8"/>
    </row>
    <row r="1818" spans="1:9">
      <c r="A1818" s="8"/>
      <c r="B1818" s="8"/>
      <c r="C1818" s="2">
        <f>F1818/Instructions!$B$5</f>
        <v>0</v>
      </c>
      <c r="D1818" s="2">
        <f>G1818/Instructions!$B$5</f>
        <v>0</v>
      </c>
      <c r="E1818" s="2">
        <f t="shared" si="29"/>
        <v>0</v>
      </c>
      <c r="F1818" s="9"/>
      <c r="G1818" s="9"/>
      <c r="H1818" s="2">
        <f>IF(SUM(F1818:G1818)&gt;Instructions!$B$5,"Error",SUM(F1818:G1818))</f>
        <v>0</v>
      </c>
      <c r="I1818" s="8"/>
    </row>
    <row r="1819" spans="1:9">
      <c r="A1819" s="8"/>
      <c r="B1819" s="8"/>
      <c r="C1819" s="2">
        <f>F1819/Instructions!$B$5</f>
        <v>0</v>
      </c>
      <c r="D1819" s="2">
        <f>G1819/Instructions!$B$5</f>
        <v>0</v>
      </c>
      <c r="E1819" s="2">
        <f t="shared" si="29"/>
        <v>0</v>
      </c>
      <c r="F1819" s="9"/>
      <c r="G1819" s="9"/>
      <c r="H1819" s="2">
        <f>IF(SUM(F1819:G1819)&gt;Instructions!$B$5,"Error",SUM(F1819:G1819))</f>
        <v>0</v>
      </c>
      <c r="I1819" s="8"/>
    </row>
    <row r="1820" spans="1:9">
      <c r="A1820" s="8"/>
      <c r="B1820" s="8"/>
      <c r="C1820" s="2">
        <f>F1820/Instructions!$B$5</f>
        <v>0</v>
      </c>
      <c r="D1820" s="2">
        <f>G1820/Instructions!$B$5</f>
        <v>0</v>
      </c>
      <c r="E1820" s="2">
        <f t="shared" si="29"/>
        <v>0</v>
      </c>
      <c r="F1820" s="9"/>
      <c r="G1820" s="9"/>
      <c r="H1820" s="2">
        <f>IF(SUM(F1820:G1820)&gt;Instructions!$B$5,"Error",SUM(F1820:G1820))</f>
        <v>0</v>
      </c>
      <c r="I1820" s="8"/>
    </row>
    <row r="1821" spans="1:9">
      <c r="A1821" s="8"/>
      <c r="B1821" s="8"/>
      <c r="C1821" s="2">
        <f>F1821/Instructions!$B$5</f>
        <v>0</v>
      </c>
      <c r="D1821" s="2">
        <f>G1821/Instructions!$B$5</f>
        <v>0</v>
      </c>
      <c r="E1821" s="2">
        <f t="shared" si="29"/>
        <v>0</v>
      </c>
      <c r="F1821" s="9"/>
      <c r="G1821" s="9"/>
      <c r="H1821" s="2">
        <f>IF(SUM(F1821:G1821)&gt;Instructions!$B$5,"Error",SUM(F1821:G1821))</f>
        <v>0</v>
      </c>
      <c r="I1821" s="8"/>
    </row>
    <row r="1822" spans="1:9">
      <c r="A1822" s="8"/>
      <c r="B1822" s="8"/>
      <c r="C1822" s="2">
        <f>F1822/Instructions!$B$5</f>
        <v>0</v>
      </c>
      <c r="D1822" s="2">
        <f>G1822/Instructions!$B$5</f>
        <v>0</v>
      </c>
      <c r="E1822" s="2">
        <f t="shared" si="29"/>
        <v>0</v>
      </c>
      <c r="F1822" s="9"/>
      <c r="G1822" s="9"/>
      <c r="H1822" s="2">
        <f>IF(SUM(F1822:G1822)&gt;Instructions!$B$5,"Error",SUM(F1822:G1822))</f>
        <v>0</v>
      </c>
      <c r="I1822" s="8"/>
    </row>
    <row r="1823" spans="1:9">
      <c r="A1823" s="8"/>
      <c r="B1823" s="8"/>
      <c r="C1823" s="2">
        <f>F1823/Instructions!$B$5</f>
        <v>0</v>
      </c>
      <c r="D1823" s="2">
        <f>G1823/Instructions!$B$5</f>
        <v>0</v>
      </c>
      <c r="E1823" s="2">
        <f t="shared" si="29"/>
        <v>0</v>
      </c>
      <c r="F1823" s="9"/>
      <c r="G1823" s="9"/>
      <c r="H1823" s="2">
        <f>IF(SUM(F1823:G1823)&gt;Instructions!$B$5,"Error",SUM(F1823:G1823))</f>
        <v>0</v>
      </c>
      <c r="I1823" s="8"/>
    </row>
    <row r="1824" spans="1:9">
      <c r="A1824" s="8"/>
      <c r="B1824" s="8"/>
      <c r="C1824" s="2">
        <f>F1824/Instructions!$B$5</f>
        <v>0</v>
      </c>
      <c r="D1824" s="2">
        <f>G1824/Instructions!$B$5</f>
        <v>0</v>
      </c>
      <c r="E1824" s="2">
        <f t="shared" si="29"/>
        <v>0</v>
      </c>
      <c r="F1824" s="9"/>
      <c r="G1824" s="9"/>
      <c r="H1824" s="2">
        <f>IF(SUM(F1824:G1824)&gt;Instructions!$B$5,"Error",SUM(F1824:G1824))</f>
        <v>0</v>
      </c>
      <c r="I1824" s="8"/>
    </row>
    <row r="1825" spans="1:9">
      <c r="A1825" s="8"/>
      <c r="B1825" s="8"/>
      <c r="C1825" s="2">
        <f>F1825/Instructions!$B$5</f>
        <v>0</v>
      </c>
      <c r="D1825" s="2">
        <f>G1825/Instructions!$B$5</f>
        <v>0</v>
      </c>
      <c r="E1825" s="2">
        <f t="shared" si="29"/>
        <v>0</v>
      </c>
      <c r="F1825" s="9"/>
      <c r="G1825" s="9"/>
      <c r="H1825" s="2">
        <f>IF(SUM(F1825:G1825)&gt;Instructions!$B$5,"Error",SUM(F1825:G1825))</f>
        <v>0</v>
      </c>
      <c r="I1825" s="8"/>
    </row>
    <row r="1826" spans="1:9">
      <c r="A1826" s="8"/>
      <c r="B1826" s="8"/>
      <c r="C1826" s="2">
        <f>F1826/Instructions!$B$5</f>
        <v>0</v>
      </c>
      <c r="D1826" s="2">
        <f>G1826/Instructions!$B$5</f>
        <v>0</v>
      </c>
      <c r="E1826" s="2">
        <f t="shared" si="29"/>
        <v>0</v>
      </c>
      <c r="F1826" s="9"/>
      <c r="G1826" s="9"/>
      <c r="H1826" s="2">
        <f>IF(SUM(F1826:G1826)&gt;Instructions!$B$5,"Error",SUM(F1826:G1826))</f>
        <v>0</v>
      </c>
      <c r="I1826" s="8"/>
    </row>
    <row r="1827" spans="1:9">
      <c r="A1827" s="8"/>
      <c r="B1827" s="8"/>
      <c r="C1827" s="2">
        <f>F1827/Instructions!$B$5</f>
        <v>0</v>
      </c>
      <c r="D1827" s="2">
        <f>G1827/Instructions!$B$5</f>
        <v>0</v>
      </c>
      <c r="E1827" s="2">
        <f t="shared" si="29"/>
        <v>0</v>
      </c>
      <c r="F1827" s="9"/>
      <c r="G1827" s="9"/>
      <c r="H1827" s="2">
        <f>IF(SUM(F1827:G1827)&gt;Instructions!$B$5,"Error",SUM(F1827:G1827))</f>
        <v>0</v>
      </c>
      <c r="I1827" s="8"/>
    </row>
    <row r="1828" spans="1:9">
      <c r="A1828" s="8"/>
      <c r="B1828" s="8"/>
      <c r="C1828" s="2">
        <f>F1828/Instructions!$B$5</f>
        <v>0</v>
      </c>
      <c r="D1828" s="2">
        <f>G1828/Instructions!$B$5</f>
        <v>0</v>
      </c>
      <c r="E1828" s="2">
        <f t="shared" si="29"/>
        <v>0</v>
      </c>
      <c r="F1828" s="9"/>
      <c r="G1828" s="9"/>
      <c r="H1828" s="2">
        <f>IF(SUM(F1828:G1828)&gt;Instructions!$B$5,"Error",SUM(F1828:G1828))</f>
        <v>0</v>
      </c>
      <c r="I1828" s="8"/>
    </row>
    <row r="1829" spans="1:9">
      <c r="A1829" s="8"/>
      <c r="B1829" s="8"/>
      <c r="C1829" s="2">
        <f>F1829/Instructions!$B$5</f>
        <v>0</v>
      </c>
      <c r="D1829" s="2">
        <f>G1829/Instructions!$B$5</f>
        <v>0</v>
      </c>
      <c r="E1829" s="2">
        <f t="shared" si="29"/>
        <v>0</v>
      </c>
      <c r="F1829" s="9"/>
      <c r="G1829" s="9"/>
      <c r="H1829" s="2">
        <f>IF(SUM(F1829:G1829)&gt;Instructions!$B$5,"Error",SUM(F1829:G1829))</f>
        <v>0</v>
      </c>
      <c r="I1829" s="8"/>
    </row>
    <row r="1830" spans="1:9">
      <c r="A1830" s="8"/>
      <c r="B1830" s="8"/>
      <c r="C1830" s="2">
        <f>F1830/Instructions!$B$5</f>
        <v>0</v>
      </c>
      <c r="D1830" s="2">
        <f>G1830/Instructions!$B$5</f>
        <v>0</v>
      </c>
      <c r="E1830" s="2">
        <f t="shared" si="29"/>
        <v>0</v>
      </c>
      <c r="F1830" s="9"/>
      <c r="G1830" s="9"/>
      <c r="H1830" s="2">
        <f>IF(SUM(F1830:G1830)&gt;Instructions!$B$5,"Error",SUM(F1830:G1830))</f>
        <v>0</v>
      </c>
      <c r="I1830" s="8"/>
    </row>
    <row r="1831" spans="1:9">
      <c r="A1831" s="8"/>
      <c r="B1831" s="8"/>
      <c r="C1831" s="2">
        <f>F1831/Instructions!$B$5</f>
        <v>0</v>
      </c>
      <c r="D1831" s="2">
        <f>G1831/Instructions!$B$5</f>
        <v>0</v>
      </c>
      <c r="E1831" s="2">
        <f t="shared" si="29"/>
        <v>0</v>
      </c>
      <c r="F1831" s="9"/>
      <c r="G1831" s="9"/>
      <c r="H1831" s="2">
        <f>IF(SUM(F1831:G1831)&gt;Instructions!$B$5,"Error",SUM(F1831:G1831))</f>
        <v>0</v>
      </c>
      <c r="I1831" s="8"/>
    </row>
    <row r="1832" spans="1:9">
      <c r="A1832" s="8"/>
      <c r="B1832" s="8"/>
      <c r="C1832" s="2">
        <f>F1832/Instructions!$B$5</f>
        <v>0</v>
      </c>
      <c r="D1832" s="2">
        <f>G1832/Instructions!$B$5</f>
        <v>0</v>
      </c>
      <c r="E1832" s="2">
        <f t="shared" si="29"/>
        <v>0</v>
      </c>
      <c r="F1832" s="9"/>
      <c r="G1832" s="9"/>
      <c r="H1832" s="2">
        <f>IF(SUM(F1832:G1832)&gt;Instructions!$B$5,"Error",SUM(F1832:G1832))</f>
        <v>0</v>
      </c>
      <c r="I1832" s="8"/>
    </row>
    <row r="1833" spans="1:9">
      <c r="A1833" s="8"/>
      <c r="B1833" s="8"/>
      <c r="C1833" s="2">
        <f>F1833/Instructions!$B$5</f>
        <v>0</v>
      </c>
      <c r="D1833" s="2">
        <f>G1833/Instructions!$B$5</f>
        <v>0</v>
      </c>
      <c r="E1833" s="2">
        <f t="shared" si="29"/>
        <v>0</v>
      </c>
      <c r="F1833" s="9"/>
      <c r="G1833" s="9"/>
      <c r="H1833" s="2">
        <f>IF(SUM(F1833:G1833)&gt;Instructions!$B$5,"Error",SUM(F1833:G1833))</f>
        <v>0</v>
      </c>
      <c r="I1833" s="8"/>
    </row>
    <row r="1834" spans="1:9">
      <c r="A1834" s="8"/>
      <c r="B1834" s="8"/>
      <c r="C1834" s="2">
        <f>F1834/Instructions!$B$5</f>
        <v>0</v>
      </c>
      <c r="D1834" s="2">
        <f>G1834/Instructions!$B$5</f>
        <v>0</v>
      </c>
      <c r="E1834" s="2">
        <f t="shared" si="29"/>
        <v>0</v>
      </c>
      <c r="F1834" s="9"/>
      <c r="G1834" s="9"/>
      <c r="H1834" s="2">
        <f>IF(SUM(F1834:G1834)&gt;Instructions!$B$5,"Error",SUM(F1834:G1834))</f>
        <v>0</v>
      </c>
      <c r="I1834" s="8"/>
    </row>
    <row r="1835" spans="1:9">
      <c r="A1835" s="8"/>
      <c r="B1835" s="8"/>
      <c r="C1835" s="2">
        <f>F1835/Instructions!$B$5</f>
        <v>0</v>
      </c>
      <c r="D1835" s="2">
        <f>G1835/Instructions!$B$5</f>
        <v>0</v>
      </c>
      <c r="E1835" s="2">
        <f t="shared" si="29"/>
        <v>0</v>
      </c>
      <c r="F1835" s="9"/>
      <c r="G1835" s="9"/>
      <c r="H1835" s="2">
        <f>IF(SUM(F1835:G1835)&gt;Instructions!$B$5,"Error",SUM(F1835:G1835))</f>
        <v>0</v>
      </c>
      <c r="I1835" s="8"/>
    </row>
    <row r="1836" spans="1:9">
      <c r="A1836" s="8"/>
      <c r="B1836" s="8"/>
      <c r="C1836" s="2">
        <f>F1836/Instructions!$B$5</f>
        <v>0</v>
      </c>
      <c r="D1836" s="2">
        <f>G1836/Instructions!$B$5</f>
        <v>0</v>
      </c>
      <c r="E1836" s="2">
        <f t="shared" si="29"/>
        <v>0</v>
      </c>
      <c r="F1836" s="9"/>
      <c r="G1836" s="9"/>
      <c r="H1836" s="2">
        <f>IF(SUM(F1836:G1836)&gt;Instructions!$B$5,"Error",SUM(F1836:G1836))</f>
        <v>0</v>
      </c>
      <c r="I1836" s="8"/>
    </row>
    <row r="1837" spans="1:9">
      <c r="A1837" s="8"/>
      <c r="B1837" s="8"/>
      <c r="C1837" s="2">
        <f>F1837/Instructions!$B$5</f>
        <v>0</v>
      </c>
      <c r="D1837" s="2">
        <f>G1837/Instructions!$B$5</f>
        <v>0</v>
      </c>
      <c r="E1837" s="2">
        <f t="shared" si="29"/>
        <v>0</v>
      </c>
      <c r="F1837" s="9"/>
      <c r="G1837" s="9"/>
      <c r="H1837" s="2">
        <f>IF(SUM(F1837:G1837)&gt;Instructions!$B$5,"Error",SUM(F1837:G1837))</f>
        <v>0</v>
      </c>
      <c r="I1837" s="8"/>
    </row>
    <row r="1838" spans="1:9">
      <c r="A1838" s="8"/>
      <c r="B1838" s="8"/>
      <c r="C1838" s="2">
        <f>F1838/Instructions!$B$5</f>
        <v>0</v>
      </c>
      <c r="D1838" s="2">
        <f>G1838/Instructions!$B$5</f>
        <v>0</v>
      </c>
      <c r="E1838" s="2">
        <f t="shared" si="29"/>
        <v>0</v>
      </c>
      <c r="F1838" s="9"/>
      <c r="G1838" s="9"/>
      <c r="H1838" s="2">
        <f>IF(SUM(F1838:G1838)&gt;Instructions!$B$5,"Error",SUM(F1838:G1838))</f>
        <v>0</v>
      </c>
      <c r="I1838" s="8"/>
    </row>
    <row r="1839" spans="1:9">
      <c r="A1839" s="8"/>
      <c r="B1839" s="8"/>
      <c r="C1839" s="2">
        <f>F1839/Instructions!$B$5</f>
        <v>0</v>
      </c>
      <c r="D1839" s="2">
        <f>G1839/Instructions!$B$5</f>
        <v>0</v>
      </c>
      <c r="E1839" s="2">
        <f t="shared" si="29"/>
        <v>0</v>
      </c>
      <c r="F1839" s="9"/>
      <c r="G1839" s="9"/>
      <c r="H1839" s="2">
        <f>IF(SUM(F1839:G1839)&gt;Instructions!$B$5,"Error",SUM(F1839:G1839))</f>
        <v>0</v>
      </c>
      <c r="I1839" s="8"/>
    </row>
    <row r="1840" spans="1:9">
      <c r="A1840" s="8"/>
      <c r="B1840" s="8"/>
      <c r="C1840" s="2">
        <f>F1840/Instructions!$B$5</f>
        <v>0</v>
      </c>
      <c r="D1840" s="2">
        <f>G1840/Instructions!$B$5</f>
        <v>0</v>
      </c>
      <c r="E1840" s="2">
        <f t="shared" si="29"/>
        <v>0</v>
      </c>
      <c r="F1840" s="9"/>
      <c r="G1840" s="9"/>
      <c r="H1840" s="2">
        <f>IF(SUM(F1840:G1840)&gt;Instructions!$B$5,"Error",SUM(F1840:G1840))</f>
        <v>0</v>
      </c>
      <c r="I1840" s="8"/>
    </row>
    <row r="1841" spans="1:9">
      <c r="A1841" s="8"/>
      <c r="B1841" s="8"/>
      <c r="C1841" s="2">
        <f>F1841/Instructions!$B$5</f>
        <v>0</v>
      </c>
      <c r="D1841" s="2">
        <f>G1841/Instructions!$B$5</f>
        <v>0</v>
      </c>
      <c r="E1841" s="2">
        <f t="shared" si="29"/>
        <v>0</v>
      </c>
      <c r="F1841" s="9"/>
      <c r="G1841" s="9"/>
      <c r="H1841" s="2">
        <f>IF(SUM(F1841:G1841)&gt;Instructions!$B$5,"Error",SUM(F1841:G1841))</f>
        <v>0</v>
      </c>
      <c r="I1841" s="8"/>
    </row>
    <row r="1842" spans="1:9">
      <c r="A1842" s="8"/>
      <c r="B1842" s="8"/>
      <c r="C1842" s="2">
        <f>F1842/Instructions!$B$5</f>
        <v>0</v>
      </c>
      <c r="D1842" s="2">
        <f>G1842/Instructions!$B$5</f>
        <v>0</v>
      </c>
      <c r="E1842" s="2">
        <f t="shared" si="29"/>
        <v>0</v>
      </c>
      <c r="F1842" s="9"/>
      <c r="G1842" s="9"/>
      <c r="H1842" s="2">
        <f>IF(SUM(F1842:G1842)&gt;Instructions!$B$5,"Error",SUM(F1842:G1842))</f>
        <v>0</v>
      </c>
      <c r="I1842" s="8"/>
    </row>
    <row r="1843" spans="1:9">
      <c r="A1843" s="8"/>
      <c r="B1843" s="8"/>
      <c r="C1843" s="2">
        <f>F1843/Instructions!$B$5</f>
        <v>0</v>
      </c>
      <c r="D1843" s="2">
        <f>G1843/Instructions!$B$5</f>
        <v>0</v>
      </c>
      <c r="E1843" s="2">
        <f t="shared" si="29"/>
        <v>0</v>
      </c>
      <c r="F1843" s="9"/>
      <c r="G1843" s="9"/>
      <c r="H1843" s="2">
        <f>IF(SUM(F1843:G1843)&gt;Instructions!$B$5,"Error",SUM(F1843:G1843))</f>
        <v>0</v>
      </c>
      <c r="I1843" s="8"/>
    </row>
    <row r="1844" spans="1:9">
      <c r="A1844" s="8"/>
      <c r="B1844" s="8"/>
      <c r="C1844" s="2">
        <f>F1844/Instructions!$B$5</f>
        <v>0</v>
      </c>
      <c r="D1844" s="2">
        <f>G1844/Instructions!$B$5</f>
        <v>0</v>
      </c>
      <c r="E1844" s="2">
        <f t="shared" si="29"/>
        <v>0</v>
      </c>
      <c r="F1844" s="9"/>
      <c r="G1844" s="9"/>
      <c r="H1844" s="2">
        <f>IF(SUM(F1844:G1844)&gt;Instructions!$B$5,"Error",SUM(F1844:G1844))</f>
        <v>0</v>
      </c>
      <c r="I1844" s="8"/>
    </row>
    <row r="1845" spans="1:9">
      <c r="A1845" s="8"/>
      <c r="B1845" s="8"/>
      <c r="C1845" s="2">
        <f>F1845/Instructions!$B$5</f>
        <v>0</v>
      </c>
      <c r="D1845" s="2">
        <f>G1845/Instructions!$B$5</f>
        <v>0</v>
      </c>
      <c r="E1845" s="2">
        <f t="shared" si="29"/>
        <v>0</v>
      </c>
      <c r="F1845" s="9"/>
      <c r="G1845" s="9"/>
      <c r="H1845" s="2">
        <f>IF(SUM(F1845:G1845)&gt;Instructions!$B$5,"Error",SUM(F1845:G1845))</f>
        <v>0</v>
      </c>
      <c r="I1845" s="8"/>
    </row>
    <row r="1846" spans="1:9">
      <c r="A1846" s="8"/>
      <c r="B1846" s="8"/>
      <c r="C1846" s="2">
        <f>F1846/Instructions!$B$5</f>
        <v>0</v>
      </c>
      <c r="D1846" s="2">
        <f>G1846/Instructions!$B$5</f>
        <v>0</v>
      </c>
      <c r="E1846" s="2">
        <f t="shared" si="29"/>
        <v>0</v>
      </c>
      <c r="F1846" s="9"/>
      <c r="G1846" s="9"/>
      <c r="H1846" s="2">
        <f>IF(SUM(F1846:G1846)&gt;Instructions!$B$5,"Error",SUM(F1846:G1846))</f>
        <v>0</v>
      </c>
      <c r="I1846" s="8"/>
    </row>
    <row r="1847" spans="1:9">
      <c r="A1847" s="8"/>
      <c r="B1847" s="8"/>
      <c r="C1847" s="2">
        <f>F1847/Instructions!$B$5</f>
        <v>0</v>
      </c>
      <c r="D1847" s="2">
        <f>G1847/Instructions!$B$5</f>
        <v>0</v>
      </c>
      <c r="E1847" s="2">
        <f t="shared" si="29"/>
        <v>0</v>
      </c>
      <c r="F1847" s="9"/>
      <c r="G1847" s="9"/>
      <c r="H1847" s="2">
        <f>IF(SUM(F1847:G1847)&gt;Instructions!$B$5,"Error",SUM(F1847:G1847))</f>
        <v>0</v>
      </c>
      <c r="I1847" s="8"/>
    </row>
    <row r="1848" spans="1:9">
      <c r="A1848" s="8"/>
      <c r="B1848" s="8"/>
      <c r="C1848" s="2">
        <f>F1848/Instructions!$B$5</f>
        <v>0</v>
      </c>
      <c r="D1848" s="2">
        <f>G1848/Instructions!$B$5</f>
        <v>0</v>
      </c>
      <c r="E1848" s="2">
        <f t="shared" si="29"/>
        <v>0</v>
      </c>
      <c r="F1848" s="9"/>
      <c r="G1848" s="9"/>
      <c r="H1848" s="2">
        <f>IF(SUM(F1848:G1848)&gt;Instructions!$B$5,"Error",SUM(F1848:G1848))</f>
        <v>0</v>
      </c>
      <c r="I1848" s="8"/>
    </row>
    <row r="1849" spans="1:9">
      <c r="A1849" s="8"/>
      <c r="B1849" s="8"/>
      <c r="C1849" s="2">
        <f>F1849/Instructions!$B$5</f>
        <v>0</v>
      </c>
      <c r="D1849" s="2">
        <f>G1849/Instructions!$B$5</f>
        <v>0</v>
      </c>
      <c r="E1849" s="2">
        <f t="shared" si="29"/>
        <v>0</v>
      </c>
      <c r="F1849" s="9"/>
      <c r="G1849" s="9"/>
      <c r="H1849" s="2">
        <f>IF(SUM(F1849:G1849)&gt;Instructions!$B$5,"Error",SUM(F1849:G1849))</f>
        <v>0</v>
      </c>
      <c r="I1849" s="8"/>
    </row>
    <row r="1850" spans="1:9">
      <c r="A1850" s="8"/>
      <c r="B1850" s="8"/>
      <c r="C1850" s="2">
        <f>F1850/Instructions!$B$5</f>
        <v>0</v>
      </c>
      <c r="D1850" s="2">
        <f>G1850/Instructions!$B$5</f>
        <v>0</v>
      </c>
      <c r="E1850" s="2">
        <f t="shared" si="29"/>
        <v>0</v>
      </c>
      <c r="F1850" s="9"/>
      <c r="G1850" s="9"/>
      <c r="H1850" s="2">
        <f>IF(SUM(F1850:G1850)&gt;Instructions!$B$5,"Error",SUM(F1850:G1850))</f>
        <v>0</v>
      </c>
      <c r="I1850" s="8"/>
    </row>
    <row r="1851" spans="1:9">
      <c r="A1851" s="8"/>
      <c r="B1851" s="8"/>
      <c r="C1851" s="2">
        <f>F1851/Instructions!$B$5</f>
        <v>0</v>
      </c>
      <c r="D1851" s="2">
        <f>G1851/Instructions!$B$5</f>
        <v>0</v>
      </c>
      <c r="E1851" s="2">
        <f t="shared" si="29"/>
        <v>0</v>
      </c>
      <c r="F1851" s="9"/>
      <c r="G1851" s="9"/>
      <c r="H1851" s="2">
        <f>IF(SUM(F1851:G1851)&gt;Instructions!$B$5,"Error",SUM(F1851:G1851))</f>
        <v>0</v>
      </c>
      <c r="I1851" s="8"/>
    </row>
    <row r="1852" spans="1:9">
      <c r="A1852" s="8"/>
      <c r="B1852" s="8"/>
      <c r="C1852" s="2">
        <f>F1852/Instructions!$B$5</f>
        <v>0</v>
      </c>
      <c r="D1852" s="2">
        <f>G1852/Instructions!$B$5</f>
        <v>0</v>
      </c>
      <c r="E1852" s="2">
        <f t="shared" si="29"/>
        <v>0</v>
      </c>
      <c r="F1852" s="9"/>
      <c r="G1852" s="9"/>
      <c r="H1852" s="2">
        <f>IF(SUM(F1852:G1852)&gt;Instructions!$B$5,"Error",SUM(F1852:G1852))</f>
        <v>0</v>
      </c>
      <c r="I1852" s="8"/>
    </row>
    <row r="1853" spans="1:9">
      <c r="A1853" s="8"/>
      <c r="B1853" s="8"/>
      <c r="C1853" s="2">
        <f>F1853/Instructions!$B$5</f>
        <v>0</v>
      </c>
      <c r="D1853" s="2">
        <f>G1853/Instructions!$B$5</f>
        <v>0</v>
      </c>
      <c r="E1853" s="2">
        <f t="shared" si="29"/>
        <v>0</v>
      </c>
      <c r="F1853" s="9"/>
      <c r="G1853" s="9"/>
      <c r="H1853" s="2">
        <f>IF(SUM(F1853:G1853)&gt;Instructions!$B$5,"Error",SUM(F1853:G1853))</f>
        <v>0</v>
      </c>
      <c r="I1853" s="8"/>
    </row>
    <row r="1854" spans="1:9">
      <c r="A1854" s="8"/>
      <c r="B1854" s="8"/>
      <c r="C1854" s="2">
        <f>F1854/Instructions!$B$5</f>
        <v>0</v>
      </c>
      <c r="D1854" s="2">
        <f>G1854/Instructions!$B$5</f>
        <v>0</v>
      </c>
      <c r="E1854" s="2">
        <f t="shared" si="29"/>
        <v>0</v>
      </c>
      <c r="F1854" s="9"/>
      <c r="G1854" s="9"/>
      <c r="H1854" s="2">
        <f>IF(SUM(F1854:G1854)&gt;Instructions!$B$5,"Error",SUM(F1854:G1854))</f>
        <v>0</v>
      </c>
      <c r="I1854" s="8"/>
    </row>
    <row r="1855" spans="1:9">
      <c r="A1855" s="8"/>
      <c r="B1855" s="8"/>
      <c r="C1855" s="2">
        <f>F1855/Instructions!$B$5</f>
        <v>0</v>
      </c>
      <c r="D1855" s="2">
        <f>G1855/Instructions!$B$5</f>
        <v>0</v>
      </c>
      <c r="E1855" s="2">
        <f t="shared" si="29"/>
        <v>0</v>
      </c>
      <c r="F1855" s="9"/>
      <c r="G1855" s="9"/>
      <c r="H1855" s="2">
        <f>IF(SUM(F1855:G1855)&gt;Instructions!$B$5,"Error",SUM(F1855:G1855))</f>
        <v>0</v>
      </c>
      <c r="I1855" s="8"/>
    </row>
    <row r="1856" spans="1:9">
      <c r="A1856" s="8"/>
      <c r="B1856" s="8"/>
      <c r="C1856" s="2">
        <f>F1856/Instructions!$B$5</f>
        <v>0</v>
      </c>
      <c r="D1856" s="2">
        <f>G1856/Instructions!$B$5</f>
        <v>0</v>
      </c>
      <c r="E1856" s="2">
        <f t="shared" si="29"/>
        <v>0</v>
      </c>
      <c r="F1856" s="9"/>
      <c r="G1856" s="9"/>
      <c r="H1856" s="2">
        <f>IF(SUM(F1856:G1856)&gt;Instructions!$B$5,"Error",SUM(F1856:G1856))</f>
        <v>0</v>
      </c>
      <c r="I1856" s="8"/>
    </row>
    <row r="1857" spans="1:9">
      <c r="A1857" s="8"/>
      <c r="B1857" s="8"/>
      <c r="C1857" s="2">
        <f>F1857/Instructions!$B$5</f>
        <v>0</v>
      </c>
      <c r="D1857" s="2">
        <f>G1857/Instructions!$B$5</f>
        <v>0</v>
      </c>
      <c r="E1857" s="2">
        <f t="shared" si="29"/>
        <v>0</v>
      </c>
      <c r="F1857" s="9"/>
      <c r="G1857" s="9"/>
      <c r="H1857" s="2">
        <f>IF(SUM(F1857:G1857)&gt;Instructions!$B$5,"Error",SUM(F1857:G1857))</f>
        <v>0</v>
      </c>
      <c r="I1857" s="8"/>
    </row>
    <row r="1858" spans="1:9">
      <c r="A1858" s="8"/>
      <c r="B1858" s="8"/>
      <c r="C1858" s="2">
        <f>F1858/Instructions!$B$5</f>
        <v>0</v>
      </c>
      <c r="D1858" s="2">
        <f>G1858/Instructions!$B$5</f>
        <v>0</v>
      </c>
      <c r="E1858" s="2">
        <f t="shared" si="29"/>
        <v>0</v>
      </c>
      <c r="F1858" s="9"/>
      <c r="G1858" s="9"/>
      <c r="H1858" s="2">
        <f>IF(SUM(F1858:G1858)&gt;Instructions!$B$5,"Error",SUM(F1858:G1858))</f>
        <v>0</v>
      </c>
      <c r="I1858" s="8"/>
    </row>
    <row r="1859" spans="1:9">
      <c r="A1859" s="8"/>
      <c r="B1859" s="8"/>
      <c r="C1859" s="2">
        <f>F1859/Instructions!$B$5</f>
        <v>0</v>
      </c>
      <c r="D1859" s="2">
        <f>G1859/Instructions!$B$5</f>
        <v>0</v>
      </c>
      <c r="E1859" s="2">
        <f t="shared" si="29"/>
        <v>0</v>
      </c>
      <c r="F1859" s="9"/>
      <c r="G1859" s="9"/>
      <c r="H1859" s="2">
        <f>IF(SUM(F1859:G1859)&gt;Instructions!$B$5,"Error",SUM(F1859:G1859))</f>
        <v>0</v>
      </c>
      <c r="I1859" s="8"/>
    </row>
    <row r="1860" spans="1:9">
      <c r="A1860" s="8"/>
      <c r="B1860" s="8"/>
      <c r="C1860" s="2">
        <f>F1860/Instructions!$B$5</f>
        <v>0</v>
      </c>
      <c r="D1860" s="2">
        <f>G1860/Instructions!$B$5</f>
        <v>0</v>
      </c>
      <c r="E1860" s="2">
        <f t="shared" si="29"/>
        <v>0</v>
      </c>
      <c r="F1860" s="9"/>
      <c r="G1860" s="9"/>
      <c r="H1860" s="2">
        <f>IF(SUM(F1860:G1860)&gt;Instructions!$B$5,"Error",SUM(F1860:G1860))</f>
        <v>0</v>
      </c>
      <c r="I1860" s="8"/>
    </row>
    <row r="1861" spans="1:9">
      <c r="A1861" s="8"/>
      <c r="B1861" s="8"/>
      <c r="C1861" s="2">
        <f>F1861/Instructions!$B$5</f>
        <v>0</v>
      </c>
      <c r="D1861" s="2">
        <f>G1861/Instructions!$B$5</f>
        <v>0</v>
      </c>
      <c r="E1861" s="2">
        <f t="shared" si="29"/>
        <v>0</v>
      </c>
      <c r="F1861" s="9"/>
      <c r="G1861" s="9"/>
      <c r="H1861" s="2">
        <f>IF(SUM(F1861:G1861)&gt;Instructions!$B$5,"Error",SUM(F1861:G1861))</f>
        <v>0</v>
      </c>
      <c r="I1861" s="8"/>
    </row>
    <row r="1862" spans="1:9">
      <c r="A1862" s="8"/>
      <c r="B1862" s="8"/>
      <c r="C1862" s="2">
        <f>F1862/Instructions!$B$5</f>
        <v>0</v>
      </c>
      <c r="D1862" s="2">
        <f>G1862/Instructions!$B$5</f>
        <v>0</v>
      </c>
      <c r="E1862" s="2">
        <f t="shared" si="29"/>
        <v>0</v>
      </c>
      <c r="F1862" s="9"/>
      <c r="G1862" s="9"/>
      <c r="H1862" s="2">
        <f>IF(SUM(F1862:G1862)&gt;Instructions!$B$5,"Error",SUM(F1862:G1862))</f>
        <v>0</v>
      </c>
      <c r="I1862" s="8"/>
    </row>
    <row r="1863" spans="1:9">
      <c r="A1863" s="8"/>
      <c r="B1863" s="8"/>
      <c r="C1863" s="2">
        <f>F1863/Instructions!$B$5</f>
        <v>0</v>
      </c>
      <c r="D1863" s="2">
        <f>G1863/Instructions!$B$5</f>
        <v>0</v>
      </c>
      <c r="E1863" s="2">
        <f t="shared" si="29"/>
        <v>0</v>
      </c>
      <c r="F1863" s="9"/>
      <c r="G1863" s="9"/>
      <c r="H1863" s="2">
        <f>IF(SUM(F1863:G1863)&gt;Instructions!$B$5,"Error",SUM(F1863:G1863))</f>
        <v>0</v>
      </c>
      <c r="I1863" s="8"/>
    </row>
    <row r="1864" spans="1:9">
      <c r="A1864" s="8"/>
      <c r="B1864" s="8"/>
      <c r="C1864" s="2">
        <f>F1864/Instructions!$B$5</f>
        <v>0</v>
      </c>
      <c r="D1864" s="2">
        <f>G1864/Instructions!$B$5</f>
        <v>0</v>
      </c>
      <c r="E1864" s="2">
        <f t="shared" ref="E1864:E1927" si="30">IF(SUM(C1864:D1864)&gt;1,"Error",SUM(C1864:D1864))</f>
        <v>0</v>
      </c>
      <c r="F1864" s="9"/>
      <c r="G1864" s="9"/>
      <c r="H1864" s="2">
        <f>IF(SUM(F1864:G1864)&gt;Instructions!$B$5,"Error",SUM(F1864:G1864))</f>
        <v>0</v>
      </c>
      <c r="I1864" s="8"/>
    </row>
    <row r="1865" spans="1:9">
      <c r="A1865" s="8"/>
      <c r="B1865" s="8"/>
      <c r="C1865" s="2">
        <f>F1865/Instructions!$B$5</f>
        <v>0</v>
      </c>
      <c r="D1865" s="2">
        <f>G1865/Instructions!$B$5</f>
        <v>0</v>
      </c>
      <c r="E1865" s="2">
        <f t="shared" si="30"/>
        <v>0</v>
      </c>
      <c r="F1865" s="9"/>
      <c r="G1865" s="9"/>
      <c r="H1865" s="2">
        <f>IF(SUM(F1865:G1865)&gt;Instructions!$B$5,"Error",SUM(F1865:G1865))</f>
        <v>0</v>
      </c>
      <c r="I1865" s="8"/>
    </row>
    <row r="1866" spans="1:9">
      <c r="A1866" s="8"/>
      <c r="B1866" s="8"/>
      <c r="C1866" s="2">
        <f>F1866/Instructions!$B$5</f>
        <v>0</v>
      </c>
      <c r="D1866" s="2">
        <f>G1866/Instructions!$B$5</f>
        <v>0</v>
      </c>
      <c r="E1866" s="2">
        <f t="shared" si="30"/>
        <v>0</v>
      </c>
      <c r="F1866" s="9"/>
      <c r="G1866" s="9"/>
      <c r="H1866" s="2">
        <f>IF(SUM(F1866:G1866)&gt;Instructions!$B$5,"Error",SUM(F1866:G1866))</f>
        <v>0</v>
      </c>
      <c r="I1866" s="8"/>
    </row>
    <row r="1867" spans="1:9">
      <c r="A1867" s="8"/>
      <c r="B1867" s="8"/>
      <c r="C1867" s="2">
        <f>F1867/Instructions!$B$5</f>
        <v>0</v>
      </c>
      <c r="D1867" s="2">
        <f>G1867/Instructions!$B$5</f>
        <v>0</v>
      </c>
      <c r="E1867" s="2">
        <f t="shared" si="30"/>
        <v>0</v>
      </c>
      <c r="F1867" s="9"/>
      <c r="G1867" s="9"/>
      <c r="H1867" s="2">
        <f>IF(SUM(F1867:G1867)&gt;Instructions!$B$5,"Error",SUM(F1867:G1867))</f>
        <v>0</v>
      </c>
      <c r="I1867" s="8"/>
    </row>
    <row r="1868" spans="1:9">
      <c r="A1868" s="8"/>
      <c r="B1868" s="8"/>
      <c r="C1868" s="2">
        <f>F1868/Instructions!$B$5</f>
        <v>0</v>
      </c>
      <c r="D1868" s="2">
        <f>G1868/Instructions!$B$5</f>
        <v>0</v>
      </c>
      <c r="E1868" s="2">
        <f t="shared" si="30"/>
        <v>0</v>
      </c>
      <c r="F1868" s="9"/>
      <c r="G1868" s="9"/>
      <c r="H1868" s="2">
        <f>IF(SUM(F1868:G1868)&gt;Instructions!$B$5,"Error",SUM(F1868:G1868))</f>
        <v>0</v>
      </c>
      <c r="I1868" s="8"/>
    </row>
    <row r="1869" spans="1:9">
      <c r="A1869" s="8"/>
      <c r="B1869" s="8"/>
      <c r="C1869" s="2">
        <f>F1869/Instructions!$B$5</f>
        <v>0</v>
      </c>
      <c r="D1869" s="2">
        <f>G1869/Instructions!$B$5</f>
        <v>0</v>
      </c>
      <c r="E1869" s="2">
        <f t="shared" si="30"/>
        <v>0</v>
      </c>
      <c r="F1869" s="9"/>
      <c r="G1869" s="9"/>
      <c r="H1869" s="2">
        <f>IF(SUM(F1869:G1869)&gt;Instructions!$B$5,"Error",SUM(F1869:G1869))</f>
        <v>0</v>
      </c>
      <c r="I1869" s="8"/>
    </row>
    <row r="1870" spans="1:9">
      <c r="A1870" s="8"/>
      <c r="B1870" s="8"/>
      <c r="C1870" s="2">
        <f>F1870/Instructions!$B$5</f>
        <v>0</v>
      </c>
      <c r="D1870" s="2">
        <f>G1870/Instructions!$B$5</f>
        <v>0</v>
      </c>
      <c r="E1870" s="2">
        <f t="shared" si="30"/>
        <v>0</v>
      </c>
      <c r="F1870" s="9"/>
      <c r="G1870" s="9"/>
      <c r="H1870" s="2">
        <f>IF(SUM(F1870:G1870)&gt;Instructions!$B$5,"Error",SUM(F1870:G1870))</f>
        <v>0</v>
      </c>
      <c r="I1870" s="8"/>
    </row>
    <row r="1871" spans="1:9">
      <c r="A1871" s="8"/>
      <c r="B1871" s="8"/>
      <c r="C1871" s="2">
        <f>F1871/Instructions!$B$5</f>
        <v>0</v>
      </c>
      <c r="D1871" s="2">
        <f>G1871/Instructions!$B$5</f>
        <v>0</v>
      </c>
      <c r="E1871" s="2">
        <f t="shared" si="30"/>
        <v>0</v>
      </c>
      <c r="F1871" s="9"/>
      <c r="G1871" s="9"/>
      <c r="H1871" s="2">
        <f>IF(SUM(F1871:G1871)&gt;Instructions!$B$5,"Error",SUM(F1871:G1871))</f>
        <v>0</v>
      </c>
      <c r="I1871" s="8"/>
    </row>
    <row r="1872" spans="1:9">
      <c r="A1872" s="8"/>
      <c r="B1872" s="8"/>
      <c r="C1872" s="2">
        <f>F1872/Instructions!$B$5</f>
        <v>0</v>
      </c>
      <c r="D1872" s="2">
        <f>G1872/Instructions!$B$5</f>
        <v>0</v>
      </c>
      <c r="E1872" s="2">
        <f t="shared" si="30"/>
        <v>0</v>
      </c>
      <c r="F1872" s="9"/>
      <c r="G1872" s="9"/>
      <c r="H1872" s="2">
        <f>IF(SUM(F1872:G1872)&gt;Instructions!$B$5,"Error",SUM(F1872:G1872))</f>
        <v>0</v>
      </c>
      <c r="I1872" s="8"/>
    </row>
    <row r="1873" spans="1:9">
      <c r="A1873" s="8"/>
      <c r="B1873" s="8"/>
      <c r="C1873" s="2">
        <f>F1873/Instructions!$B$5</f>
        <v>0</v>
      </c>
      <c r="D1873" s="2">
        <f>G1873/Instructions!$B$5</f>
        <v>0</v>
      </c>
      <c r="E1873" s="2">
        <f t="shared" si="30"/>
        <v>0</v>
      </c>
      <c r="F1873" s="9"/>
      <c r="G1873" s="9"/>
      <c r="H1873" s="2">
        <f>IF(SUM(F1873:G1873)&gt;Instructions!$B$5,"Error",SUM(F1873:G1873))</f>
        <v>0</v>
      </c>
      <c r="I1873" s="8"/>
    </row>
    <row r="1874" spans="1:9">
      <c r="A1874" s="8"/>
      <c r="B1874" s="8"/>
      <c r="C1874" s="2">
        <f>F1874/Instructions!$B$5</f>
        <v>0</v>
      </c>
      <c r="D1874" s="2">
        <f>G1874/Instructions!$B$5</f>
        <v>0</v>
      </c>
      <c r="E1874" s="2">
        <f t="shared" si="30"/>
        <v>0</v>
      </c>
      <c r="F1874" s="9"/>
      <c r="G1874" s="9"/>
      <c r="H1874" s="2">
        <f>IF(SUM(F1874:G1874)&gt;Instructions!$B$5,"Error",SUM(F1874:G1874))</f>
        <v>0</v>
      </c>
      <c r="I1874" s="8"/>
    </row>
    <row r="1875" spans="1:9">
      <c r="A1875" s="8"/>
      <c r="B1875" s="8"/>
      <c r="C1875" s="2">
        <f>F1875/Instructions!$B$5</f>
        <v>0</v>
      </c>
      <c r="D1875" s="2">
        <f>G1875/Instructions!$B$5</f>
        <v>0</v>
      </c>
      <c r="E1875" s="2">
        <f t="shared" si="30"/>
        <v>0</v>
      </c>
      <c r="F1875" s="9"/>
      <c r="G1875" s="9"/>
      <c r="H1875" s="2">
        <f>IF(SUM(F1875:G1875)&gt;Instructions!$B$5,"Error",SUM(F1875:G1875))</f>
        <v>0</v>
      </c>
      <c r="I1875" s="8"/>
    </row>
    <row r="1876" spans="1:9">
      <c r="A1876" s="8"/>
      <c r="B1876" s="8"/>
      <c r="C1876" s="2">
        <f>F1876/Instructions!$B$5</f>
        <v>0</v>
      </c>
      <c r="D1876" s="2">
        <f>G1876/Instructions!$B$5</f>
        <v>0</v>
      </c>
      <c r="E1876" s="2">
        <f t="shared" si="30"/>
        <v>0</v>
      </c>
      <c r="F1876" s="9"/>
      <c r="G1876" s="9"/>
      <c r="H1876" s="2">
        <f>IF(SUM(F1876:G1876)&gt;Instructions!$B$5,"Error",SUM(F1876:G1876))</f>
        <v>0</v>
      </c>
      <c r="I1876" s="8"/>
    </row>
    <row r="1877" spans="1:9">
      <c r="A1877" s="8"/>
      <c r="B1877" s="8"/>
      <c r="C1877" s="2">
        <f>F1877/Instructions!$B$5</f>
        <v>0</v>
      </c>
      <c r="D1877" s="2">
        <f>G1877/Instructions!$B$5</f>
        <v>0</v>
      </c>
      <c r="E1877" s="2">
        <f t="shared" si="30"/>
        <v>0</v>
      </c>
      <c r="F1877" s="9"/>
      <c r="G1877" s="9"/>
      <c r="H1877" s="2">
        <f>IF(SUM(F1877:G1877)&gt;Instructions!$B$5,"Error",SUM(F1877:G1877))</f>
        <v>0</v>
      </c>
      <c r="I1877" s="8"/>
    </row>
    <row r="1878" spans="1:9">
      <c r="A1878" s="8"/>
      <c r="B1878" s="8"/>
      <c r="C1878" s="2">
        <f>F1878/Instructions!$B$5</f>
        <v>0</v>
      </c>
      <c r="D1878" s="2">
        <f>G1878/Instructions!$B$5</f>
        <v>0</v>
      </c>
      <c r="E1878" s="2">
        <f t="shared" si="30"/>
        <v>0</v>
      </c>
      <c r="F1878" s="9"/>
      <c r="G1878" s="9"/>
      <c r="H1878" s="2">
        <f>IF(SUM(F1878:G1878)&gt;Instructions!$B$5,"Error",SUM(F1878:G1878))</f>
        <v>0</v>
      </c>
      <c r="I1878" s="8"/>
    </row>
    <row r="1879" spans="1:9">
      <c r="A1879" s="8"/>
      <c r="B1879" s="8"/>
      <c r="C1879" s="2">
        <f>F1879/Instructions!$B$5</f>
        <v>0</v>
      </c>
      <c r="D1879" s="2">
        <f>G1879/Instructions!$B$5</f>
        <v>0</v>
      </c>
      <c r="E1879" s="2">
        <f t="shared" si="30"/>
        <v>0</v>
      </c>
      <c r="F1879" s="9"/>
      <c r="G1879" s="9"/>
      <c r="H1879" s="2">
        <f>IF(SUM(F1879:G1879)&gt;Instructions!$B$5,"Error",SUM(F1879:G1879))</f>
        <v>0</v>
      </c>
      <c r="I1879" s="8"/>
    </row>
    <row r="1880" spans="1:9">
      <c r="A1880" s="8"/>
      <c r="B1880" s="8"/>
      <c r="C1880" s="2">
        <f>F1880/Instructions!$B$5</f>
        <v>0</v>
      </c>
      <c r="D1880" s="2">
        <f>G1880/Instructions!$B$5</f>
        <v>0</v>
      </c>
      <c r="E1880" s="2">
        <f t="shared" si="30"/>
        <v>0</v>
      </c>
      <c r="F1880" s="9"/>
      <c r="G1880" s="9"/>
      <c r="H1880" s="2">
        <f>IF(SUM(F1880:G1880)&gt;Instructions!$B$5,"Error",SUM(F1880:G1880))</f>
        <v>0</v>
      </c>
      <c r="I1880" s="8"/>
    </row>
    <row r="1881" spans="1:9">
      <c r="A1881" s="8"/>
      <c r="B1881" s="8"/>
      <c r="C1881" s="2">
        <f>F1881/Instructions!$B$5</f>
        <v>0</v>
      </c>
      <c r="D1881" s="2">
        <f>G1881/Instructions!$B$5</f>
        <v>0</v>
      </c>
      <c r="E1881" s="2">
        <f t="shared" si="30"/>
        <v>0</v>
      </c>
      <c r="F1881" s="9"/>
      <c r="G1881" s="9"/>
      <c r="H1881" s="2">
        <f>IF(SUM(F1881:G1881)&gt;Instructions!$B$5,"Error",SUM(F1881:G1881))</f>
        <v>0</v>
      </c>
      <c r="I1881" s="8"/>
    </row>
    <row r="1882" spans="1:9">
      <c r="A1882" s="8"/>
      <c r="B1882" s="8"/>
      <c r="C1882" s="2">
        <f>F1882/Instructions!$B$5</f>
        <v>0</v>
      </c>
      <c r="D1882" s="2">
        <f>G1882/Instructions!$B$5</f>
        <v>0</v>
      </c>
      <c r="E1882" s="2">
        <f t="shared" si="30"/>
        <v>0</v>
      </c>
      <c r="F1882" s="9"/>
      <c r="G1882" s="9"/>
      <c r="H1882" s="2">
        <f>IF(SUM(F1882:G1882)&gt;Instructions!$B$5,"Error",SUM(F1882:G1882))</f>
        <v>0</v>
      </c>
      <c r="I1882" s="8"/>
    </row>
    <row r="1883" spans="1:9">
      <c r="A1883" s="8"/>
      <c r="B1883" s="8"/>
      <c r="C1883" s="2">
        <f>F1883/Instructions!$B$5</f>
        <v>0</v>
      </c>
      <c r="D1883" s="2">
        <f>G1883/Instructions!$B$5</f>
        <v>0</v>
      </c>
      <c r="E1883" s="2">
        <f t="shared" si="30"/>
        <v>0</v>
      </c>
      <c r="F1883" s="9"/>
      <c r="G1883" s="9"/>
      <c r="H1883" s="2">
        <f>IF(SUM(F1883:G1883)&gt;Instructions!$B$5,"Error",SUM(F1883:G1883))</f>
        <v>0</v>
      </c>
      <c r="I1883" s="8"/>
    </row>
    <row r="1884" spans="1:9">
      <c r="A1884" s="8"/>
      <c r="B1884" s="8"/>
      <c r="C1884" s="2">
        <f>F1884/Instructions!$B$5</f>
        <v>0</v>
      </c>
      <c r="D1884" s="2">
        <f>G1884/Instructions!$B$5</f>
        <v>0</v>
      </c>
      <c r="E1884" s="2">
        <f t="shared" si="30"/>
        <v>0</v>
      </c>
      <c r="F1884" s="9"/>
      <c r="G1884" s="9"/>
      <c r="H1884" s="2">
        <f>IF(SUM(F1884:G1884)&gt;Instructions!$B$5,"Error",SUM(F1884:G1884))</f>
        <v>0</v>
      </c>
      <c r="I1884" s="8"/>
    </row>
    <row r="1885" spans="1:9">
      <c r="A1885" s="8"/>
      <c r="B1885" s="8"/>
      <c r="C1885" s="2">
        <f>F1885/Instructions!$B$5</f>
        <v>0</v>
      </c>
      <c r="D1885" s="2">
        <f>G1885/Instructions!$B$5</f>
        <v>0</v>
      </c>
      <c r="E1885" s="2">
        <f t="shared" si="30"/>
        <v>0</v>
      </c>
      <c r="F1885" s="9"/>
      <c r="G1885" s="9"/>
      <c r="H1885" s="2">
        <f>IF(SUM(F1885:G1885)&gt;Instructions!$B$5,"Error",SUM(F1885:G1885))</f>
        <v>0</v>
      </c>
      <c r="I1885" s="8"/>
    </row>
    <row r="1886" spans="1:9">
      <c r="A1886" s="8"/>
      <c r="B1886" s="8"/>
      <c r="C1886" s="2">
        <f>F1886/Instructions!$B$5</f>
        <v>0</v>
      </c>
      <c r="D1886" s="2">
        <f>G1886/Instructions!$B$5</f>
        <v>0</v>
      </c>
      <c r="E1886" s="2">
        <f t="shared" si="30"/>
        <v>0</v>
      </c>
      <c r="F1886" s="9"/>
      <c r="G1886" s="9"/>
      <c r="H1886" s="2">
        <f>IF(SUM(F1886:G1886)&gt;Instructions!$B$5,"Error",SUM(F1886:G1886))</f>
        <v>0</v>
      </c>
      <c r="I1886" s="8"/>
    </row>
    <row r="1887" spans="1:9">
      <c r="A1887" s="8"/>
      <c r="B1887" s="8"/>
      <c r="C1887" s="2">
        <f>F1887/Instructions!$B$5</f>
        <v>0</v>
      </c>
      <c r="D1887" s="2">
        <f>G1887/Instructions!$B$5</f>
        <v>0</v>
      </c>
      <c r="E1887" s="2">
        <f t="shared" si="30"/>
        <v>0</v>
      </c>
      <c r="F1887" s="9"/>
      <c r="G1887" s="9"/>
      <c r="H1887" s="2">
        <f>IF(SUM(F1887:G1887)&gt;Instructions!$B$5,"Error",SUM(F1887:G1887))</f>
        <v>0</v>
      </c>
      <c r="I1887" s="8"/>
    </row>
    <row r="1888" spans="1:9">
      <c r="A1888" s="8"/>
      <c r="B1888" s="8"/>
      <c r="C1888" s="2">
        <f>F1888/Instructions!$B$5</f>
        <v>0</v>
      </c>
      <c r="D1888" s="2">
        <f>G1888/Instructions!$B$5</f>
        <v>0</v>
      </c>
      <c r="E1888" s="2">
        <f t="shared" si="30"/>
        <v>0</v>
      </c>
      <c r="F1888" s="9"/>
      <c r="G1888" s="9"/>
      <c r="H1888" s="2">
        <f>IF(SUM(F1888:G1888)&gt;Instructions!$B$5,"Error",SUM(F1888:G1888))</f>
        <v>0</v>
      </c>
      <c r="I1888" s="8"/>
    </row>
    <row r="1889" spans="1:9">
      <c r="A1889" s="8"/>
      <c r="B1889" s="8"/>
      <c r="C1889" s="2">
        <f>F1889/Instructions!$B$5</f>
        <v>0</v>
      </c>
      <c r="D1889" s="2">
        <f>G1889/Instructions!$B$5</f>
        <v>0</v>
      </c>
      <c r="E1889" s="2">
        <f t="shared" si="30"/>
        <v>0</v>
      </c>
      <c r="F1889" s="9"/>
      <c r="G1889" s="9"/>
      <c r="H1889" s="2">
        <f>IF(SUM(F1889:G1889)&gt;Instructions!$B$5,"Error",SUM(F1889:G1889))</f>
        <v>0</v>
      </c>
      <c r="I1889" s="8"/>
    </row>
    <row r="1890" spans="1:9">
      <c r="A1890" s="8"/>
      <c r="B1890" s="8"/>
      <c r="C1890" s="2">
        <f>F1890/Instructions!$B$5</f>
        <v>0</v>
      </c>
      <c r="D1890" s="2">
        <f>G1890/Instructions!$B$5</f>
        <v>0</v>
      </c>
      <c r="E1890" s="2">
        <f t="shared" si="30"/>
        <v>0</v>
      </c>
      <c r="F1890" s="9"/>
      <c r="G1890" s="9"/>
      <c r="H1890" s="2">
        <f>IF(SUM(F1890:G1890)&gt;Instructions!$B$5,"Error",SUM(F1890:G1890))</f>
        <v>0</v>
      </c>
      <c r="I1890" s="8"/>
    </row>
    <row r="1891" spans="1:9">
      <c r="A1891" s="8"/>
      <c r="B1891" s="8"/>
      <c r="C1891" s="2">
        <f>F1891/Instructions!$B$5</f>
        <v>0</v>
      </c>
      <c r="D1891" s="2">
        <f>G1891/Instructions!$B$5</f>
        <v>0</v>
      </c>
      <c r="E1891" s="2">
        <f t="shared" si="30"/>
        <v>0</v>
      </c>
      <c r="F1891" s="9"/>
      <c r="G1891" s="9"/>
      <c r="H1891" s="2">
        <f>IF(SUM(F1891:G1891)&gt;Instructions!$B$5,"Error",SUM(F1891:G1891))</f>
        <v>0</v>
      </c>
      <c r="I1891" s="8"/>
    </row>
    <row r="1892" spans="1:9">
      <c r="A1892" s="8"/>
      <c r="B1892" s="8"/>
      <c r="C1892" s="2">
        <f>F1892/Instructions!$B$5</f>
        <v>0</v>
      </c>
      <c r="D1892" s="2">
        <f>G1892/Instructions!$B$5</f>
        <v>0</v>
      </c>
      <c r="E1892" s="2">
        <f t="shared" si="30"/>
        <v>0</v>
      </c>
      <c r="F1892" s="9"/>
      <c r="G1892" s="9"/>
      <c r="H1892" s="2">
        <f>IF(SUM(F1892:G1892)&gt;Instructions!$B$5,"Error",SUM(F1892:G1892))</f>
        <v>0</v>
      </c>
      <c r="I1892" s="8"/>
    </row>
    <row r="1893" spans="1:9">
      <c r="A1893" s="8"/>
      <c r="B1893" s="8"/>
      <c r="C1893" s="2">
        <f>F1893/Instructions!$B$5</f>
        <v>0</v>
      </c>
      <c r="D1893" s="2">
        <f>G1893/Instructions!$B$5</f>
        <v>0</v>
      </c>
      <c r="E1893" s="2">
        <f t="shared" si="30"/>
        <v>0</v>
      </c>
      <c r="F1893" s="9"/>
      <c r="G1893" s="9"/>
      <c r="H1893" s="2">
        <f>IF(SUM(F1893:G1893)&gt;Instructions!$B$5,"Error",SUM(F1893:G1893))</f>
        <v>0</v>
      </c>
      <c r="I1893" s="8"/>
    </row>
    <row r="1894" spans="1:9">
      <c r="A1894" s="8"/>
      <c r="B1894" s="8"/>
      <c r="C1894" s="2">
        <f>F1894/Instructions!$B$5</f>
        <v>0</v>
      </c>
      <c r="D1894" s="2">
        <f>G1894/Instructions!$B$5</f>
        <v>0</v>
      </c>
      <c r="E1894" s="2">
        <f t="shared" si="30"/>
        <v>0</v>
      </c>
      <c r="F1894" s="9"/>
      <c r="G1894" s="9"/>
      <c r="H1894" s="2">
        <f>IF(SUM(F1894:G1894)&gt;Instructions!$B$5,"Error",SUM(F1894:G1894))</f>
        <v>0</v>
      </c>
      <c r="I1894" s="8"/>
    </row>
    <row r="1895" spans="1:9">
      <c r="A1895" s="8"/>
      <c r="B1895" s="8"/>
      <c r="C1895" s="2">
        <f>F1895/Instructions!$B$5</f>
        <v>0</v>
      </c>
      <c r="D1895" s="2">
        <f>G1895/Instructions!$B$5</f>
        <v>0</v>
      </c>
      <c r="E1895" s="2">
        <f t="shared" si="30"/>
        <v>0</v>
      </c>
      <c r="F1895" s="9"/>
      <c r="G1895" s="9"/>
      <c r="H1895" s="2">
        <f>IF(SUM(F1895:G1895)&gt;Instructions!$B$5,"Error",SUM(F1895:G1895))</f>
        <v>0</v>
      </c>
      <c r="I1895" s="8"/>
    </row>
    <row r="1896" spans="1:9">
      <c r="A1896" s="8"/>
      <c r="B1896" s="8"/>
      <c r="C1896" s="2">
        <f>F1896/Instructions!$B$5</f>
        <v>0</v>
      </c>
      <c r="D1896" s="2">
        <f>G1896/Instructions!$B$5</f>
        <v>0</v>
      </c>
      <c r="E1896" s="2">
        <f t="shared" si="30"/>
        <v>0</v>
      </c>
      <c r="F1896" s="9"/>
      <c r="G1896" s="9"/>
      <c r="H1896" s="2">
        <f>IF(SUM(F1896:G1896)&gt;Instructions!$B$5,"Error",SUM(F1896:G1896))</f>
        <v>0</v>
      </c>
      <c r="I1896" s="8"/>
    </row>
    <row r="1897" spans="1:9">
      <c r="A1897" s="8"/>
      <c r="B1897" s="8"/>
      <c r="C1897" s="2">
        <f>F1897/Instructions!$B$5</f>
        <v>0</v>
      </c>
      <c r="D1897" s="2">
        <f>G1897/Instructions!$B$5</f>
        <v>0</v>
      </c>
      <c r="E1897" s="2">
        <f t="shared" si="30"/>
        <v>0</v>
      </c>
      <c r="F1897" s="9"/>
      <c r="G1897" s="9"/>
      <c r="H1897" s="2">
        <f>IF(SUM(F1897:G1897)&gt;Instructions!$B$5,"Error",SUM(F1897:G1897))</f>
        <v>0</v>
      </c>
      <c r="I1897" s="8"/>
    </row>
    <row r="1898" spans="1:9">
      <c r="A1898" s="8"/>
      <c r="B1898" s="8"/>
      <c r="C1898" s="2">
        <f>F1898/Instructions!$B$5</f>
        <v>0</v>
      </c>
      <c r="D1898" s="2">
        <f>G1898/Instructions!$B$5</f>
        <v>0</v>
      </c>
      <c r="E1898" s="2">
        <f t="shared" si="30"/>
        <v>0</v>
      </c>
      <c r="F1898" s="9"/>
      <c r="G1898" s="9"/>
      <c r="H1898" s="2">
        <f>IF(SUM(F1898:G1898)&gt;Instructions!$B$5,"Error",SUM(F1898:G1898))</f>
        <v>0</v>
      </c>
      <c r="I1898" s="8"/>
    </row>
    <row r="1899" spans="1:9">
      <c r="A1899" s="8"/>
      <c r="B1899" s="8"/>
      <c r="C1899" s="2">
        <f>F1899/Instructions!$B$5</f>
        <v>0</v>
      </c>
      <c r="D1899" s="2">
        <f>G1899/Instructions!$B$5</f>
        <v>0</v>
      </c>
      <c r="E1899" s="2">
        <f t="shared" si="30"/>
        <v>0</v>
      </c>
      <c r="F1899" s="9"/>
      <c r="G1899" s="9"/>
      <c r="H1899" s="2">
        <f>IF(SUM(F1899:G1899)&gt;Instructions!$B$5,"Error",SUM(F1899:G1899))</f>
        <v>0</v>
      </c>
      <c r="I1899" s="8"/>
    </row>
    <row r="1900" spans="1:9">
      <c r="A1900" s="8"/>
      <c r="B1900" s="8"/>
      <c r="C1900" s="2">
        <f>F1900/Instructions!$B$5</f>
        <v>0</v>
      </c>
      <c r="D1900" s="2">
        <f>G1900/Instructions!$B$5</f>
        <v>0</v>
      </c>
      <c r="E1900" s="2">
        <f t="shared" si="30"/>
        <v>0</v>
      </c>
      <c r="F1900" s="9"/>
      <c r="G1900" s="9"/>
      <c r="H1900" s="2">
        <f>IF(SUM(F1900:G1900)&gt;Instructions!$B$5,"Error",SUM(F1900:G1900))</f>
        <v>0</v>
      </c>
      <c r="I1900" s="8"/>
    </row>
    <row r="1901" spans="1:9">
      <c r="A1901" s="8"/>
      <c r="B1901" s="8"/>
      <c r="C1901" s="2">
        <f>F1901/Instructions!$B$5</f>
        <v>0</v>
      </c>
      <c r="D1901" s="2">
        <f>G1901/Instructions!$B$5</f>
        <v>0</v>
      </c>
      <c r="E1901" s="2">
        <f t="shared" si="30"/>
        <v>0</v>
      </c>
      <c r="F1901" s="9"/>
      <c r="G1901" s="9"/>
      <c r="H1901" s="2">
        <f>IF(SUM(F1901:G1901)&gt;Instructions!$B$5,"Error",SUM(F1901:G1901))</f>
        <v>0</v>
      </c>
      <c r="I1901" s="8"/>
    </row>
    <row r="1902" spans="1:9">
      <c r="A1902" s="8"/>
      <c r="B1902" s="8"/>
      <c r="C1902" s="2">
        <f>F1902/Instructions!$B$5</f>
        <v>0</v>
      </c>
      <c r="D1902" s="2">
        <f>G1902/Instructions!$B$5</f>
        <v>0</v>
      </c>
      <c r="E1902" s="2">
        <f t="shared" si="30"/>
        <v>0</v>
      </c>
      <c r="F1902" s="9"/>
      <c r="G1902" s="9"/>
      <c r="H1902" s="2">
        <f>IF(SUM(F1902:G1902)&gt;Instructions!$B$5,"Error",SUM(F1902:G1902))</f>
        <v>0</v>
      </c>
      <c r="I1902" s="8"/>
    </row>
    <row r="1903" spans="1:9">
      <c r="A1903" s="8"/>
      <c r="B1903" s="8"/>
      <c r="C1903" s="2">
        <f>F1903/Instructions!$B$5</f>
        <v>0</v>
      </c>
      <c r="D1903" s="2">
        <f>G1903/Instructions!$B$5</f>
        <v>0</v>
      </c>
      <c r="E1903" s="2">
        <f t="shared" si="30"/>
        <v>0</v>
      </c>
      <c r="F1903" s="9"/>
      <c r="G1903" s="9"/>
      <c r="H1903" s="2">
        <f>IF(SUM(F1903:G1903)&gt;Instructions!$B$5,"Error",SUM(F1903:G1903))</f>
        <v>0</v>
      </c>
      <c r="I1903" s="8"/>
    </row>
    <row r="1904" spans="1:9">
      <c r="A1904" s="8"/>
      <c r="B1904" s="8"/>
      <c r="C1904" s="2">
        <f>F1904/Instructions!$B$5</f>
        <v>0</v>
      </c>
      <c r="D1904" s="2">
        <f>G1904/Instructions!$B$5</f>
        <v>0</v>
      </c>
      <c r="E1904" s="2">
        <f t="shared" si="30"/>
        <v>0</v>
      </c>
      <c r="F1904" s="9"/>
      <c r="G1904" s="9"/>
      <c r="H1904" s="2">
        <f>IF(SUM(F1904:G1904)&gt;Instructions!$B$5,"Error",SUM(F1904:G1904))</f>
        <v>0</v>
      </c>
      <c r="I1904" s="8"/>
    </row>
    <row r="1905" spans="1:9">
      <c r="A1905" s="8"/>
      <c r="B1905" s="8"/>
      <c r="C1905" s="2">
        <f>F1905/Instructions!$B$5</f>
        <v>0</v>
      </c>
      <c r="D1905" s="2">
        <f>G1905/Instructions!$B$5</f>
        <v>0</v>
      </c>
      <c r="E1905" s="2">
        <f t="shared" si="30"/>
        <v>0</v>
      </c>
      <c r="F1905" s="9"/>
      <c r="G1905" s="9"/>
      <c r="H1905" s="2">
        <f>IF(SUM(F1905:G1905)&gt;Instructions!$B$5,"Error",SUM(F1905:G1905))</f>
        <v>0</v>
      </c>
      <c r="I1905" s="8"/>
    </row>
    <row r="1906" spans="1:9">
      <c r="A1906" s="8"/>
      <c r="B1906" s="8"/>
      <c r="C1906" s="2">
        <f>F1906/Instructions!$B$5</f>
        <v>0</v>
      </c>
      <c r="D1906" s="2">
        <f>G1906/Instructions!$B$5</f>
        <v>0</v>
      </c>
      <c r="E1906" s="2">
        <f t="shared" si="30"/>
        <v>0</v>
      </c>
      <c r="F1906" s="9"/>
      <c r="G1906" s="9"/>
      <c r="H1906" s="2">
        <f>IF(SUM(F1906:G1906)&gt;Instructions!$B$5,"Error",SUM(F1906:G1906))</f>
        <v>0</v>
      </c>
      <c r="I1906" s="8"/>
    </row>
    <row r="1907" spans="1:9">
      <c r="A1907" s="8"/>
      <c r="B1907" s="8"/>
      <c r="C1907" s="2">
        <f>F1907/Instructions!$B$5</f>
        <v>0</v>
      </c>
      <c r="D1907" s="2">
        <f>G1907/Instructions!$B$5</f>
        <v>0</v>
      </c>
      <c r="E1907" s="2">
        <f t="shared" si="30"/>
        <v>0</v>
      </c>
      <c r="F1907" s="9"/>
      <c r="G1907" s="9"/>
      <c r="H1907" s="2">
        <f>IF(SUM(F1907:G1907)&gt;Instructions!$B$5,"Error",SUM(F1907:G1907))</f>
        <v>0</v>
      </c>
      <c r="I1907" s="8"/>
    </row>
    <row r="1908" spans="1:9">
      <c r="A1908" s="8"/>
      <c r="B1908" s="8"/>
      <c r="C1908" s="2">
        <f>F1908/Instructions!$B$5</f>
        <v>0</v>
      </c>
      <c r="D1908" s="2">
        <f>G1908/Instructions!$B$5</f>
        <v>0</v>
      </c>
      <c r="E1908" s="2">
        <f t="shared" si="30"/>
        <v>0</v>
      </c>
      <c r="F1908" s="9"/>
      <c r="G1908" s="9"/>
      <c r="H1908" s="2">
        <f>IF(SUM(F1908:G1908)&gt;Instructions!$B$5,"Error",SUM(F1908:G1908))</f>
        <v>0</v>
      </c>
      <c r="I1908" s="8"/>
    </row>
    <row r="1909" spans="1:9">
      <c r="A1909" s="8"/>
      <c r="B1909" s="8"/>
      <c r="C1909" s="2">
        <f>F1909/Instructions!$B$5</f>
        <v>0</v>
      </c>
      <c r="D1909" s="2">
        <f>G1909/Instructions!$B$5</f>
        <v>0</v>
      </c>
      <c r="E1909" s="2">
        <f t="shared" si="30"/>
        <v>0</v>
      </c>
      <c r="F1909" s="9"/>
      <c r="G1909" s="9"/>
      <c r="H1909" s="2">
        <f>IF(SUM(F1909:G1909)&gt;Instructions!$B$5,"Error",SUM(F1909:G1909))</f>
        <v>0</v>
      </c>
      <c r="I1909" s="8"/>
    </row>
    <row r="1910" spans="1:9">
      <c r="A1910" s="8"/>
      <c r="B1910" s="8"/>
      <c r="C1910" s="2">
        <f>F1910/Instructions!$B$5</f>
        <v>0</v>
      </c>
      <c r="D1910" s="2">
        <f>G1910/Instructions!$B$5</f>
        <v>0</v>
      </c>
      <c r="E1910" s="2">
        <f t="shared" si="30"/>
        <v>0</v>
      </c>
      <c r="F1910" s="9"/>
      <c r="G1910" s="9"/>
      <c r="H1910" s="2">
        <f>IF(SUM(F1910:G1910)&gt;Instructions!$B$5,"Error",SUM(F1910:G1910))</f>
        <v>0</v>
      </c>
      <c r="I1910" s="8"/>
    </row>
    <row r="1911" spans="1:9">
      <c r="A1911" s="8"/>
      <c r="B1911" s="8"/>
      <c r="C1911" s="2">
        <f>F1911/Instructions!$B$5</f>
        <v>0</v>
      </c>
      <c r="D1911" s="2">
        <f>G1911/Instructions!$B$5</f>
        <v>0</v>
      </c>
      <c r="E1911" s="2">
        <f t="shared" si="30"/>
        <v>0</v>
      </c>
      <c r="F1911" s="9"/>
      <c r="G1911" s="9"/>
      <c r="H1911" s="2">
        <f>IF(SUM(F1911:G1911)&gt;Instructions!$B$5,"Error",SUM(F1911:G1911))</f>
        <v>0</v>
      </c>
      <c r="I1911" s="8"/>
    </row>
    <row r="1912" spans="1:9">
      <c r="A1912" s="8"/>
      <c r="B1912" s="8"/>
      <c r="C1912" s="2">
        <f>F1912/Instructions!$B$5</f>
        <v>0</v>
      </c>
      <c r="D1912" s="2">
        <f>G1912/Instructions!$B$5</f>
        <v>0</v>
      </c>
      <c r="E1912" s="2">
        <f t="shared" si="30"/>
        <v>0</v>
      </c>
      <c r="F1912" s="9"/>
      <c r="G1912" s="9"/>
      <c r="H1912" s="2">
        <f>IF(SUM(F1912:G1912)&gt;Instructions!$B$5,"Error",SUM(F1912:G1912))</f>
        <v>0</v>
      </c>
      <c r="I1912" s="8"/>
    </row>
    <row r="1913" spans="1:9">
      <c r="A1913" s="8"/>
      <c r="B1913" s="8"/>
      <c r="C1913" s="2">
        <f>F1913/Instructions!$B$5</f>
        <v>0</v>
      </c>
      <c r="D1913" s="2">
        <f>G1913/Instructions!$B$5</f>
        <v>0</v>
      </c>
      <c r="E1913" s="2">
        <f t="shared" si="30"/>
        <v>0</v>
      </c>
      <c r="F1913" s="9"/>
      <c r="G1913" s="9"/>
      <c r="H1913" s="2">
        <f>IF(SUM(F1913:G1913)&gt;Instructions!$B$5,"Error",SUM(F1913:G1913))</f>
        <v>0</v>
      </c>
      <c r="I1913" s="8"/>
    </row>
    <row r="1914" spans="1:9">
      <c r="A1914" s="8"/>
      <c r="B1914" s="8"/>
      <c r="C1914" s="2">
        <f>F1914/Instructions!$B$5</f>
        <v>0</v>
      </c>
      <c r="D1914" s="2">
        <f>G1914/Instructions!$B$5</f>
        <v>0</v>
      </c>
      <c r="E1914" s="2">
        <f t="shared" si="30"/>
        <v>0</v>
      </c>
      <c r="F1914" s="9"/>
      <c r="G1914" s="9"/>
      <c r="H1914" s="2">
        <f>IF(SUM(F1914:G1914)&gt;Instructions!$B$5,"Error",SUM(F1914:G1914))</f>
        <v>0</v>
      </c>
      <c r="I1914" s="8"/>
    </row>
    <row r="1915" spans="1:9">
      <c r="A1915" s="8"/>
      <c r="B1915" s="8"/>
      <c r="C1915" s="2">
        <f>F1915/Instructions!$B$5</f>
        <v>0</v>
      </c>
      <c r="D1915" s="2">
        <f>G1915/Instructions!$B$5</f>
        <v>0</v>
      </c>
      <c r="E1915" s="2">
        <f t="shared" si="30"/>
        <v>0</v>
      </c>
      <c r="F1915" s="9"/>
      <c r="G1915" s="9"/>
      <c r="H1915" s="2">
        <f>IF(SUM(F1915:G1915)&gt;Instructions!$B$5,"Error",SUM(F1915:G1915))</f>
        <v>0</v>
      </c>
      <c r="I1915" s="8"/>
    </row>
    <row r="1916" spans="1:9">
      <c r="A1916" s="8"/>
      <c r="B1916" s="8"/>
      <c r="C1916" s="2">
        <f>F1916/Instructions!$B$5</f>
        <v>0</v>
      </c>
      <c r="D1916" s="2">
        <f>G1916/Instructions!$B$5</f>
        <v>0</v>
      </c>
      <c r="E1916" s="2">
        <f t="shared" si="30"/>
        <v>0</v>
      </c>
      <c r="F1916" s="9"/>
      <c r="G1916" s="9"/>
      <c r="H1916" s="2">
        <f>IF(SUM(F1916:G1916)&gt;Instructions!$B$5,"Error",SUM(F1916:G1916))</f>
        <v>0</v>
      </c>
      <c r="I1916" s="8"/>
    </row>
    <row r="1917" spans="1:9">
      <c r="A1917" s="8"/>
      <c r="B1917" s="8"/>
      <c r="C1917" s="2">
        <f>F1917/Instructions!$B$5</f>
        <v>0</v>
      </c>
      <c r="D1917" s="2">
        <f>G1917/Instructions!$B$5</f>
        <v>0</v>
      </c>
      <c r="E1917" s="2">
        <f t="shared" si="30"/>
        <v>0</v>
      </c>
      <c r="F1917" s="9"/>
      <c r="G1917" s="9"/>
      <c r="H1917" s="2">
        <f>IF(SUM(F1917:G1917)&gt;Instructions!$B$5,"Error",SUM(F1917:G1917))</f>
        <v>0</v>
      </c>
      <c r="I1917" s="8"/>
    </row>
    <row r="1918" spans="1:9">
      <c r="A1918" s="8"/>
      <c r="B1918" s="8"/>
      <c r="C1918" s="2">
        <f>F1918/Instructions!$B$5</f>
        <v>0</v>
      </c>
      <c r="D1918" s="2">
        <f>G1918/Instructions!$B$5</f>
        <v>0</v>
      </c>
      <c r="E1918" s="2">
        <f t="shared" si="30"/>
        <v>0</v>
      </c>
      <c r="F1918" s="9"/>
      <c r="G1918" s="9"/>
      <c r="H1918" s="2">
        <f>IF(SUM(F1918:G1918)&gt;Instructions!$B$5,"Error",SUM(F1918:G1918))</f>
        <v>0</v>
      </c>
      <c r="I1918" s="8"/>
    </row>
    <row r="1919" spans="1:9">
      <c r="A1919" s="8"/>
      <c r="B1919" s="8"/>
      <c r="C1919" s="2">
        <f>F1919/Instructions!$B$5</f>
        <v>0</v>
      </c>
      <c r="D1919" s="2">
        <f>G1919/Instructions!$B$5</f>
        <v>0</v>
      </c>
      <c r="E1919" s="2">
        <f t="shared" si="30"/>
        <v>0</v>
      </c>
      <c r="F1919" s="9"/>
      <c r="G1919" s="9"/>
      <c r="H1919" s="2">
        <f>IF(SUM(F1919:G1919)&gt;Instructions!$B$5,"Error",SUM(F1919:G1919))</f>
        <v>0</v>
      </c>
      <c r="I1919" s="8"/>
    </row>
    <row r="1920" spans="1:9">
      <c r="A1920" s="8"/>
      <c r="B1920" s="8"/>
      <c r="C1920" s="2">
        <f>F1920/Instructions!$B$5</f>
        <v>0</v>
      </c>
      <c r="D1920" s="2">
        <f>G1920/Instructions!$B$5</f>
        <v>0</v>
      </c>
      <c r="E1920" s="2">
        <f t="shared" si="30"/>
        <v>0</v>
      </c>
      <c r="F1920" s="9"/>
      <c r="G1920" s="9"/>
      <c r="H1920" s="2">
        <f>IF(SUM(F1920:G1920)&gt;Instructions!$B$5,"Error",SUM(F1920:G1920))</f>
        <v>0</v>
      </c>
      <c r="I1920" s="8"/>
    </row>
    <row r="1921" spans="1:9">
      <c r="A1921" s="8"/>
      <c r="B1921" s="8"/>
      <c r="C1921" s="2">
        <f>F1921/Instructions!$B$5</f>
        <v>0</v>
      </c>
      <c r="D1921" s="2">
        <f>G1921/Instructions!$B$5</f>
        <v>0</v>
      </c>
      <c r="E1921" s="2">
        <f t="shared" si="30"/>
        <v>0</v>
      </c>
      <c r="F1921" s="9"/>
      <c r="G1921" s="9"/>
      <c r="H1921" s="2">
        <f>IF(SUM(F1921:G1921)&gt;Instructions!$B$5,"Error",SUM(F1921:G1921))</f>
        <v>0</v>
      </c>
      <c r="I1921" s="8"/>
    </row>
    <row r="1922" spans="1:9">
      <c r="A1922" s="8"/>
      <c r="B1922" s="8"/>
      <c r="C1922" s="2">
        <f>F1922/Instructions!$B$5</f>
        <v>0</v>
      </c>
      <c r="D1922" s="2">
        <f>G1922/Instructions!$B$5</f>
        <v>0</v>
      </c>
      <c r="E1922" s="2">
        <f t="shared" si="30"/>
        <v>0</v>
      </c>
      <c r="F1922" s="9"/>
      <c r="G1922" s="9"/>
      <c r="H1922" s="2">
        <f>IF(SUM(F1922:G1922)&gt;Instructions!$B$5,"Error",SUM(F1922:G1922))</f>
        <v>0</v>
      </c>
      <c r="I1922" s="8"/>
    </row>
    <row r="1923" spans="1:9">
      <c r="A1923" s="8"/>
      <c r="B1923" s="8"/>
      <c r="C1923" s="2">
        <f>F1923/Instructions!$B$5</f>
        <v>0</v>
      </c>
      <c r="D1923" s="2">
        <f>G1923/Instructions!$B$5</f>
        <v>0</v>
      </c>
      <c r="E1923" s="2">
        <f t="shared" si="30"/>
        <v>0</v>
      </c>
      <c r="F1923" s="9"/>
      <c r="G1923" s="9"/>
      <c r="H1923" s="2">
        <f>IF(SUM(F1923:G1923)&gt;Instructions!$B$5,"Error",SUM(F1923:G1923))</f>
        <v>0</v>
      </c>
      <c r="I1923" s="8"/>
    </row>
    <row r="1924" spans="1:9">
      <c r="A1924" s="8"/>
      <c r="B1924" s="8"/>
      <c r="C1924" s="2">
        <f>F1924/Instructions!$B$5</f>
        <v>0</v>
      </c>
      <c r="D1924" s="2">
        <f>G1924/Instructions!$B$5</f>
        <v>0</v>
      </c>
      <c r="E1924" s="2">
        <f t="shared" si="30"/>
        <v>0</v>
      </c>
      <c r="F1924" s="9"/>
      <c r="G1924" s="9"/>
      <c r="H1924" s="2">
        <f>IF(SUM(F1924:G1924)&gt;Instructions!$B$5,"Error",SUM(F1924:G1924))</f>
        <v>0</v>
      </c>
      <c r="I1924" s="8"/>
    </row>
    <row r="1925" spans="1:9">
      <c r="A1925" s="8"/>
      <c r="B1925" s="8"/>
      <c r="C1925" s="2">
        <f>F1925/Instructions!$B$5</f>
        <v>0</v>
      </c>
      <c r="D1925" s="2">
        <f>G1925/Instructions!$B$5</f>
        <v>0</v>
      </c>
      <c r="E1925" s="2">
        <f t="shared" si="30"/>
        <v>0</v>
      </c>
      <c r="F1925" s="9"/>
      <c r="G1925" s="9"/>
      <c r="H1925" s="2">
        <f>IF(SUM(F1925:G1925)&gt;Instructions!$B$5,"Error",SUM(F1925:G1925))</f>
        <v>0</v>
      </c>
      <c r="I1925" s="8"/>
    </row>
    <row r="1926" spans="1:9">
      <c r="A1926" s="8"/>
      <c r="B1926" s="8"/>
      <c r="C1926" s="2">
        <f>F1926/Instructions!$B$5</f>
        <v>0</v>
      </c>
      <c r="D1926" s="2">
        <f>G1926/Instructions!$B$5</f>
        <v>0</v>
      </c>
      <c r="E1926" s="2">
        <f t="shared" si="30"/>
        <v>0</v>
      </c>
      <c r="F1926" s="9"/>
      <c r="G1926" s="9"/>
      <c r="H1926" s="2">
        <f>IF(SUM(F1926:G1926)&gt;Instructions!$B$5,"Error",SUM(F1926:G1926))</f>
        <v>0</v>
      </c>
      <c r="I1926" s="8"/>
    </row>
    <row r="1927" spans="1:9">
      <c r="A1927" s="8"/>
      <c r="B1927" s="8"/>
      <c r="C1927" s="2">
        <f>F1927/Instructions!$B$5</f>
        <v>0</v>
      </c>
      <c r="D1927" s="2">
        <f>G1927/Instructions!$B$5</f>
        <v>0</v>
      </c>
      <c r="E1927" s="2">
        <f t="shared" si="30"/>
        <v>0</v>
      </c>
      <c r="F1927" s="9"/>
      <c r="G1927" s="9"/>
      <c r="H1927" s="2">
        <f>IF(SUM(F1927:G1927)&gt;Instructions!$B$5,"Error",SUM(F1927:G1927))</f>
        <v>0</v>
      </c>
      <c r="I1927" s="8"/>
    </row>
    <row r="1928" spans="1:9">
      <c r="A1928" s="8"/>
      <c r="B1928" s="8"/>
      <c r="C1928" s="2">
        <f>F1928/Instructions!$B$5</f>
        <v>0</v>
      </c>
      <c r="D1928" s="2">
        <f>G1928/Instructions!$B$5</f>
        <v>0</v>
      </c>
      <c r="E1928" s="2">
        <f t="shared" ref="E1928:E1991" si="31">IF(SUM(C1928:D1928)&gt;1,"Error",SUM(C1928:D1928))</f>
        <v>0</v>
      </c>
      <c r="F1928" s="9"/>
      <c r="G1928" s="9"/>
      <c r="H1928" s="2">
        <f>IF(SUM(F1928:G1928)&gt;Instructions!$B$5,"Error",SUM(F1928:G1928))</f>
        <v>0</v>
      </c>
      <c r="I1928" s="8"/>
    </row>
    <row r="1929" spans="1:9">
      <c r="A1929" s="8"/>
      <c r="B1929" s="8"/>
      <c r="C1929" s="2">
        <f>F1929/Instructions!$B$5</f>
        <v>0</v>
      </c>
      <c r="D1929" s="2">
        <f>G1929/Instructions!$B$5</f>
        <v>0</v>
      </c>
      <c r="E1929" s="2">
        <f t="shared" si="31"/>
        <v>0</v>
      </c>
      <c r="F1929" s="9"/>
      <c r="G1929" s="9"/>
      <c r="H1929" s="2">
        <f>IF(SUM(F1929:G1929)&gt;Instructions!$B$5,"Error",SUM(F1929:G1929))</f>
        <v>0</v>
      </c>
      <c r="I1929" s="8"/>
    </row>
    <row r="1930" spans="1:9">
      <c r="A1930" s="8"/>
      <c r="B1930" s="8"/>
      <c r="C1930" s="2">
        <f>F1930/Instructions!$B$5</f>
        <v>0</v>
      </c>
      <c r="D1930" s="2">
        <f>G1930/Instructions!$B$5</f>
        <v>0</v>
      </c>
      <c r="E1930" s="2">
        <f t="shared" si="31"/>
        <v>0</v>
      </c>
      <c r="F1930" s="9"/>
      <c r="G1930" s="9"/>
      <c r="H1930" s="2">
        <f>IF(SUM(F1930:G1930)&gt;Instructions!$B$5,"Error",SUM(F1930:G1930))</f>
        <v>0</v>
      </c>
      <c r="I1930" s="8"/>
    </row>
    <row r="1931" spans="1:9">
      <c r="A1931" s="8"/>
      <c r="B1931" s="8"/>
      <c r="C1931" s="2">
        <f>F1931/Instructions!$B$5</f>
        <v>0</v>
      </c>
      <c r="D1931" s="2">
        <f>G1931/Instructions!$B$5</f>
        <v>0</v>
      </c>
      <c r="E1931" s="2">
        <f t="shared" si="31"/>
        <v>0</v>
      </c>
      <c r="F1931" s="9"/>
      <c r="G1931" s="9"/>
      <c r="H1931" s="2">
        <f>IF(SUM(F1931:G1931)&gt;Instructions!$B$5,"Error",SUM(F1931:G1931))</f>
        <v>0</v>
      </c>
      <c r="I1931" s="8"/>
    </row>
    <row r="1932" spans="1:9">
      <c r="A1932" s="8"/>
      <c r="B1932" s="8"/>
      <c r="C1932" s="2">
        <f>F1932/Instructions!$B$5</f>
        <v>0</v>
      </c>
      <c r="D1932" s="2">
        <f>G1932/Instructions!$B$5</f>
        <v>0</v>
      </c>
      <c r="E1932" s="2">
        <f t="shared" si="31"/>
        <v>0</v>
      </c>
      <c r="F1932" s="9"/>
      <c r="G1932" s="9"/>
      <c r="H1932" s="2">
        <f>IF(SUM(F1932:G1932)&gt;Instructions!$B$5,"Error",SUM(F1932:G1932))</f>
        <v>0</v>
      </c>
      <c r="I1932" s="8"/>
    </row>
    <row r="1933" spans="1:9">
      <c r="A1933" s="8"/>
      <c r="B1933" s="8"/>
      <c r="C1933" s="2">
        <f>F1933/Instructions!$B$5</f>
        <v>0</v>
      </c>
      <c r="D1933" s="2">
        <f>G1933/Instructions!$B$5</f>
        <v>0</v>
      </c>
      <c r="E1933" s="2">
        <f t="shared" si="31"/>
        <v>0</v>
      </c>
      <c r="F1933" s="9"/>
      <c r="G1933" s="9"/>
      <c r="H1933" s="2">
        <f>IF(SUM(F1933:G1933)&gt;Instructions!$B$5,"Error",SUM(F1933:G1933))</f>
        <v>0</v>
      </c>
      <c r="I1933" s="8"/>
    </row>
    <row r="1934" spans="1:9">
      <c r="A1934" s="8"/>
      <c r="B1934" s="8"/>
      <c r="C1934" s="2">
        <f>F1934/Instructions!$B$5</f>
        <v>0</v>
      </c>
      <c r="D1934" s="2">
        <f>G1934/Instructions!$B$5</f>
        <v>0</v>
      </c>
      <c r="E1934" s="2">
        <f t="shared" si="31"/>
        <v>0</v>
      </c>
      <c r="F1934" s="9"/>
      <c r="G1934" s="9"/>
      <c r="H1934" s="2">
        <f>IF(SUM(F1934:G1934)&gt;Instructions!$B$5,"Error",SUM(F1934:G1934))</f>
        <v>0</v>
      </c>
      <c r="I1934" s="8"/>
    </row>
    <row r="1935" spans="1:9">
      <c r="A1935" s="8"/>
      <c r="B1935" s="8"/>
      <c r="C1935" s="2">
        <f>F1935/Instructions!$B$5</f>
        <v>0</v>
      </c>
      <c r="D1935" s="2">
        <f>G1935/Instructions!$B$5</f>
        <v>0</v>
      </c>
      <c r="E1935" s="2">
        <f t="shared" si="31"/>
        <v>0</v>
      </c>
      <c r="F1935" s="9"/>
      <c r="G1935" s="9"/>
      <c r="H1935" s="2">
        <f>IF(SUM(F1935:G1935)&gt;Instructions!$B$5,"Error",SUM(F1935:G1935))</f>
        <v>0</v>
      </c>
      <c r="I1935" s="8"/>
    </row>
    <row r="1936" spans="1:9">
      <c r="A1936" s="8"/>
      <c r="B1936" s="8"/>
      <c r="C1936" s="2">
        <f>F1936/Instructions!$B$5</f>
        <v>0</v>
      </c>
      <c r="D1936" s="2">
        <f>G1936/Instructions!$B$5</f>
        <v>0</v>
      </c>
      <c r="E1936" s="2">
        <f t="shared" si="31"/>
        <v>0</v>
      </c>
      <c r="F1936" s="9"/>
      <c r="G1936" s="9"/>
      <c r="H1936" s="2">
        <f>IF(SUM(F1936:G1936)&gt;Instructions!$B$5,"Error",SUM(F1936:G1936))</f>
        <v>0</v>
      </c>
      <c r="I1936" s="8"/>
    </row>
    <row r="1937" spans="1:9">
      <c r="A1937" s="8"/>
      <c r="B1937" s="8"/>
      <c r="C1937" s="2">
        <f>F1937/Instructions!$B$5</f>
        <v>0</v>
      </c>
      <c r="D1937" s="2">
        <f>G1937/Instructions!$B$5</f>
        <v>0</v>
      </c>
      <c r="E1937" s="2">
        <f t="shared" si="31"/>
        <v>0</v>
      </c>
      <c r="F1937" s="9"/>
      <c r="G1937" s="9"/>
      <c r="H1937" s="2">
        <f>IF(SUM(F1937:G1937)&gt;Instructions!$B$5,"Error",SUM(F1937:G1937))</f>
        <v>0</v>
      </c>
      <c r="I1937" s="8"/>
    </row>
    <row r="1938" spans="1:9">
      <c r="A1938" s="8"/>
      <c r="B1938" s="8"/>
      <c r="C1938" s="2">
        <f>F1938/Instructions!$B$5</f>
        <v>0</v>
      </c>
      <c r="D1938" s="2">
        <f>G1938/Instructions!$B$5</f>
        <v>0</v>
      </c>
      <c r="E1938" s="2">
        <f t="shared" si="31"/>
        <v>0</v>
      </c>
      <c r="F1938" s="9"/>
      <c r="G1938" s="9"/>
      <c r="H1938" s="2">
        <f>IF(SUM(F1938:G1938)&gt;Instructions!$B$5,"Error",SUM(F1938:G1938))</f>
        <v>0</v>
      </c>
      <c r="I1938" s="8"/>
    </row>
    <row r="1939" spans="1:9">
      <c r="A1939" s="8"/>
      <c r="B1939" s="8"/>
      <c r="C1939" s="2">
        <f>F1939/Instructions!$B$5</f>
        <v>0</v>
      </c>
      <c r="D1939" s="2">
        <f>G1939/Instructions!$B$5</f>
        <v>0</v>
      </c>
      <c r="E1939" s="2">
        <f t="shared" si="31"/>
        <v>0</v>
      </c>
      <c r="F1939" s="9"/>
      <c r="G1939" s="9"/>
      <c r="H1939" s="2">
        <f>IF(SUM(F1939:G1939)&gt;Instructions!$B$5,"Error",SUM(F1939:G1939))</f>
        <v>0</v>
      </c>
      <c r="I1939" s="8"/>
    </row>
    <row r="1940" spans="1:9">
      <c r="A1940" s="8"/>
      <c r="B1940" s="8"/>
      <c r="C1940" s="2">
        <f>F1940/Instructions!$B$5</f>
        <v>0</v>
      </c>
      <c r="D1940" s="2">
        <f>G1940/Instructions!$B$5</f>
        <v>0</v>
      </c>
      <c r="E1940" s="2">
        <f t="shared" si="31"/>
        <v>0</v>
      </c>
      <c r="F1940" s="9"/>
      <c r="G1940" s="9"/>
      <c r="H1940" s="2">
        <f>IF(SUM(F1940:G1940)&gt;Instructions!$B$5,"Error",SUM(F1940:G1940))</f>
        <v>0</v>
      </c>
      <c r="I1940" s="8"/>
    </row>
    <row r="1941" spans="1:9">
      <c r="A1941" s="8"/>
      <c r="B1941" s="8"/>
      <c r="C1941" s="2">
        <f>F1941/Instructions!$B$5</f>
        <v>0</v>
      </c>
      <c r="D1941" s="2">
        <f>G1941/Instructions!$B$5</f>
        <v>0</v>
      </c>
      <c r="E1941" s="2">
        <f t="shared" si="31"/>
        <v>0</v>
      </c>
      <c r="F1941" s="9"/>
      <c r="G1941" s="9"/>
      <c r="H1941" s="2">
        <f>IF(SUM(F1941:G1941)&gt;Instructions!$B$5,"Error",SUM(F1941:G1941))</f>
        <v>0</v>
      </c>
      <c r="I1941" s="8"/>
    </row>
    <row r="1942" spans="1:9">
      <c r="A1942" s="8"/>
      <c r="B1942" s="8"/>
      <c r="C1942" s="2">
        <f>F1942/Instructions!$B$5</f>
        <v>0</v>
      </c>
      <c r="D1942" s="2">
        <f>G1942/Instructions!$B$5</f>
        <v>0</v>
      </c>
      <c r="E1942" s="2">
        <f t="shared" si="31"/>
        <v>0</v>
      </c>
      <c r="F1942" s="9"/>
      <c r="G1942" s="9"/>
      <c r="H1942" s="2">
        <f>IF(SUM(F1942:G1942)&gt;Instructions!$B$5,"Error",SUM(F1942:G1942))</f>
        <v>0</v>
      </c>
      <c r="I1942" s="8"/>
    </row>
    <row r="1943" spans="1:9">
      <c r="A1943" s="8"/>
      <c r="B1943" s="8"/>
      <c r="C1943" s="2">
        <f>F1943/Instructions!$B$5</f>
        <v>0</v>
      </c>
      <c r="D1943" s="2">
        <f>G1943/Instructions!$B$5</f>
        <v>0</v>
      </c>
      <c r="E1943" s="2">
        <f t="shared" si="31"/>
        <v>0</v>
      </c>
      <c r="F1943" s="9"/>
      <c r="G1943" s="9"/>
      <c r="H1943" s="2">
        <f>IF(SUM(F1943:G1943)&gt;Instructions!$B$5,"Error",SUM(F1943:G1943))</f>
        <v>0</v>
      </c>
      <c r="I1943" s="8"/>
    </row>
    <row r="1944" spans="1:9">
      <c r="A1944" s="8"/>
      <c r="B1944" s="8"/>
      <c r="C1944" s="2">
        <f>F1944/Instructions!$B$5</f>
        <v>0</v>
      </c>
      <c r="D1944" s="2">
        <f>G1944/Instructions!$B$5</f>
        <v>0</v>
      </c>
      <c r="E1944" s="2">
        <f t="shared" si="31"/>
        <v>0</v>
      </c>
      <c r="F1944" s="9"/>
      <c r="G1944" s="9"/>
      <c r="H1944" s="2">
        <f>IF(SUM(F1944:G1944)&gt;Instructions!$B$5,"Error",SUM(F1944:G1944))</f>
        <v>0</v>
      </c>
      <c r="I1944" s="8"/>
    </row>
    <row r="1945" spans="1:9">
      <c r="A1945" s="8"/>
      <c r="B1945" s="8"/>
      <c r="C1945" s="2">
        <f>F1945/Instructions!$B$5</f>
        <v>0</v>
      </c>
      <c r="D1945" s="2">
        <f>G1945/Instructions!$B$5</f>
        <v>0</v>
      </c>
      <c r="E1945" s="2">
        <f t="shared" si="31"/>
        <v>0</v>
      </c>
      <c r="F1945" s="9"/>
      <c r="G1945" s="9"/>
      <c r="H1945" s="2">
        <f>IF(SUM(F1945:G1945)&gt;Instructions!$B$5,"Error",SUM(F1945:G1945))</f>
        <v>0</v>
      </c>
      <c r="I1945" s="8"/>
    </row>
    <row r="1946" spans="1:9">
      <c r="A1946" s="8"/>
      <c r="B1946" s="8"/>
      <c r="C1946" s="2">
        <f>F1946/Instructions!$B$5</f>
        <v>0</v>
      </c>
      <c r="D1946" s="2">
        <f>G1946/Instructions!$B$5</f>
        <v>0</v>
      </c>
      <c r="E1946" s="2">
        <f t="shared" si="31"/>
        <v>0</v>
      </c>
      <c r="F1946" s="9"/>
      <c r="G1946" s="9"/>
      <c r="H1946" s="2">
        <f>IF(SUM(F1946:G1946)&gt;Instructions!$B$5,"Error",SUM(F1946:G1946))</f>
        <v>0</v>
      </c>
      <c r="I1946" s="8"/>
    </row>
    <row r="1947" spans="1:9">
      <c r="A1947" s="8"/>
      <c r="B1947" s="8"/>
      <c r="C1947" s="2">
        <f>F1947/Instructions!$B$5</f>
        <v>0</v>
      </c>
      <c r="D1947" s="2">
        <f>G1947/Instructions!$B$5</f>
        <v>0</v>
      </c>
      <c r="E1947" s="2">
        <f t="shared" si="31"/>
        <v>0</v>
      </c>
      <c r="F1947" s="9"/>
      <c r="G1947" s="9"/>
      <c r="H1947" s="2">
        <f>IF(SUM(F1947:G1947)&gt;Instructions!$B$5,"Error",SUM(F1947:G1947))</f>
        <v>0</v>
      </c>
      <c r="I1947" s="8"/>
    </row>
    <row r="1948" spans="1:9">
      <c r="A1948" s="8"/>
      <c r="B1948" s="8"/>
      <c r="C1948" s="2">
        <f>F1948/Instructions!$B$5</f>
        <v>0</v>
      </c>
      <c r="D1948" s="2">
        <f>G1948/Instructions!$B$5</f>
        <v>0</v>
      </c>
      <c r="E1948" s="2">
        <f t="shared" si="31"/>
        <v>0</v>
      </c>
      <c r="F1948" s="9"/>
      <c r="G1948" s="9"/>
      <c r="H1948" s="2">
        <f>IF(SUM(F1948:G1948)&gt;Instructions!$B$5,"Error",SUM(F1948:G1948))</f>
        <v>0</v>
      </c>
      <c r="I1948" s="8"/>
    </row>
    <row r="1949" spans="1:9">
      <c r="A1949" s="8"/>
      <c r="B1949" s="8"/>
      <c r="C1949" s="2">
        <f>F1949/Instructions!$B$5</f>
        <v>0</v>
      </c>
      <c r="D1949" s="2">
        <f>G1949/Instructions!$B$5</f>
        <v>0</v>
      </c>
      <c r="E1949" s="2">
        <f t="shared" si="31"/>
        <v>0</v>
      </c>
      <c r="F1949" s="9"/>
      <c r="G1949" s="9"/>
      <c r="H1949" s="2">
        <f>IF(SUM(F1949:G1949)&gt;Instructions!$B$5,"Error",SUM(F1949:G1949))</f>
        <v>0</v>
      </c>
      <c r="I1949" s="8"/>
    </row>
    <row r="1950" spans="1:9">
      <c r="A1950" s="8"/>
      <c r="B1950" s="8"/>
      <c r="C1950" s="2">
        <f>F1950/Instructions!$B$5</f>
        <v>0</v>
      </c>
      <c r="D1950" s="2">
        <f>G1950/Instructions!$B$5</f>
        <v>0</v>
      </c>
      <c r="E1950" s="2">
        <f t="shared" si="31"/>
        <v>0</v>
      </c>
      <c r="F1950" s="9"/>
      <c r="G1950" s="9"/>
      <c r="H1950" s="2">
        <f>IF(SUM(F1950:G1950)&gt;Instructions!$B$5,"Error",SUM(F1950:G1950))</f>
        <v>0</v>
      </c>
      <c r="I1950" s="8"/>
    </row>
    <row r="1951" spans="1:9">
      <c r="A1951" s="8"/>
      <c r="B1951" s="8"/>
      <c r="C1951" s="2">
        <f>F1951/Instructions!$B$5</f>
        <v>0</v>
      </c>
      <c r="D1951" s="2">
        <f>G1951/Instructions!$B$5</f>
        <v>0</v>
      </c>
      <c r="E1951" s="2">
        <f t="shared" si="31"/>
        <v>0</v>
      </c>
      <c r="F1951" s="9"/>
      <c r="G1951" s="9"/>
      <c r="H1951" s="2">
        <f>IF(SUM(F1951:G1951)&gt;Instructions!$B$5,"Error",SUM(F1951:G1951))</f>
        <v>0</v>
      </c>
      <c r="I1951" s="8"/>
    </row>
    <row r="1952" spans="1:9">
      <c r="A1952" s="8"/>
      <c r="B1952" s="8"/>
      <c r="C1952" s="2">
        <f>F1952/Instructions!$B$5</f>
        <v>0</v>
      </c>
      <c r="D1952" s="2">
        <f>G1952/Instructions!$B$5</f>
        <v>0</v>
      </c>
      <c r="E1952" s="2">
        <f t="shared" si="31"/>
        <v>0</v>
      </c>
      <c r="F1952" s="9"/>
      <c r="G1952" s="9"/>
      <c r="H1952" s="2">
        <f>IF(SUM(F1952:G1952)&gt;Instructions!$B$5,"Error",SUM(F1952:G1952))</f>
        <v>0</v>
      </c>
      <c r="I1952" s="8"/>
    </row>
    <row r="1953" spans="1:9">
      <c r="A1953" s="8"/>
      <c r="B1953" s="8"/>
      <c r="C1953" s="2">
        <f>F1953/Instructions!$B$5</f>
        <v>0</v>
      </c>
      <c r="D1953" s="2">
        <f>G1953/Instructions!$B$5</f>
        <v>0</v>
      </c>
      <c r="E1953" s="2">
        <f t="shared" si="31"/>
        <v>0</v>
      </c>
      <c r="F1953" s="9"/>
      <c r="G1953" s="9"/>
      <c r="H1953" s="2">
        <f>IF(SUM(F1953:G1953)&gt;Instructions!$B$5,"Error",SUM(F1953:G1953))</f>
        <v>0</v>
      </c>
      <c r="I1953" s="8"/>
    </row>
    <row r="1954" spans="1:9">
      <c r="A1954" s="8"/>
      <c r="B1954" s="8"/>
      <c r="C1954" s="2">
        <f>F1954/Instructions!$B$5</f>
        <v>0</v>
      </c>
      <c r="D1954" s="2">
        <f>G1954/Instructions!$B$5</f>
        <v>0</v>
      </c>
      <c r="E1954" s="2">
        <f t="shared" si="31"/>
        <v>0</v>
      </c>
      <c r="F1954" s="9"/>
      <c r="G1954" s="9"/>
      <c r="H1954" s="2">
        <f>IF(SUM(F1954:G1954)&gt;Instructions!$B$5,"Error",SUM(F1954:G1954))</f>
        <v>0</v>
      </c>
      <c r="I1954" s="8"/>
    </row>
    <row r="1955" spans="1:9">
      <c r="A1955" s="8"/>
      <c r="B1955" s="8"/>
      <c r="C1955" s="2">
        <f>F1955/Instructions!$B$5</f>
        <v>0</v>
      </c>
      <c r="D1955" s="2">
        <f>G1955/Instructions!$B$5</f>
        <v>0</v>
      </c>
      <c r="E1955" s="2">
        <f t="shared" si="31"/>
        <v>0</v>
      </c>
      <c r="F1955" s="9"/>
      <c r="G1955" s="9"/>
      <c r="H1955" s="2">
        <f>IF(SUM(F1955:G1955)&gt;Instructions!$B$5,"Error",SUM(F1955:G1955))</f>
        <v>0</v>
      </c>
      <c r="I1955" s="8"/>
    </row>
    <row r="1956" spans="1:9">
      <c r="A1956" s="8"/>
      <c r="B1956" s="8"/>
      <c r="C1956" s="2">
        <f>F1956/Instructions!$B$5</f>
        <v>0</v>
      </c>
      <c r="D1956" s="2">
        <f>G1956/Instructions!$B$5</f>
        <v>0</v>
      </c>
      <c r="E1956" s="2">
        <f t="shared" si="31"/>
        <v>0</v>
      </c>
      <c r="F1956" s="9"/>
      <c r="G1956" s="9"/>
      <c r="H1956" s="2">
        <f>IF(SUM(F1956:G1956)&gt;Instructions!$B$5,"Error",SUM(F1956:G1956))</f>
        <v>0</v>
      </c>
      <c r="I1956" s="8"/>
    </row>
    <row r="1957" spans="1:9">
      <c r="A1957" s="8"/>
      <c r="B1957" s="8"/>
      <c r="C1957" s="2">
        <f>F1957/Instructions!$B$5</f>
        <v>0</v>
      </c>
      <c r="D1957" s="2">
        <f>G1957/Instructions!$B$5</f>
        <v>0</v>
      </c>
      <c r="E1957" s="2">
        <f t="shared" si="31"/>
        <v>0</v>
      </c>
      <c r="F1957" s="9"/>
      <c r="G1957" s="9"/>
      <c r="H1957" s="2">
        <f>IF(SUM(F1957:G1957)&gt;Instructions!$B$5,"Error",SUM(F1957:G1957))</f>
        <v>0</v>
      </c>
      <c r="I1957" s="8"/>
    </row>
    <row r="1958" spans="1:9">
      <c r="A1958" s="8"/>
      <c r="B1958" s="8"/>
      <c r="C1958" s="2">
        <f>F1958/Instructions!$B$5</f>
        <v>0</v>
      </c>
      <c r="D1958" s="2">
        <f>G1958/Instructions!$B$5</f>
        <v>0</v>
      </c>
      <c r="E1958" s="2">
        <f t="shared" si="31"/>
        <v>0</v>
      </c>
      <c r="F1958" s="9"/>
      <c r="G1958" s="9"/>
      <c r="H1958" s="2">
        <f>IF(SUM(F1958:G1958)&gt;Instructions!$B$5,"Error",SUM(F1958:G1958))</f>
        <v>0</v>
      </c>
      <c r="I1958" s="8"/>
    </row>
    <row r="1959" spans="1:9">
      <c r="A1959" s="8"/>
      <c r="B1959" s="8"/>
      <c r="C1959" s="2">
        <f>F1959/Instructions!$B$5</f>
        <v>0</v>
      </c>
      <c r="D1959" s="2">
        <f>G1959/Instructions!$B$5</f>
        <v>0</v>
      </c>
      <c r="E1959" s="2">
        <f t="shared" si="31"/>
        <v>0</v>
      </c>
      <c r="F1959" s="9"/>
      <c r="G1959" s="9"/>
      <c r="H1959" s="2">
        <f>IF(SUM(F1959:G1959)&gt;Instructions!$B$5,"Error",SUM(F1959:G1959))</f>
        <v>0</v>
      </c>
      <c r="I1959" s="8"/>
    </row>
    <row r="1960" spans="1:9">
      <c r="A1960" s="8"/>
      <c r="B1960" s="8"/>
      <c r="C1960" s="2">
        <f>F1960/Instructions!$B$5</f>
        <v>0</v>
      </c>
      <c r="D1960" s="2">
        <f>G1960/Instructions!$B$5</f>
        <v>0</v>
      </c>
      <c r="E1960" s="2">
        <f t="shared" si="31"/>
        <v>0</v>
      </c>
      <c r="F1960" s="9"/>
      <c r="G1960" s="9"/>
      <c r="H1960" s="2">
        <f>IF(SUM(F1960:G1960)&gt;Instructions!$B$5,"Error",SUM(F1960:G1960))</f>
        <v>0</v>
      </c>
      <c r="I1960" s="8"/>
    </row>
    <row r="1961" spans="1:9">
      <c r="A1961" s="8"/>
      <c r="B1961" s="8"/>
      <c r="C1961" s="2">
        <f>F1961/Instructions!$B$5</f>
        <v>0</v>
      </c>
      <c r="D1961" s="2">
        <f>G1961/Instructions!$B$5</f>
        <v>0</v>
      </c>
      <c r="E1961" s="2">
        <f t="shared" si="31"/>
        <v>0</v>
      </c>
      <c r="F1961" s="9"/>
      <c r="G1961" s="9"/>
      <c r="H1961" s="2">
        <f>IF(SUM(F1961:G1961)&gt;Instructions!$B$5,"Error",SUM(F1961:G1961))</f>
        <v>0</v>
      </c>
      <c r="I1961" s="8"/>
    </row>
    <row r="1962" spans="1:9">
      <c r="A1962" s="8"/>
      <c r="B1962" s="8"/>
      <c r="C1962" s="2">
        <f>F1962/Instructions!$B$5</f>
        <v>0</v>
      </c>
      <c r="D1962" s="2">
        <f>G1962/Instructions!$B$5</f>
        <v>0</v>
      </c>
      <c r="E1962" s="2">
        <f t="shared" si="31"/>
        <v>0</v>
      </c>
      <c r="F1962" s="9"/>
      <c r="G1962" s="9"/>
      <c r="H1962" s="2">
        <f>IF(SUM(F1962:G1962)&gt;Instructions!$B$5,"Error",SUM(F1962:G1962))</f>
        <v>0</v>
      </c>
      <c r="I1962" s="8"/>
    </row>
    <row r="1963" spans="1:9">
      <c r="A1963" s="8"/>
      <c r="B1963" s="8"/>
      <c r="C1963" s="2">
        <f>F1963/Instructions!$B$5</f>
        <v>0</v>
      </c>
      <c r="D1963" s="2">
        <f>G1963/Instructions!$B$5</f>
        <v>0</v>
      </c>
      <c r="E1963" s="2">
        <f t="shared" si="31"/>
        <v>0</v>
      </c>
      <c r="F1963" s="9"/>
      <c r="G1963" s="9"/>
      <c r="H1963" s="2">
        <f>IF(SUM(F1963:G1963)&gt;Instructions!$B$5,"Error",SUM(F1963:G1963))</f>
        <v>0</v>
      </c>
      <c r="I1963" s="8"/>
    </row>
    <row r="1964" spans="1:9">
      <c r="A1964" s="8"/>
      <c r="B1964" s="8"/>
      <c r="C1964" s="2">
        <f>F1964/Instructions!$B$5</f>
        <v>0</v>
      </c>
      <c r="D1964" s="2">
        <f>G1964/Instructions!$B$5</f>
        <v>0</v>
      </c>
      <c r="E1964" s="2">
        <f t="shared" si="31"/>
        <v>0</v>
      </c>
      <c r="F1964" s="9"/>
      <c r="G1964" s="9"/>
      <c r="H1964" s="2">
        <f>IF(SUM(F1964:G1964)&gt;Instructions!$B$5,"Error",SUM(F1964:G1964))</f>
        <v>0</v>
      </c>
      <c r="I1964" s="8"/>
    </row>
    <row r="1965" spans="1:9">
      <c r="A1965" s="8"/>
      <c r="B1965" s="8"/>
      <c r="C1965" s="2">
        <f>F1965/Instructions!$B$5</f>
        <v>0</v>
      </c>
      <c r="D1965" s="2">
        <f>G1965/Instructions!$B$5</f>
        <v>0</v>
      </c>
      <c r="E1965" s="2">
        <f t="shared" si="31"/>
        <v>0</v>
      </c>
      <c r="F1965" s="9"/>
      <c r="G1965" s="9"/>
      <c r="H1965" s="2">
        <f>IF(SUM(F1965:G1965)&gt;Instructions!$B$5,"Error",SUM(F1965:G1965))</f>
        <v>0</v>
      </c>
      <c r="I1965" s="8"/>
    </row>
    <row r="1966" spans="1:9">
      <c r="A1966" s="8"/>
      <c r="B1966" s="8"/>
      <c r="C1966" s="2">
        <f>F1966/Instructions!$B$5</f>
        <v>0</v>
      </c>
      <c r="D1966" s="2">
        <f>G1966/Instructions!$B$5</f>
        <v>0</v>
      </c>
      <c r="E1966" s="2">
        <f t="shared" si="31"/>
        <v>0</v>
      </c>
      <c r="F1966" s="9"/>
      <c r="G1966" s="9"/>
      <c r="H1966" s="2">
        <f>IF(SUM(F1966:G1966)&gt;Instructions!$B$5,"Error",SUM(F1966:G1966))</f>
        <v>0</v>
      </c>
      <c r="I1966" s="8"/>
    </row>
    <row r="1967" spans="1:9">
      <c r="A1967" s="8"/>
      <c r="B1967" s="8"/>
      <c r="C1967" s="2">
        <f>F1967/Instructions!$B$5</f>
        <v>0</v>
      </c>
      <c r="D1967" s="2">
        <f>G1967/Instructions!$B$5</f>
        <v>0</v>
      </c>
      <c r="E1967" s="2">
        <f t="shared" si="31"/>
        <v>0</v>
      </c>
      <c r="F1967" s="9"/>
      <c r="G1967" s="9"/>
      <c r="H1967" s="2">
        <f>IF(SUM(F1967:G1967)&gt;Instructions!$B$5,"Error",SUM(F1967:G1967))</f>
        <v>0</v>
      </c>
      <c r="I1967" s="8"/>
    </row>
    <row r="1968" spans="1:9">
      <c r="A1968" s="8"/>
      <c r="B1968" s="8"/>
      <c r="C1968" s="2">
        <f>F1968/Instructions!$B$5</f>
        <v>0</v>
      </c>
      <c r="D1968" s="2">
        <f>G1968/Instructions!$B$5</f>
        <v>0</v>
      </c>
      <c r="E1968" s="2">
        <f t="shared" si="31"/>
        <v>0</v>
      </c>
      <c r="F1968" s="9"/>
      <c r="G1968" s="9"/>
      <c r="H1968" s="2">
        <f>IF(SUM(F1968:G1968)&gt;Instructions!$B$5,"Error",SUM(F1968:G1968))</f>
        <v>0</v>
      </c>
      <c r="I1968" s="8"/>
    </row>
    <row r="1969" spans="1:9">
      <c r="A1969" s="8"/>
      <c r="B1969" s="8"/>
      <c r="C1969" s="2">
        <f>F1969/Instructions!$B$5</f>
        <v>0</v>
      </c>
      <c r="D1969" s="2">
        <f>G1969/Instructions!$B$5</f>
        <v>0</v>
      </c>
      <c r="E1969" s="2">
        <f t="shared" si="31"/>
        <v>0</v>
      </c>
      <c r="F1969" s="9"/>
      <c r="G1969" s="9"/>
      <c r="H1969" s="2">
        <f>IF(SUM(F1969:G1969)&gt;Instructions!$B$5,"Error",SUM(F1969:G1969))</f>
        <v>0</v>
      </c>
      <c r="I1969" s="8"/>
    </row>
    <row r="1970" spans="1:9">
      <c r="A1970" s="8"/>
      <c r="B1970" s="8"/>
      <c r="C1970" s="2">
        <f>F1970/Instructions!$B$5</f>
        <v>0</v>
      </c>
      <c r="D1970" s="2">
        <f>G1970/Instructions!$B$5</f>
        <v>0</v>
      </c>
      <c r="E1970" s="2">
        <f t="shared" si="31"/>
        <v>0</v>
      </c>
      <c r="F1970" s="9"/>
      <c r="G1970" s="9"/>
      <c r="H1970" s="2">
        <f>IF(SUM(F1970:G1970)&gt;Instructions!$B$5,"Error",SUM(F1970:G1970))</f>
        <v>0</v>
      </c>
      <c r="I1970" s="8"/>
    </row>
    <row r="1971" spans="1:9">
      <c r="A1971" s="8"/>
      <c r="B1971" s="8"/>
      <c r="C1971" s="2">
        <f>F1971/Instructions!$B$5</f>
        <v>0</v>
      </c>
      <c r="D1971" s="2">
        <f>G1971/Instructions!$B$5</f>
        <v>0</v>
      </c>
      <c r="E1971" s="2">
        <f t="shared" si="31"/>
        <v>0</v>
      </c>
      <c r="F1971" s="9"/>
      <c r="G1971" s="9"/>
      <c r="H1971" s="2">
        <f>IF(SUM(F1971:G1971)&gt;Instructions!$B$5,"Error",SUM(F1971:G1971))</f>
        <v>0</v>
      </c>
      <c r="I1971" s="8"/>
    </row>
    <row r="1972" spans="1:9">
      <c r="A1972" s="8"/>
      <c r="B1972" s="8"/>
      <c r="C1972" s="2">
        <f>F1972/Instructions!$B$5</f>
        <v>0</v>
      </c>
      <c r="D1972" s="2">
        <f>G1972/Instructions!$B$5</f>
        <v>0</v>
      </c>
      <c r="E1972" s="2">
        <f t="shared" si="31"/>
        <v>0</v>
      </c>
      <c r="F1972" s="9"/>
      <c r="G1972" s="9"/>
      <c r="H1972" s="2">
        <f>IF(SUM(F1972:G1972)&gt;Instructions!$B$5,"Error",SUM(F1972:G1972))</f>
        <v>0</v>
      </c>
      <c r="I1972" s="8"/>
    </row>
    <row r="1973" spans="1:9">
      <c r="A1973" s="8"/>
      <c r="B1973" s="8"/>
      <c r="C1973" s="2">
        <f>F1973/Instructions!$B$5</f>
        <v>0</v>
      </c>
      <c r="D1973" s="2">
        <f>G1973/Instructions!$B$5</f>
        <v>0</v>
      </c>
      <c r="E1973" s="2">
        <f t="shared" si="31"/>
        <v>0</v>
      </c>
      <c r="F1973" s="9"/>
      <c r="G1973" s="9"/>
      <c r="H1973" s="2">
        <f>IF(SUM(F1973:G1973)&gt;Instructions!$B$5,"Error",SUM(F1973:G1973))</f>
        <v>0</v>
      </c>
      <c r="I1973" s="8"/>
    </row>
    <row r="1974" spans="1:9">
      <c r="A1974" s="8"/>
      <c r="B1974" s="8"/>
      <c r="C1974" s="2">
        <f>F1974/Instructions!$B$5</f>
        <v>0</v>
      </c>
      <c r="D1974" s="2">
        <f>G1974/Instructions!$B$5</f>
        <v>0</v>
      </c>
      <c r="E1974" s="2">
        <f t="shared" si="31"/>
        <v>0</v>
      </c>
      <c r="F1974" s="9"/>
      <c r="G1974" s="9"/>
      <c r="H1974" s="2">
        <f>IF(SUM(F1974:G1974)&gt;Instructions!$B$5,"Error",SUM(F1974:G1974))</f>
        <v>0</v>
      </c>
      <c r="I1974" s="8"/>
    </row>
    <row r="1975" spans="1:9">
      <c r="A1975" s="8"/>
      <c r="B1975" s="8"/>
      <c r="C1975" s="2">
        <f>F1975/Instructions!$B$5</f>
        <v>0</v>
      </c>
      <c r="D1975" s="2">
        <f>G1975/Instructions!$B$5</f>
        <v>0</v>
      </c>
      <c r="E1975" s="2">
        <f t="shared" si="31"/>
        <v>0</v>
      </c>
      <c r="F1975" s="9"/>
      <c r="G1975" s="9"/>
      <c r="H1975" s="2">
        <f>IF(SUM(F1975:G1975)&gt;Instructions!$B$5,"Error",SUM(F1975:G1975))</f>
        <v>0</v>
      </c>
      <c r="I1975" s="8"/>
    </row>
    <row r="1976" spans="1:9">
      <c r="A1976" s="8"/>
      <c r="B1976" s="8"/>
      <c r="C1976" s="2">
        <f>F1976/Instructions!$B$5</f>
        <v>0</v>
      </c>
      <c r="D1976" s="2">
        <f>G1976/Instructions!$B$5</f>
        <v>0</v>
      </c>
      <c r="E1976" s="2">
        <f t="shared" si="31"/>
        <v>0</v>
      </c>
      <c r="F1976" s="9"/>
      <c r="G1976" s="9"/>
      <c r="H1976" s="2">
        <f>IF(SUM(F1976:G1976)&gt;Instructions!$B$5,"Error",SUM(F1976:G1976))</f>
        <v>0</v>
      </c>
      <c r="I1976" s="8"/>
    </row>
    <row r="1977" spans="1:9">
      <c r="A1977" s="8"/>
      <c r="B1977" s="8"/>
      <c r="C1977" s="2">
        <f>F1977/Instructions!$B$5</f>
        <v>0</v>
      </c>
      <c r="D1977" s="2">
        <f>G1977/Instructions!$B$5</f>
        <v>0</v>
      </c>
      <c r="E1977" s="2">
        <f t="shared" si="31"/>
        <v>0</v>
      </c>
      <c r="F1977" s="9"/>
      <c r="G1977" s="9"/>
      <c r="H1977" s="2">
        <f>IF(SUM(F1977:G1977)&gt;Instructions!$B$5,"Error",SUM(F1977:G1977))</f>
        <v>0</v>
      </c>
      <c r="I1977" s="8"/>
    </row>
    <row r="1978" spans="1:9">
      <c r="A1978" s="8"/>
      <c r="B1978" s="8"/>
      <c r="C1978" s="2">
        <f>F1978/Instructions!$B$5</f>
        <v>0</v>
      </c>
      <c r="D1978" s="2">
        <f>G1978/Instructions!$B$5</f>
        <v>0</v>
      </c>
      <c r="E1978" s="2">
        <f t="shared" si="31"/>
        <v>0</v>
      </c>
      <c r="F1978" s="9"/>
      <c r="G1978" s="9"/>
      <c r="H1978" s="2">
        <f>IF(SUM(F1978:G1978)&gt;Instructions!$B$5,"Error",SUM(F1978:G1978))</f>
        <v>0</v>
      </c>
      <c r="I1978" s="8"/>
    </row>
    <row r="1979" spans="1:9">
      <c r="A1979" s="8"/>
      <c r="B1979" s="8"/>
      <c r="C1979" s="2">
        <f>F1979/Instructions!$B$5</f>
        <v>0</v>
      </c>
      <c r="D1979" s="2">
        <f>G1979/Instructions!$B$5</f>
        <v>0</v>
      </c>
      <c r="E1979" s="2">
        <f t="shared" si="31"/>
        <v>0</v>
      </c>
      <c r="F1979" s="9"/>
      <c r="G1979" s="9"/>
      <c r="H1979" s="2">
        <f>IF(SUM(F1979:G1979)&gt;Instructions!$B$5,"Error",SUM(F1979:G1979))</f>
        <v>0</v>
      </c>
      <c r="I1979" s="8"/>
    </row>
    <row r="1980" spans="1:9">
      <c r="A1980" s="8"/>
      <c r="B1980" s="8"/>
      <c r="C1980" s="2">
        <f>F1980/Instructions!$B$5</f>
        <v>0</v>
      </c>
      <c r="D1980" s="2">
        <f>G1980/Instructions!$B$5</f>
        <v>0</v>
      </c>
      <c r="E1980" s="2">
        <f t="shared" si="31"/>
        <v>0</v>
      </c>
      <c r="F1980" s="9"/>
      <c r="G1980" s="9"/>
      <c r="H1980" s="2">
        <f>IF(SUM(F1980:G1980)&gt;Instructions!$B$5,"Error",SUM(F1980:G1980))</f>
        <v>0</v>
      </c>
      <c r="I1980" s="8"/>
    </row>
    <row r="1981" spans="1:9">
      <c r="A1981" s="8"/>
      <c r="B1981" s="8"/>
      <c r="C1981" s="2">
        <f>F1981/Instructions!$B$5</f>
        <v>0</v>
      </c>
      <c r="D1981" s="2">
        <f>G1981/Instructions!$B$5</f>
        <v>0</v>
      </c>
      <c r="E1981" s="2">
        <f t="shared" si="31"/>
        <v>0</v>
      </c>
      <c r="F1981" s="9"/>
      <c r="G1981" s="9"/>
      <c r="H1981" s="2">
        <f>IF(SUM(F1981:G1981)&gt;Instructions!$B$5,"Error",SUM(F1981:G1981))</f>
        <v>0</v>
      </c>
      <c r="I1981" s="8"/>
    </row>
    <row r="1982" spans="1:9">
      <c r="A1982" s="8"/>
      <c r="B1982" s="8"/>
      <c r="C1982" s="2">
        <f>F1982/Instructions!$B$5</f>
        <v>0</v>
      </c>
      <c r="D1982" s="2">
        <f>G1982/Instructions!$B$5</f>
        <v>0</v>
      </c>
      <c r="E1982" s="2">
        <f t="shared" si="31"/>
        <v>0</v>
      </c>
      <c r="F1982" s="9"/>
      <c r="G1982" s="9"/>
      <c r="H1982" s="2">
        <f>IF(SUM(F1982:G1982)&gt;Instructions!$B$5,"Error",SUM(F1982:G1982))</f>
        <v>0</v>
      </c>
      <c r="I1982" s="8"/>
    </row>
    <row r="1983" spans="1:9">
      <c r="A1983" s="8"/>
      <c r="B1983" s="8"/>
      <c r="C1983" s="2">
        <f>F1983/Instructions!$B$5</f>
        <v>0</v>
      </c>
      <c r="D1983" s="2">
        <f>G1983/Instructions!$B$5</f>
        <v>0</v>
      </c>
      <c r="E1983" s="2">
        <f t="shared" si="31"/>
        <v>0</v>
      </c>
      <c r="F1983" s="9"/>
      <c r="G1983" s="9"/>
      <c r="H1983" s="2">
        <f>IF(SUM(F1983:G1983)&gt;Instructions!$B$5,"Error",SUM(F1983:G1983))</f>
        <v>0</v>
      </c>
      <c r="I1983" s="8"/>
    </row>
    <row r="1984" spans="1:9">
      <c r="A1984" s="8"/>
      <c r="B1984" s="8"/>
      <c r="C1984" s="2">
        <f>F1984/Instructions!$B$5</f>
        <v>0</v>
      </c>
      <c r="D1984" s="2">
        <f>G1984/Instructions!$B$5</f>
        <v>0</v>
      </c>
      <c r="E1984" s="2">
        <f t="shared" si="31"/>
        <v>0</v>
      </c>
      <c r="F1984" s="9"/>
      <c r="G1984" s="9"/>
      <c r="H1984" s="2">
        <f>IF(SUM(F1984:G1984)&gt;Instructions!$B$5,"Error",SUM(F1984:G1984))</f>
        <v>0</v>
      </c>
      <c r="I1984" s="8"/>
    </row>
    <row r="1985" spans="1:9">
      <c r="A1985" s="8"/>
      <c r="B1985" s="8"/>
      <c r="C1985" s="2">
        <f>F1985/Instructions!$B$5</f>
        <v>0</v>
      </c>
      <c r="D1985" s="2">
        <f>G1985/Instructions!$B$5</f>
        <v>0</v>
      </c>
      <c r="E1985" s="2">
        <f t="shared" si="31"/>
        <v>0</v>
      </c>
      <c r="F1985" s="9"/>
      <c r="G1985" s="9"/>
      <c r="H1985" s="2">
        <f>IF(SUM(F1985:G1985)&gt;Instructions!$B$5,"Error",SUM(F1985:G1985))</f>
        <v>0</v>
      </c>
      <c r="I1985" s="8"/>
    </row>
    <row r="1986" spans="1:9">
      <c r="A1986" s="8"/>
      <c r="B1986" s="8"/>
      <c r="C1986" s="2">
        <f>F1986/Instructions!$B$5</f>
        <v>0</v>
      </c>
      <c r="D1986" s="2">
        <f>G1986/Instructions!$B$5</f>
        <v>0</v>
      </c>
      <c r="E1986" s="2">
        <f t="shared" si="31"/>
        <v>0</v>
      </c>
      <c r="F1986" s="9"/>
      <c r="G1986" s="9"/>
      <c r="H1986" s="2">
        <f>IF(SUM(F1986:G1986)&gt;Instructions!$B$5,"Error",SUM(F1986:G1986))</f>
        <v>0</v>
      </c>
      <c r="I1986" s="8"/>
    </row>
    <row r="1987" spans="1:9">
      <c r="A1987" s="8"/>
      <c r="B1987" s="8"/>
      <c r="C1987" s="2">
        <f>F1987/Instructions!$B$5</f>
        <v>0</v>
      </c>
      <c r="D1987" s="2">
        <f>G1987/Instructions!$B$5</f>
        <v>0</v>
      </c>
      <c r="E1987" s="2">
        <f t="shared" si="31"/>
        <v>0</v>
      </c>
      <c r="F1987" s="9"/>
      <c r="G1987" s="9"/>
      <c r="H1987" s="2">
        <f>IF(SUM(F1987:G1987)&gt;Instructions!$B$5,"Error",SUM(F1987:G1987))</f>
        <v>0</v>
      </c>
      <c r="I1987" s="8"/>
    </row>
    <row r="1988" spans="1:9">
      <c r="A1988" s="8"/>
      <c r="B1988" s="8"/>
      <c r="C1988" s="2">
        <f>F1988/Instructions!$B$5</f>
        <v>0</v>
      </c>
      <c r="D1988" s="2">
        <f>G1988/Instructions!$B$5</f>
        <v>0</v>
      </c>
      <c r="E1988" s="2">
        <f t="shared" si="31"/>
        <v>0</v>
      </c>
      <c r="F1988" s="9"/>
      <c r="G1988" s="9"/>
      <c r="H1988" s="2">
        <f>IF(SUM(F1988:G1988)&gt;Instructions!$B$5,"Error",SUM(F1988:G1988))</f>
        <v>0</v>
      </c>
      <c r="I1988" s="8"/>
    </row>
    <row r="1989" spans="1:9">
      <c r="A1989" s="8"/>
      <c r="B1989" s="8"/>
      <c r="C1989" s="2">
        <f>F1989/Instructions!$B$5</f>
        <v>0</v>
      </c>
      <c r="D1989" s="2">
        <f>G1989/Instructions!$B$5</f>
        <v>0</v>
      </c>
      <c r="E1989" s="2">
        <f t="shared" si="31"/>
        <v>0</v>
      </c>
      <c r="F1989" s="9"/>
      <c r="G1989" s="9"/>
      <c r="H1989" s="2">
        <f>IF(SUM(F1989:G1989)&gt;Instructions!$B$5,"Error",SUM(F1989:G1989))</f>
        <v>0</v>
      </c>
      <c r="I1989" s="8"/>
    </row>
    <row r="1990" spans="1:9">
      <c r="A1990" s="8"/>
      <c r="B1990" s="8"/>
      <c r="C1990" s="2">
        <f>F1990/Instructions!$B$5</f>
        <v>0</v>
      </c>
      <c r="D1990" s="2">
        <f>G1990/Instructions!$B$5</f>
        <v>0</v>
      </c>
      <c r="E1990" s="2">
        <f t="shared" si="31"/>
        <v>0</v>
      </c>
      <c r="F1990" s="9"/>
      <c r="G1990" s="9"/>
      <c r="H1990" s="2">
        <f>IF(SUM(F1990:G1990)&gt;Instructions!$B$5,"Error",SUM(F1990:G1990))</f>
        <v>0</v>
      </c>
      <c r="I1990" s="8"/>
    </row>
    <row r="1991" spans="1:9">
      <c r="A1991" s="8"/>
      <c r="B1991" s="8"/>
      <c r="C1991" s="2">
        <f>F1991/Instructions!$B$5</f>
        <v>0</v>
      </c>
      <c r="D1991" s="2">
        <f>G1991/Instructions!$B$5</f>
        <v>0</v>
      </c>
      <c r="E1991" s="2">
        <f t="shared" si="31"/>
        <v>0</v>
      </c>
      <c r="F1991" s="9"/>
      <c r="G1991" s="9"/>
      <c r="H1991" s="2">
        <f>IF(SUM(F1991:G1991)&gt;Instructions!$B$5,"Error",SUM(F1991:G1991))</f>
        <v>0</v>
      </c>
      <c r="I1991" s="8"/>
    </row>
    <row r="1992" spans="1:9">
      <c r="A1992" s="8"/>
      <c r="B1992" s="8"/>
      <c r="C1992" s="2">
        <f>F1992/Instructions!$B$5</f>
        <v>0</v>
      </c>
      <c r="D1992" s="2">
        <f>G1992/Instructions!$B$5</f>
        <v>0</v>
      </c>
      <c r="E1992" s="2">
        <f t="shared" ref="E1992:E1999" si="32">IF(SUM(C1992:D1992)&gt;1,"Error",SUM(C1992:D1992))</f>
        <v>0</v>
      </c>
      <c r="F1992" s="9"/>
      <c r="G1992" s="9"/>
      <c r="H1992" s="2">
        <f>IF(SUM(F1992:G1992)&gt;Instructions!$B$5,"Error",SUM(F1992:G1992))</f>
        <v>0</v>
      </c>
      <c r="I1992" s="8"/>
    </row>
    <row r="1993" spans="1:9">
      <c r="A1993" s="8"/>
      <c r="B1993" s="8"/>
      <c r="C1993" s="2">
        <f>F1993/Instructions!$B$5</f>
        <v>0</v>
      </c>
      <c r="D1993" s="2">
        <f>G1993/Instructions!$B$5</f>
        <v>0</v>
      </c>
      <c r="E1993" s="2">
        <f t="shared" si="32"/>
        <v>0</v>
      </c>
      <c r="F1993" s="9"/>
      <c r="G1993" s="9"/>
      <c r="H1993" s="2">
        <f>IF(SUM(F1993:G1993)&gt;Instructions!$B$5,"Error",SUM(F1993:G1993))</f>
        <v>0</v>
      </c>
      <c r="I1993" s="8"/>
    </row>
    <row r="1994" spans="1:9">
      <c r="A1994" s="8"/>
      <c r="B1994" s="8"/>
      <c r="C1994" s="2">
        <f>F1994/Instructions!$B$5</f>
        <v>0</v>
      </c>
      <c r="D1994" s="2">
        <f>G1994/Instructions!$B$5</f>
        <v>0</v>
      </c>
      <c r="E1994" s="2">
        <f t="shared" si="32"/>
        <v>0</v>
      </c>
      <c r="F1994" s="9"/>
      <c r="G1994" s="9"/>
      <c r="H1994" s="2">
        <f>IF(SUM(F1994:G1994)&gt;Instructions!$B$5,"Error",SUM(F1994:G1994))</f>
        <v>0</v>
      </c>
      <c r="I1994" s="8"/>
    </row>
    <row r="1995" spans="1:9">
      <c r="A1995" s="8"/>
      <c r="B1995" s="8"/>
      <c r="C1995" s="2">
        <f>F1995/Instructions!$B$5</f>
        <v>0</v>
      </c>
      <c r="D1995" s="2">
        <f>G1995/Instructions!$B$5</f>
        <v>0</v>
      </c>
      <c r="E1995" s="2">
        <f t="shared" si="32"/>
        <v>0</v>
      </c>
      <c r="F1995" s="9"/>
      <c r="G1995" s="9"/>
      <c r="H1995" s="2">
        <f>IF(SUM(F1995:G1995)&gt;Instructions!$B$5,"Error",SUM(F1995:G1995))</f>
        <v>0</v>
      </c>
      <c r="I1995" s="8"/>
    </row>
    <row r="1996" spans="1:9">
      <c r="A1996" s="8"/>
      <c r="B1996" s="8"/>
      <c r="C1996" s="2">
        <f>F1996/Instructions!$B$5</f>
        <v>0</v>
      </c>
      <c r="D1996" s="2">
        <f>G1996/Instructions!$B$5</f>
        <v>0</v>
      </c>
      <c r="E1996" s="2">
        <f t="shared" si="32"/>
        <v>0</v>
      </c>
      <c r="F1996" s="9"/>
      <c r="G1996" s="9"/>
      <c r="H1996" s="2">
        <f>IF(SUM(F1996:G1996)&gt;Instructions!$B$5,"Error",SUM(F1996:G1996))</f>
        <v>0</v>
      </c>
      <c r="I1996" s="8"/>
    </row>
    <row r="1997" spans="1:9">
      <c r="A1997" s="8"/>
      <c r="B1997" s="8"/>
      <c r="C1997" s="2">
        <f>F1997/Instructions!$B$5</f>
        <v>0</v>
      </c>
      <c r="D1997" s="2">
        <f>G1997/Instructions!$B$5</f>
        <v>0</v>
      </c>
      <c r="E1997" s="2">
        <f t="shared" si="32"/>
        <v>0</v>
      </c>
      <c r="F1997" s="9"/>
      <c r="G1997" s="9"/>
      <c r="H1997" s="2">
        <f>IF(SUM(F1997:G1997)&gt;Instructions!$B$5,"Error",SUM(F1997:G1997))</f>
        <v>0</v>
      </c>
      <c r="I1997" s="8"/>
    </row>
    <row r="1998" spans="1:9">
      <c r="A1998" s="8"/>
      <c r="B1998" s="8"/>
      <c r="C1998" s="2">
        <f>F1998/Instructions!$B$5</f>
        <v>0</v>
      </c>
      <c r="D1998" s="2">
        <f>G1998/Instructions!$B$5</f>
        <v>0</v>
      </c>
      <c r="E1998" s="2">
        <f t="shared" si="32"/>
        <v>0</v>
      </c>
      <c r="F1998" s="9"/>
      <c r="G1998" s="9"/>
      <c r="H1998" s="2">
        <f>IF(SUM(F1998:G1998)&gt;Instructions!$B$5,"Error",SUM(F1998:G1998))</f>
        <v>0</v>
      </c>
      <c r="I1998" s="8"/>
    </row>
    <row r="1999" spans="1:9">
      <c r="A1999" s="8"/>
      <c r="B1999" s="8"/>
      <c r="C1999" s="2">
        <f>F1999/Instructions!$B$5</f>
        <v>0</v>
      </c>
      <c r="D1999" s="2">
        <f>G1999/Instructions!$B$5</f>
        <v>0</v>
      </c>
      <c r="E1999" s="2">
        <f t="shared" si="32"/>
        <v>0</v>
      </c>
      <c r="F1999" s="9"/>
      <c r="G1999" s="9"/>
      <c r="H1999" s="2">
        <f>IF(SUM(F1999:G1999)&gt;Instructions!$B$5,"Error",SUM(F1999:G1999))</f>
        <v>0</v>
      </c>
      <c r="I1999" s="8"/>
    </row>
    <row r="2000" spans="1:9">
      <c r="A2000" s="8"/>
      <c r="B2000" s="8"/>
      <c r="E2000" s="3">
        <f t="shared" ref="E2000" si="33">IF(SUM(C2000:D2000)&gt;1,"Error",SUM(C2000:D2000))</f>
        <v>0</v>
      </c>
      <c r="F2000" s="8"/>
      <c r="G2000" s="8"/>
      <c r="H2000" s="3">
        <f t="shared" ref="H2000" si="34">IF(SUM(F2000:G2000)&gt;1,"Error",SUM(F2000:G2000))</f>
        <v>0</v>
      </c>
      <c r="I2000" s="8"/>
    </row>
    <row r="2001" spans="1:9">
      <c r="A2001" s="8"/>
      <c r="B2001" s="8"/>
      <c r="F2001" s="8"/>
      <c r="G2001" s="8"/>
      <c r="I2001" s="8"/>
    </row>
  </sheetData>
  <sheetProtection algorithmName="SHA-512" hashValue="mDlZfFq2u0C/m+4vD3nCIpLR0tfgdYIegbOCH1aFp4pQ7RH0twmLIH8JOK8OStCn9coS+jNrN+JDcdThcno3uA==" saltValue="ct0SqhIT6c21vkisNfY14w==" spinCount="100000" sheet="1" objects="1" scenarios="1"/>
  <mergeCells count="3">
    <mergeCell ref="C2:E2"/>
    <mergeCell ref="F2:H2"/>
    <mergeCell ref="C1:H1"/>
  </mergeCells>
  <conditionalFormatting sqref="A1:XES5">
    <cfRule type="expression" dxfId="305" priority="5336">
      <formula>CELL("protect",A1:L499)</formula>
    </cfRule>
  </conditionalFormatting>
  <conditionalFormatting sqref="A6:XES6">
    <cfRule type="expression" dxfId="304" priority="6">
      <formula>CELL("protect",A6:L503)</formula>
    </cfRule>
  </conditionalFormatting>
  <conditionalFormatting sqref="A1048574:XES1048576">
    <cfRule type="expression" dxfId="303" priority="7">
      <formula>CELL("protect",A497:L1048574)</formula>
    </cfRule>
  </conditionalFormatting>
  <conditionalFormatting sqref="A7:XFD1048573">
    <cfRule type="expression" dxfId="302" priority="2">
      <formula>CELL("protect",A7:L506)</formula>
    </cfRule>
  </conditionalFormatting>
  <conditionalFormatting sqref="XET1:XFD5">
    <cfRule type="expression" dxfId="301" priority="5339">
      <formula>CELL("protect",A1:XET499)</formula>
    </cfRule>
  </conditionalFormatting>
  <conditionalFormatting sqref="XET6:XFD6">
    <cfRule type="expression" dxfId="300" priority="3">
      <formula>CELL("protect",A6:XET503)</formula>
    </cfRule>
  </conditionalFormatting>
  <conditionalFormatting sqref="XET1048574:XFD1048576">
    <cfRule type="expression" dxfId="299" priority="4">
      <formula>CELL("protect",A497:XET1048574)</formula>
    </cfRule>
  </conditionalFormatting>
  <dataValidations disablePrompts="1" count="1">
    <dataValidation type="list" allowBlank="1" showInputMessage="1" showErrorMessage="1" sqref="I2000" xr:uid="{00000000-0002-0000-0200-000000000000}">
      <formula1>$I$2:$K$2</formula1>
    </dataValidation>
  </dataValidations>
  <pageMargins left="0.2" right="0.2" top="0.5" bottom="0.5" header="0.3" footer="0.3"/>
  <pageSetup scale="65" orientation="landscape" r:id="rId1"/>
  <extLst>
    <ext xmlns:x14="http://schemas.microsoft.com/office/spreadsheetml/2009/9/main" uri="{CCE6A557-97BC-4b89-ADB6-D9C93CAAB3DF}">
      <x14:dataValidations xmlns:xm="http://schemas.microsoft.com/office/excel/2006/main" disablePrompts="1" count="3">
        <x14:dataValidation type="list" allowBlank="1" showInputMessage="1" showErrorMessage="1" errorTitle="Error" error="You must select a value from the list or leave the field blank if none of those options applies" promptTitle="Disability Status" prompt="Please select one of the options from the drop-down list if applicable, or leave blank if not or status is unknown." xr:uid="{00000000-0002-0000-0200-000002000000}">
          <x14:formula1>
            <xm:f>Data!$AO$2:$AO$4</xm:f>
          </x14:formula1>
          <xm:sqref>I7:I1999</xm:sqref>
        </x14:dataValidation>
        <x14:dataValidation type="decimal" showInputMessage="1" showErrorMessage="1" errorTitle="Error" error="Please enter a value less than your FTE value that is filled in on the instruction sheet, unless you are entering data for a contractor" promptTitle="Admin Hours" prompt="Enter the Average Number of hours that the State employee or Contractor spends on OIB Admin work each week" xr:uid="{00000000-0002-0000-0200-000003000000}">
          <x14:formula1>
            <xm:f>0</xm:f>
          </x14:formula1>
          <x14:formula2>
            <xm:f>Instructions!$B$5</xm:f>
          </x14:formula2>
          <xm:sqref>F7:F1999</xm:sqref>
        </x14:dataValidation>
        <x14:dataValidation type="decimal" showInputMessage="1" showErrorMessage="1" errorTitle="Error" error="Please enter a value less than your FTE value that is filled in on the instruction sheet, unless you are entering data for a contractor" promptTitle="Direct Service Hours" prompt="Enter the Average number of hours that the State employee or Contractor spends on OIB Direct services each week" xr:uid="{00000000-0002-0000-0200-000004000000}">
          <x14:formula1>
            <xm:f>0</xm:f>
          </x14:formula1>
          <x14:formula2>
            <xm:f>Instructions!$B$5</xm:f>
          </x14:formula2>
          <xm:sqref>G7:G1999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39997558519241921"/>
  </sheetPr>
  <dimension ref="A1:S2013"/>
  <sheetViews>
    <sheetView zoomScale="73" zoomScaleNormal="100" workbookViewId="0">
      <pane ySplit="1" topLeftCell="A2" activePane="bottomLeft" state="frozen"/>
      <selection pane="bottomLeft" activeCell="A2" sqref="A2"/>
      <selection activeCell="K15" sqref="K15"/>
    </sheetView>
  </sheetViews>
  <sheetFormatPr defaultColWidth="9.140625" defaultRowHeight="17.45"/>
  <cols>
    <col min="1" max="1" width="35.7109375" style="25" customWidth="1"/>
    <col min="2" max="2" width="26.140625" style="20" customWidth="1"/>
    <col min="3" max="3" width="20.85546875" style="20" customWidth="1"/>
    <col min="4" max="4" width="21.140625" style="20" customWidth="1"/>
    <col min="5" max="5" width="26.140625" style="20" customWidth="1"/>
    <col min="6" max="6" width="20.42578125" style="20" customWidth="1"/>
    <col min="7" max="7" width="22.85546875" style="20" customWidth="1"/>
    <col min="8" max="8" width="23.7109375" style="20" customWidth="1"/>
    <col min="9" max="9" width="18.42578125" style="20" customWidth="1"/>
    <col min="10" max="10" width="19" style="20" customWidth="1"/>
    <col min="11" max="11" width="25.140625" style="20" customWidth="1"/>
    <col min="12" max="12" width="27" style="20" customWidth="1"/>
    <col min="13" max="13" width="20.28515625" style="20" customWidth="1"/>
    <col min="14" max="14" width="19.5703125" style="20" customWidth="1"/>
    <col min="15" max="15" width="25.7109375" style="20" customWidth="1"/>
    <col min="16" max="16" width="27.140625" style="20" customWidth="1"/>
    <col min="17" max="17" width="25.7109375" style="20" customWidth="1"/>
    <col min="18" max="18" width="28.28515625" style="25" customWidth="1"/>
    <col min="19" max="16384" width="9.140625" style="25"/>
  </cols>
  <sheetData>
    <row r="1" spans="1:19" s="22" customFormat="1" ht="42.6" customHeight="1">
      <c r="A1" s="73" t="s">
        <v>222</v>
      </c>
      <c r="B1" s="68" t="s">
        <v>223</v>
      </c>
      <c r="C1" s="68" t="s">
        <v>224</v>
      </c>
      <c r="D1" s="67" t="s">
        <v>63</v>
      </c>
      <c r="E1" s="67" t="s">
        <v>225</v>
      </c>
      <c r="F1" s="67" t="s">
        <v>77</v>
      </c>
      <c r="G1" s="67" t="s">
        <v>79</v>
      </c>
      <c r="H1" s="67" t="s">
        <v>226</v>
      </c>
      <c r="I1" s="101" t="s">
        <v>227</v>
      </c>
      <c r="J1" s="102"/>
      <c r="K1" s="102"/>
      <c r="L1" s="102"/>
      <c r="M1" s="102"/>
      <c r="N1" s="103"/>
      <c r="O1" s="67" t="s">
        <v>98</v>
      </c>
      <c r="P1" s="67" t="s">
        <v>228</v>
      </c>
      <c r="Q1" s="67" t="s">
        <v>229</v>
      </c>
      <c r="R1" s="74" t="s">
        <v>230</v>
      </c>
      <c r="S1" s="72"/>
    </row>
    <row r="2" spans="1:19" ht="52.15">
      <c r="A2" s="75" t="s">
        <v>231</v>
      </c>
      <c r="B2" s="20" t="str">
        <f>CONCATENATE(Data!A2,": ",Data!B2)</f>
        <v>Case open prior to Oct. 1: 0</v>
      </c>
      <c r="C2" s="20" t="str">
        <f>CONCATENATE(Data!C2,": ",Data!D2)</f>
        <v>55-64: 0</v>
      </c>
      <c r="D2" s="20" t="str">
        <f>CONCATENATE(Data!E2,": ",Data!F2)</f>
        <v>Female: 0</v>
      </c>
      <c r="E2" s="20" t="str">
        <f>CONCATENATE(Data!G2,": ",Data!H2)</f>
        <v>American Indian or Alaska Native: 0</v>
      </c>
      <c r="F2" s="20" t="str">
        <f>CONCATENATE(Data!I2,": ",Data!J2)</f>
        <v>Hispanic or Latino: 0</v>
      </c>
      <c r="G2" s="20" t="str">
        <f>CONCATENATE(Data!K2,": ",Data!L2)</f>
        <v>Totally Blind: 0</v>
      </c>
      <c r="H2" s="20" t="str">
        <f>CONCATENATE(Data!M2,": ",Data!N2)</f>
        <v>Macular Degeneration: 0</v>
      </c>
      <c r="I2" s="20" t="str">
        <f>CONCATENATE(Data!$O2,": ",Data!$P2)</f>
        <v>Hearing Impairment: 0</v>
      </c>
      <c r="J2" s="20" t="str">
        <f>CONCATENATE(Data!$O3,": ",Data!$P3)</f>
        <v>Mobility Impairment: 0</v>
      </c>
      <c r="K2" s="20" t="str">
        <f>CONCATENATE(Data!$O4,": ",Data!$P4)</f>
        <v>Communication Impairment: 0</v>
      </c>
      <c r="L2" s="20" t="str">
        <f>CONCATENATE(Data!$O5,": ",Data!$P5)</f>
        <v>Cognitive or Intellectual Impairment: 0</v>
      </c>
      <c r="M2" s="20" t="str">
        <f>CONCATENATE(Data!$O6,": ",Data!$P6)</f>
        <v>Mental Health Impairment: 0</v>
      </c>
      <c r="N2" s="20" t="str">
        <f>CONCATENATE(Data!$O7,": ",Data!$P7)</f>
        <v>Other Impairment: 0</v>
      </c>
      <c r="O2" s="20" t="str">
        <f>CONCATENATE(Data!$Q2,": ",Data!$R2)</f>
        <v>Private Residence: 0</v>
      </c>
      <c r="P2" s="20" t="str">
        <f>CONCATENATE(Data!$S2,": ",Data!$T2)</f>
        <v>Eye Care Provider: 0</v>
      </c>
      <c r="Q2" s="20" t="s">
        <v>232</v>
      </c>
      <c r="R2" s="76"/>
      <c r="S2" s="62"/>
    </row>
    <row r="3" spans="1:19" ht="34.9">
      <c r="A3" s="75"/>
      <c r="B3" s="20" t="str">
        <f>CONCATENATE(Data!A3,": ",Data!B3)</f>
        <v>Case open between Oct. 1 - Sept. 30: 0</v>
      </c>
      <c r="C3" s="20" t="str">
        <f>CONCATENATE(Data!C3,": ",Data!D3)</f>
        <v>65-74: 0</v>
      </c>
      <c r="D3" s="20" t="str">
        <f>CONCATENATE(Data!E3,": ",Data!F3)</f>
        <v>Male: 0</v>
      </c>
      <c r="E3" s="20" t="str">
        <f>CONCATENATE(Data!G3,": ",Data!H3)</f>
        <v>Asian: 0</v>
      </c>
      <c r="F3" s="26"/>
      <c r="G3" s="20" t="str">
        <f>CONCATENATE(Data!K3,": ",Data!L3)</f>
        <v>Legally Blind: 0</v>
      </c>
      <c r="H3" s="20" t="str">
        <f>CONCATENATE(Data!M3,": ",Data!N3)</f>
        <v>Diabetic Retinopathy: 0</v>
      </c>
      <c r="O3" s="20" t="str">
        <f>CONCATENATE(Data!$Q3,": ",Data!$R3)</f>
        <v>Senior Independent Living: 0</v>
      </c>
      <c r="P3" s="20" t="str">
        <f>CONCATENATE(Data!$S3,": ",Data!$T3)</f>
        <v>Physician/ Medical Provider: 0</v>
      </c>
      <c r="Q3" s="26"/>
      <c r="R3" s="76"/>
      <c r="S3" s="62"/>
    </row>
    <row r="4" spans="1:19" ht="34.9">
      <c r="A4" s="75"/>
      <c r="B4" s="20" t="str">
        <f>CONCATENATE(Data!A4,": ",Data!B4)</f>
        <v>Total: 0</v>
      </c>
      <c r="C4" s="20" t="str">
        <f>CONCATENATE(Data!C4,": ",Data!D4)</f>
        <v>75-84: 0</v>
      </c>
      <c r="D4" s="20" t="str">
        <f>CONCATENATE(Data!E4,": ",Data!F4)</f>
        <v>Did Not Self-Identify: 0</v>
      </c>
      <c r="E4" s="20" t="str">
        <f>CONCATENATE(Data!G4,": ",Data!H4)</f>
        <v>Black or African American: 0</v>
      </c>
      <c r="F4" s="26"/>
      <c r="G4" s="20" t="str">
        <f>CONCATENATE(Data!K4,": ",Data!L4)</f>
        <v>Severe Vision Impairment: 0</v>
      </c>
      <c r="H4" s="20" t="str">
        <f>CONCATENATE(Data!M4,": ",Data!N4)</f>
        <v>Glaucoma: 0</v>
      </c>
      <c r="O4" s="20" t="str">
        <f>CONCATENATE(Data!$Q4,": ",Data!$R4)</f>
        <v>Assisted Living Facility: 0</v>
      </c>
      <c r="P4" s="20" t="str">
        <f>CONCATENATE(Data!$S4,": ",Data!$T4)</f>
        <v>State VR Agency: 0</v>
      </c>
      <c r="Q4" s="26"/>
      <c r="R4" s="76"/>
      <c r="S4" s="62"/>
    </row>
    <row r="5" spans="1:19" ht="34.9">
      <c r="A5" s="75"/>
      <c r="B5" s="26"/>
      <c r="C5" s="20" t="str">
        <f>CONCATENATE(Data!C5,": ",Data!D5)</f>
        <v>85 and older: 0</v>
      </c>
      <c r="D5" s="20" t="str">
        <f>CONCATENATE(Data!E5,": ",Data!F5)</f>
        <v>Total: 0</v>
      </c>
      <c r="E5" s="20" t="str">
        <f>CONCATENATE(Data!G5,": ",Data!H5)</f>
        <v>Native Hawaiian or Pacific Islander: 0</v>
      </c>
      <c r="F5" s="26"/>
      <c r="G5" s="20" t="str">
        <f>CONCATENATE(Data!K5,": ",Data!L5)</f>
        <v>Total: 0</v>
      </c>
      <c r="H5" s="20" t="str">
        <f>CONCATENATE(Data!M5,": ",Data!N5)</f>
        <v>Cataracts: 0</v>
      </c>
      <c r="O5" s="20" t="str">
        <f>CONCATENATE(Data!$Q5,": ",Data!$R5)</f>
        <v>Nursing Home: 0</v>
      </c>
      <c r="P5" s="20" t="str">
        <f>CONCATENATE(Data!$S5,": ",Data!$T5)</f>
        <v>Social Service: 0</v>
      </c>
      <c r="Q5" s="26"/>
      <c r="R5" s="76"/>
      <c r="S5" s="62"/>
    </row>
    <row r="6" spans="1:19" ht="31.9" customHeight="1">
      <c r="A6" s="75"/>
      <c r="B6" s="26"/>
      <c r="C6" s="20" t="str">
        <f>CONCATENATE(Data!C6,": ",Data!D6)</f>
        <v>Total: 0</v>
      </c>
      <c r="D6" s="26"/>
      <c r="E6" s="20" t="str">
        <f>CONCATENATE(Data!G6,": ",Data!H6)</f>
        <v>White: 0</v>
      </c>
      <c r="F6" s="26"/>
      <c r="G6" s="26"/>
      <c r="H6" s="20" t="str">
        <f>CONCATENATE(Data!M6,": ",Data!N6)</f>
        <v>Other causes: 0</v>
      </c>
      <c r="O6" s="20" t="str">
        <f>CONCATENATE(Data!$Q6,": ",Data!$R6)</f>
        <v>Homeless: 0</v>
      </c>
      <c r="P6" s="20" t="str">
        <f>CONCATENATE(Data!$S6,": ",Data!$T6)</f>
        <v>Veterans Administration: 0</v>
      </c>
      <c r="Q6" s="26"/>
      <c r="R6" s="76"/>
      <c r="S6" s="62"/>
    </row>
    <row r="7" spans="1:19" ht="34.9">
      <c r="A7" s="75"/>
      <c r="B7" s="26"/>
      <c r="C7" s="26"/>
      <c r="D7" s="26"/>
      <c r="E7" s="20" t="str">
        <f>CONCATENATE(Data!G7,": ",Data!H7)</f>
        <v>Did not self identify Race: 0</v>
      </c>
      <c r="F7" s="26"/>
      <c r="G7" s="26"/>
      <c r="H7" s="20" t="str">
        <f>CONCATENATE(Data!M7,": ",Data!N7)</f>
        <v>Total: 0</v>
      </c>
      <c r="O7" s="20" t="str">
        <f>CONCATENATE(Data!$Q7,": ",Data!$R7)</f>
        <v>Total: 0</v>
      </c>
      <c r="P7" s="20" t="str">
        <f>CONCATENATE(Data!$S7,": ",Data!$T7)</f>
        <v>Senior Program: 0</v>
      </c>
      <c r="Q7" s="26"/>
      <c r="R7" s="76"/>
      <c r="S7" s="62"/>
    </row>
    <row r="8" spans="1:19" ht="31.9" customHeight="1">
      <c r="A8" s="75"/>
      <c r="B8" s="26"/>
      <c r="C8" s="26"/>
      <c r="D8" s="26"/>
      <c r="E8" s="20" t="str">
        <f>CONCATENATE(Data!G8,": ",Data!H8)</f>
        <v>2 or More Races: 0</v>
      </c>
      <c r="F8" s="26"/>
      <c r="G8" s="26"/>
      <c r="H8" s="26"/>
      <c r="I8" s="26"/>
      <c r="J8" s="26"/>
      <c r="K8" s="26"/>
      <c r="L8" s="26"/>
      <c r="M8" s="26"/>
      <c r="N8" s="26"/>
      <c r="O8" s="26"/>
      <c r="P8" s="20" t="str">
        <f>CONCATENATE(Data!$S8,": ",Data!$T8)</f>
        <v>Assisted Living Facility: 0</v>
      </c>
      <c r="Q8" s="26"/>
      <c r="R8" s="76"/>
      <c r="S8" s="62"/>
    </row>
    <row r="9" spans="1:19" ht="31.9" customHeight="1">
      <c r="A9" s="75"/>
      <c r="B9" s="26"/>
      <c r="C9" s="26"/>
      <c r="D9" s="26"/>
      <c r="E9" s="20" t="str">
        <f>CONCATENATE(Data!G9,": ",Data!H9)</f>
        <v>Total: 0</v>
      </c>
      <c r="F9" s="26"/>
      <c r="G9" s="26"/>
      <c r="H9" s="26"/>
      <c r="I9" s="26"/>
      <c r="J9" s="26"/>
      <c r="K9" s="26"/>
      <c r="L9" s="26"/>
      <c r="M9" s="26"/>
      <c r="N9" s="26"/>
      <c r="O9" s="26"/>
      <c r="P9" s="20" t="str">
        <f>CONCATENATE(Data!$S9,": ",Data!$T9)</f>
        <v>Nursing Home: 0</v>
      </c>
      <c r="Q9" s="26"/>
      <c r="R9" s="76"/>
      <c r="S9" s="62"/>
    </row>
    <row r="10" spans="1:19" ht="31.9" customHeight="1">
      <c r="A10" s="77"/>
      <c r="B10" s="65"/>
      <c r="C10" s="65"/>
      <c r="D10" s="65"/>
      <c r="E10" s="65"/>
      <c r="F10" s="65"/>
      <c r="G10" s="65"/>
      <c r="H10" s="65"/>
      <c r="I10" s="65"/>
      <c r="J10" s="65"/>
      <c r="K10" s="65"/>
      <c r="L10" s="65"/>
      <c r="M10" s="65"/>
      <c r="N10" s="65"/>
      <c r="O10" s="65"/>
      <c r="P10" s="20" t="str">
        <f>CONCATENATE(Data!$S10,": ",Data!$T10)</f>
        <v>Independent Living Center: 0</v>
      </c>
      <c r="Q10" s="26"/>
      <c r="R10" s="76"/>
      <c r="S10" s="62"/>
    </row>
    <row r="11" spans="1:19" ht="31.9" customHeight="1">
      <c r="A11" s="77"/>
      <c r="B11" s="65"/>
      <c r="C11" s="65"/>
      <c r="D11" s="65"/>
      <c r="E11" s="65"/>
      <c r="F11" s="65"/>
      <c r="G11" s="65"/>
      <c r="H11" s="65"/>
      <c r="I11" s="65"/>
      <c r="J11" s="65"/>
      <c r="K11" s="65"/>
      <c r="L11" s="65"/>
      <c r="M11" s="65"/>
      <c r="N11" s="65"/>
      <c r="O11" s="65"/>
      <c r="P11" s="20" t="str">
        <f>CONCATENATE(Data!$S11,": ",Data!$T11)</f>
        <v>Family or Friend: 0</v>
      </c>
      <c r="Q11" s="26"/>
      <c r="R11" s="76"/>
      <c r="S11" s="62"/>
    </row>
    <row r="12" spans="1:19" ht="31.9" customHeight="1">
      <c r="A12" s="77"/>
      <c r="B12" s="65"/>
      <c r="C12" s="65"/>
      <c r="D12" s="65"/>
      <c r="E12" s="65"/>
      <c r="F12" s="65"/>
      <c r="G12" s="65"/>
      <c r="H12" s="65"/>
      <c r="I12" s="65"/>
      <c r="J12" s="65"/>
      <c r="K12" s="65"/>
      <c r="L12" s="65"/>
      <c r="M12" s="65"/>
      <c r="N12" s="65"/>
      <c r="O12" s="65"/>
      <c r="P12" s="20" t="str">
        <f>CONCATENATE(Data!$S12,": ",Data!$T12)</f>
        <v>Self-Referral: 0</v>
      </c>
      <c r="Q12" s="26"/>
      <c r="R12" s="76"/>
      <c r="S12" s="62"/>
    </row>
    <row r="13" spans="1:19" ht="31.9" customHeight="1" thickBot="1">
      <c r="A13" s="77"/>
      <c r="B13" s="65"/>
      <c r="C13" s="65"/>
      <c r="D13" s="65"/>
      <c r="E13" s="65"/>
      <c r="F13" s="65"/>
      <c r="G13" s="65"/>
      <c r="H13" s="65"/>
      <c r="I13" s="65"/>
      <c r="J13" s="65"/>
      <c r="K13" s="65"/>
      <c r="L13" s="65"/>
      <c r="M13" s="65"/>
      <c r="N13" s="65"/>
      <c r="O13" s="65"/>
      <c r="P13" s="20" t="str">
        <f>CONCATENATE(Data!$S13,": ",Data!$T13)</f>
        <v>Other: 0</v>
      </c>
      <c r="Q13" s="26"/>
      <c r="R13" s="76"/>
      <c r="S13" s="62"/>
    </row>
    <row r="14" spans="1:19" ht="21.6" thickBot="1">
      <c r="A14" s="78" t="s">
        <v>233</v>
      </c>
      <c r="B14" s="26"/>
      <c r="C14" s="26"/>
      <c r="D14" s="26"/>
      <c r="E14" s="26"/>
      <c r="F14" s="26"/>
      <c r="G14" s="26"/>
      <c r="H14" s="26"/>
      <c r="I14" s="26"/>
      <c r="J14" s="26"/>
      <c r="K14" s="26"/>
      <c r="L14" s="26"/>
      <c r="M14" s="26"/>
      <c r="N14" s="26"/>
      <c r="O14" s="26"/>
      <c r="P14" s="26" t="str">
        <f>CONCATENATE(Data!$S14,": ",Data!$T14)</f>
        <v>Total: 0</v>
      </c>
      <c r="Q14" s="26"/>
      <c r="R14" s="76"/>
      <c r="S14" s="62"/>
    </row>
    <row r="15" spans="1:19" ht="52.15">
      <c r="A15" s="79" t="s">
        <v>234</v>
      </c>
      <c r="B15" s="26"/>
      <c r="C15" s="26" t="str">
        <f>IF(C16=$B$16,"Accurate","ERROR!")</f>
        <v>Accurate</v>
      </c>
      <c r="D15" s="26" t="str">
        <f>IF(D16=$B$16,"Accurate","ERROR!")</f>
        <v>Accurate</v>
      </c>
      <c r="E15" s="26" t="str">
        <f>IF(E16=$B$16,"Accurate","ERROR!")</f>
        <v>Accurate</v>
      </c>
      <c r="F15" s="26" t="s">
        <v>235</v>
      </c>
      <c r="G15" s="26" t="str">
        <f>IF(G16=$B$16,"Accurate","ERROR!")</f>
        <v>Accurate</v>
      </c>
      <c r="H15" s="26" t="str">
        <f>IF(H16=$B$16,"Accurate","ERROR!")</f>
        <v>Accurate</v>
      </c>
      <c r="I15" s="26" t="s">
        <v>235</v>
      </c>
      <c r="J15" s="26" t="s">
        <v>235</v>
      </c>
      <c r="K15" s="26" t="s">
        <v>235</v>
      </c>
      <c r="L15" s="26" t="s">
        <v>235</v>
      </c>
      <c r="M15" s="26" t="s">
        <v>235</v>
      </c>
      <c r="N15" s="26" t="s">
        <v>235</v>
      </c>
      <c r="O15" s="26" t="str">
        <f>IF(O16=$B$16,"Accurate","ERROR!")</f>
        <v>Accurate</v>
      </c>
      <c r="P15" s="26" t="str">
        <f>IF(P16=$B$16,"Accurate","ERROR!")</f>
        <v>Accurate</v>
      </c>
      <c r="Q15" s="26" t="str">
        <f>IF(Q16=$B$16,"Accurate","ERROR!")</f>
        <v>Accurate</v>
      </c>
      <c r="R15" s="80" t="str">
        <f>IF(R16=0,"No Duplicate Names","Possible Duplicate in rows below")</f>
        <v>No Duplicate Names</v>
      </c>
      <c r="S15" s="62"/>
    </row>
    <row r="16" spans="1:19" ht="25.9" customHeight="1" thickBot="1">
      <c r="A16" s="81" t="b">
        <f>AND(EXACT(B16,C16),EXACT(B16,D16),EXACT(B16,E16),EXACT(B16,G16),EXACT(B16,H16),EXACT(B16,O16),EXACT(B16,P16),EXACT(B16,Q16))</f>
        <v>1</v>
      </c>
      <c r="B16" s="82">
        <f>Data!B4</f>
        <v>0</v>
      </c>
      <c r="C16" s="82">
        <f>Data!D6</f>
        <v>0</v>
      </c>
      <c r="D16" s="82">
        <f>Data!F5</f>
        <v>0</v>
      </c>
      <c r="E16" s="82">
        <f>Data!H9</f>
        <v>0</v>
      </c>
      <c r="F16" s="82">
        <f>Data!J2</f>
        <v>0</v>
      </c>
      <c r="G16" s="82">
        <f>Data!L5</f>
        <v>0</v>
      </c>
      <c r="H16" s="82">
        <f>Data!N7</f>
        <v>0</v>
      </c>
      <c r="I16" s="82">
        <f>Data!$P2</f>
        <v>0</v>
      </c>
      <c r="J16" s="82">
        <f>Data!$P3</f>
        <v>0</v>
      </c>
      <c r="K16" s="82">
        <f>Data!$P4</f>
        <v>0</v>
      </c>
      <c r="L16" s="82">
        <f>Data!$P5</f>
        <v>0</v>
      </c>
      <c r="M16" s="82">
        <f>Data!$P6</f>
        <v>0</v>
      </c>
      <c r="N16" s="82">
        <f>Data!$P7</f>
        <v>0</v>
      </c>
      <c r="O16" s="82">
        <f>Data!$R7</f>
        <v>0</v>
      </c>
      <c r="P16" s="82">
        <f>Data!$T14</f>
        <v>0</v>
      </c>
      <c r="Q16" s="83">
        <f>COUNTA(Q17:Q2010)</f>
        <v>0</v>
      </c>
      <c r="R16" s="84">
        <f>IF(COUNTIF(R17:R2010,"Possible Duplicate")&gt;0,COUNTIF(R17:R2010,"Possible Duplicate"),0)</f>
        <v>0</v>
      </c>
      <c r="S16" s="62"/>
    </row>
    <row r="17" spans="1:18" ht="33.6" customHeight="1">
      <c r="A17" s="27"/>
      <c r="B17" s="49"/>
      <c r="C17" s="49"/>
      <c r="D17" s="45"/>
      <c r="E17" s="45"/>
      <c r="F17" s="45"/>
      <c r="G17" s="45"/>
      <c r="H17" s="45"/>
      <c r="I17" s="45"/>
      <c r="J17" s="45"/>
      <c r="K17" s="45"/>
      <c r="L17" s="45"/>
      <c r="M17" s="45"/>
      <c r="N17" s="45"/>
      <c r="O17" s="45"/>
      <c r="P17" s="45"/>
      <c r="Q17" s="45"/>
      <c r="R17" s="33" t="str">
        <f t="shared" ref="R17:R50" si="0">IF(COUNTIF($A$17:$A$2010,$A17)&gt;1,"Possible Duplicate","")</f>
        <v/>
      </c>
    </row>
    <row r="18" spans="1:18" ht="33.6" customHeight="1">
      <c r="A18" s="28"/>
      <c r="B18" s="21"/>
      <c r="C18" s="48"/>
      <c r="D18" s="21"/>
      <c r="E18" s="21"/>
      <c r="F18" s="21"/>
      <c r="G18" s="21"/>
      <c r="H18" s="21"/>
      <c r="I18" s="21"/>
      <c r="J18" s="45"/>
      <c r="K18" s="45"/>
      <c r="L18" s="45"/>
      <c r="M18" s="45"/>
      <c r="N18" s="45"/>
      <c r="O18" s="21"/>
      <c r="P18" s="21"/>
      <c r="Q18" s="21"/>
      <c r="R18" s="25" t="str">
        <f t="shared" si="0"/>
        <v/>
      </c>
    </row>
    <row r="19" spans="1:18" ht="33.6" customHeight="1">
      <c r="A19" s="28"/>
      <c r="B19" s="48"/>
      <c r="C19" s="48"/>
      <c r="D19" s="21"/>
      <c r="E19" s="21"/>
      <c r="F19" s="21"/>
      <c r="G19" s="21"/>
      <c r="H19" s="21"/>
      <c r="I19" s="21"/>
      <c r="J19" s="45"/>
      <c r="K19" s="45"/>
      <c r="L19" s="45"/>
      <c r="M19" s="45"/>
      <c r="N19" s="45"/>
      <c r="O19" s="21"/>
      <c r="P19" s="21"/>
      <c r="Q19" s="21"/>
      <c r="R19" s="25" t="str">
        <f>IF(COUNTIF($A$17:$A$2010,$A19)&gt;1,"Possible Duplicate","")</f>
        <v/>
      </c>
    </row>
    <row r="20" spans="1:18" ht="33.6" customHeight="1">
      <c r="A20" s="28"/>
      <c r="B20" s="48"/>
      <c r="C20" s="48"/>
      <c r="D20" s="21"/>
      <c r="E20" s="21"/>
      <c r="F20" s="21"/>
      <c r="G20" s="21"/>
      <c r="H20" s="21"/>
      <c r="I20" s="21"/>
      <c r="J20" s="45"/>
      <c r="K20" s="45"/>
      <c r="L20" s="45"/>
      <c r="M20" s="45"/>
      <c r="N20" s="45"/>
      <c r="O20" s="21"/>
      <c r="P20" s="21"/>
      <c r="Q20" s="21"/>
      <c r="R20" s="25" t="str">
        <f t="shared" si="0"/>
        <v/>
      </c>
    </row>
    <row r="21" spans="1:18" ht="33.6" customHeight="1">
      <c r="A21" s="28"/>
      <c r="B21" s="48"/>
      <c r="C21" s="48"/>
      <c r="D21" s="21"/>
      <c r="E21" s="21"/>
      <c r="F21" s="21"/>
      <c r="G21" s="21"/>
      <c r="H21" s="21"/>
      <c r="I21" s="21"/>
      <c r="J21" s="45"/>
      <c r="K21" s="45"/>
      <c r="L21" s="45"/>
      <c r="M21" s="45"/>
      <c r="N21" s="45"/>
      <c r="O21" s="21"/>
      <c r="P21" s="21"/>
      <c r="Q21" s="21"/>
      <c r="R21" s="25" t="str">
        <f t="shared" si="0"/>
        <v/>
      </c>
    </row>
    <row r="22" spans="1:18" ht="33.6" customHeight="1">
      <c r="A22" s="28"/>
      <c r="B22" s="48"/>
      <c r="C22" s="48"/>
      <c r="D22" s="21"/>
      <c r="E22" s="21"/>
      <c r="F22" s="21"/>
      <c r="G22" s="21"/>
      <c r="H22" s="21"/>
      <c r="I22" s="21"/>
      <c r="J22" s="45"/>
      <c r="K22" s="45"/>
      <c r="L22" s="45"/>
      <c r="M22" s="45"/>
      <c r="N22" s="45"/>
      <c r="O22" s="21"/>
      <c r="P22" s="21"/>
      <c r="Q22" s="21"/>
      <c r="R22" s="25" t="str">
        <f t="shared" si="0"/>
        <v/>
      </c>
    </row>
    <row r="23" spans="1:18" ht="33.6" customHeight="1">
      <c r="A23" s="28"/>
      <c r="B23" s="48"/>
      <c r="C23" s="48"/>
      <c r="D23" s="21"/>
      <c r="E23" s="21"/>
      <c r="F23" s="21"/>
      <c r="G23" s="21"/>
      <c r="H23" s="21"/>
      <c r="I23" s="21"/>
      <c r="J23" s="45"/>
      <c r="K23" s="45"/>
      <c r="L23" s="45"/>
      <c r="M23" s="45"/>
      <c r="N23" s="45"/>
      <c r="O23" s="21"/>
      <c r="P23" s="21"/>
      <c r="Q23" s="21"/>
      <c r="R23" s="25" t="str">
        <f t="shared" si="0"/>
        <v/>
      </c>
    </row>
    <row r="24" spans="1:18" ht="33.6" customHeight="1">
      <c r="A24" s="28"/>
      <c r="B24" s="48"/>
      <c r="C24" s="48"/>
      <c r="D24" s="21"/>
      <c r="E24" s="21"/>
      <c r="F24" s="21"/>
      <c r="G24" s="21"/>
      <c r="H24" s="21"/>
      <c r="I24" s="21"/>
      <c r="J24" s="45"/>
      <c r="K24" s="45"/>
      <c r="L24" s="45"/>
      <c r="M24" s="45"/>
      <c r="N24" s="45"/>
      <c r="O24" s="21"/>
      <c r="P24" s="21"/>
      <c r="Q24" s="21"/>
      <c r="R24" s="25" t="str">
        <f t="shared" si="0"/>
        <v/>
      </c>
    </row>
    <row r="25" spans="1:18" ht="33.6" customHeight="1">
      <c r="A25" s="28"/>
      <c r="B25" s="48"/>
      <c r="C25" s="48"/>
      <c r="D25" s="21"/>
      <c r="E25" s="21"/>
      <c r="F25" s="21"/>
      <c r="G25" s="21"/>
      <c r="H25" s="21"/>
      <c r="I25" s="21"/>
      <c r="J25" s="45"/>
      <c r="K25" s="45"/>
      <c r="L25" s="45"/>
      <c r="M25" s="45"/>
      <c r="N25" s="45"/>
      <c r="O25" s="21"/>
      <c r="P25" s="21"/>
      <c r="Q25" s="21"/>
      <c r="R25" s="25" t="str">
        <f t="shared" si="0"/>
        <v/>
      </c>
    </row>
    <row r="26" spans="1:18" ht="33.6" customHeight="1">
      <c r="A26" s="28"/>
      <c r="B26" s="48"/>
      <c r="C26" s="48"/>
      <c r="D26" s="21"/>
      <c r="E26" s="21"/>
      <c r="F26" s="21"/>
      <c r="G26" s="21"/>
      <c r="H26" s="21"/>
      <c r="I26" s="21"/>
      <c r="J26" s="45"/>
      <c r="K26" s="45"/>
      <c r="L26" s="45"/>
      <c r="M26" s="45"/>
      <c r="N26" s="45"/>
      <c r="O26" s="21"/>
      <c r="P26" s="21"/>
      <c r="Q26" s="21"/>
      <c r="R26" s="25" t="str">
        <f t="shared" si="0"/>
        <v/>
      </c>
    </row>
    <row r="27" spans="1:18" ht="33.6" customHeight="1">
      <c r="A27" s="28"/>
      <c r="B27" s="48"/>
      <c r="C27" s="48"/>
      <c r="D27" s="21"/>
      <c r="E27" s="21"/>
      <c r="F27" s="21"/>
      <c r="G27" s="21"/>
      <c r="H27" s="21"/>
      <c r="I27" s="21"/>
      <c r="J27" s="45"/>
      <c r="K27" s="45"/>
      <c r="L27" s="45"/>
      <c r="M27" s="45"/>
      <c r="N27" s="45"/>
      <c r="O27" s="21"/>
      <c r="P27" s="21"/>
      <c r="Q27" s="21"/>
      <c r="R27" s="25" t="str">
        <f t="shared" si="0"/>
        <v/>
      </c>
    </row>
    <row r="28" spans="1:18" ht="33.6" customHeight="1">
      <c r="A28" s="28"/>
      <c r="B28" s="48"/>
      <c r="C28" s="48"/>
      <c r="D28" s="21"/>
      <c r="E28" s="21"/>
      <c r="F28" s="21"/>
      <c r="G28" s="21"/>
      <c r="H28" s="21"/>
      <c r="I28" s="21"/>
      <c r="J28" s="45"/>
      <c r="K28" s="45"/>
      <c r="L28" s="45"/>
      <c r="M28" s="45"/>
      <c r="N28" s="45"/>
      <c r="O28" s="21"/>
      <c r="P28" s="21"/>
      <c r="Q28" s="21"/>
      <c r="R28" s="25" t="str">
        <f t="shared" si="0"/>
        <v/>
      </c>
    </row>
    <row r="29" spans="1:18" ht="33.6" customHeight="1">
      <c r="A29" s="28"/>
      <c r="B29" s="48"/>
      <c r="C29" s="48"/>
      <c r="D29" s="21"/>
      <c r="E29" s="21"/>
      <c r="F29" s="21"/>
      <c r="G29" s="21"/>
      <c r="H29" s="21"/>
      <c r="I29" s="21"/>
      <c r="J29" s="45"/>
      <c r="K29" s="45"/>
      <c r="L29" s="45"/>
      <c r="M29" s="45"/>
      <c r="N29" s="45"/>
      <c r="O29" s="21"/>
      <c r="P29" s="21"/>
      <c r="Q29" s="21"/>
      <c r="R29" s="25" t="str">
        <f t="shared" si="0"/>
        <v/>
      </c>
    </row>
    <row r="30" spans="1:18" ht="33.6" customHeight="1">
      <c r="A30" s="28"/>
      <c r="B30" s="48"/>
      <c r="C30" s="48"/>
      <c r="D30" s="21"/>
      <c r="E30" s="21"/>
      <c r="F30" s="21"/>
      <c r="G30" s="21"/>
      <c r="H30" s="21"/>
      <c r="I30" s="21"/>
      <c r="J30" s="45"/>
      <c r="K30" s="45"/>
      <c r="L30" s="45"/>
      <c r="M30" s="45"/>
      <c r="N30" s="45"/>
      <c r="O30" s="21"/>
      <c r="P30" s="21"/>
      <c r="Q30" s="21"/>
      <c r="R30" s="25" t="str">
        <f t="shared" si="0"/>
        <v/>
      </c>
    </row>
    <row r="31" spans="1:18" ht="33.6" customHeight="1">
      <c r="A31" s="28"/>
      <c r="B31" s="48"/>
      <c r="C31" s="48"/>
      <c r="D31" s="21"/>
      <c r="E31" s="21"/>
      <c r="F31" s="21"/>
      <c r="G31" s="21"/>
      <c r="H31" s="21"/>
      <c r="I31" s="21"/>
      <c r="J31" s="45"/>
      <c r="K31" s="45"/>
      <c r="L31" s="45"/>
      <c r="M31" s="45"/>
      <c r="N31" s="45"/>
      <c r="O31" s="21"/>
      <c r="P31" s="21"/>
      <c r="Q31" s="21"/>
      <c r="R31" s="25" t="str">
        <f t="shared" si="0"/>
        <v/>
      </c>
    </row>
    <row r="32" spans="1:18" ht="33.6" customHeight="1">
      <c r="A32" s="28"/>
      <c r="B32" s="48"/>
      <c r="C32" s="48"/>
      <c r="D32" s="21"/>
      <c r="E32" s="21"/>
      <c r="F32" s="21"/>
      <c r="G32" s="21"/>
      <c r="H32" s="21"/>
      <c r="I32" s="21"/>
      <c r="J32" s="45"/>
      <c r="K32" s="45"/>
      <c r="L32" s="45"/>
      <c r="M32" s="45"/>
      <c r="N32" s="45"/>
      <c r="O32" s="21"/>
      <c r="P32" s="21"/>
      <c r="Q32" s="21"/>
      <c r="R32" s="25" t="str">
        <f t="shared" si="0"/>
        <v/>
      </c>
    </row>
    <row r="33" spans="1:18" ht="33.6" customHeight="1">
      <c r="A33" s="28"/>
      <c r="B33" s="48"/>
      <c r="C33" s="48"/>
      <c r="D33" s="21"/>
      <c r="E33" s="21"/>
      <c r="F33" s="21"/>
      <c r="G33" s="21"/>
      <c r="H33" s="21"/>
      <c r="I33" s="21"/>
      <c r="J33" s="45"/>
      <c r="K33" s="45"/>
      <c r="L33" s="45"/>
      <c r="M33" s="45"/>
      <c r="N33" s="45"/>
      <c r="O33" s="21"/>
      <c r="P33" s="21"/>
      <c r="Q33" s="21"/>
      <c r="R33" s="25" t="str">
        <f t="shared" si="0"/>
        <v/>
      </c>
    </row>
    <row r="34" spans="1:18" ht="33.6" customHeight="1">
      <c r="A34" s="28"/>
      <c r="B34" s="48"/>
      <c r="C34" s="48"/>
      <c r="D34" s="21"/>
      <c r="E34" s="21"/>
      <c r="F34" s="21"/>
      <c r="G34" s="21"/>
      <c r="H34" s="21"/>
      <c r="I34" s="21"/>
      <c r="J34" s="45"/>
      <c r="K34" s="45"/>
      <c r="L34" s="45"/>
      <c r="M34" s="45"/>
      <c r="N34" s="45"/>
      <c r="O34" s="21"/>
      <c r="P34" s="21"/>
      <c r="Q34" s="21"/>
      <c r="R34" s="25" t="str">
        <f t="shared" si="0"/>
        <v/>
      </c>
    </row>
    <row r="35" spans="1:18" ht="33.6" customHeight="1">
      <c r="A35" s="28"/>
      <c r="B35" s="48"/>
      <c r="C35" s="48"/>
      <c r="D35" s="21"/>
      <c r="E35" s="21"/>
      <c r="F35" s="21"/>
      <c r="G35" s="21"/>
      <c r="H35" s="21"/>
      <c r="I35" s="21"/>
      <c r="J35" s="45"/>
      <c r="K35" s="45"/>
      <c r="L35" s="45"/>
      <c r="M35" s="45"/>
      <c r="N35" s="45"/>
      <c r="O35" s="21"/>
      <c r="P35" s="21"/>
      <c r="Q35" s="21"/>
      <c r="R35" s="25" t="str">
        <f t="shared" si="0"/>
        <v/>
      </c>
    </row>
    <row r="36" spans="1:18" ht="33.6" customHeight="1">
      <c r="A36" s="28"/>
      <c r="B36" s="48"/>
      <c r="C36" s="48"/>
      <c r="D36" s="21"/>
      <c r="E36" s="21"/>
      <c r="F36" s="21"/>
      <c r="G36" s="21"/>
      <c r="H36" s="21"/>
      <c r="I36" s="21"/>
      <c r="J36" s="45"/>
      <c r="K36" s="45"/>
      <c r="L36" s="45"/>
      <c r="M36" s="45"/>
      <c r="N36" s="45"/>
      <c r="O36" s="21"/>
      <c r="P36" s="21"/>
      <c r="Q36" s="21"/>
      <c r="R36" s="25" t="str">
        <f t="shared" si="0"/>
        <v/>
      </c>
    </row>
    <row r="37" spans="1:18" ht="33.6" customHeight="1">
      <c r="A37" s="28"/>
      <c r="B37" s="48"/>
      <c r="C37" s="48"/>
      <c r="D37" s="21"/>
      <c r="E37" s="21"/>
      <c r="F37" s="21"/>
      <c r="G37" s="21"/>
      <c r="H37" s="21"/>
      <c r="I37" s="21"/>
      <c r="J37" s="45"/>
      <c r="K37" s="45"/>
      <c r="L37" s="45"/>
      <c r="M37" s="45"/>
      <c r="N37" s="45"/>
      <c r="O37" s="21"/>
      <c r="P37" s="21"/>
      <c r="Q37" s="21"/>
      <c r="R37" s="25" t="str">
        <f t="shared" si="0"/>
        <v/>
      </c>
    </row>
    <row r="38" spans="1:18" ht="33.6" customHeight="1">
      <c r="A38" s="28"/>
      <c r="B38" s="48"/>
      <c r="C38" s="48"/>
      <c r="D38" s="21"/>
      <c r="E38" s="21"/>
      <c r="F38" s="21"/>
      <c r="G38" s="21"/>
      <c r="H38" s="21"/>
      <c r="I38" s="21"/>
      <c r="J38" s="45"/>
      <c r="K38" s="45"/>
      <c r="L38" s="45"/>
      <c r="M38" s="45"/>
      <c r="N38" s="45"/>
      <c r="O38" s="21"/>
      <c r="P38" s="21"/>
      <c r="Q38" s="21"/>
      <c r="R38" s="25" t="str">
        <f t="shared" si="0"/>
        <v/>
      </c>
    </row>
    <row r="39" spans="1:18" ht="33.6" customHeight="1">
      <c r="A39" s="28"/>
      <c r="B39" s="48"/>
      <c r="C39" s="48"/>
      <c r="D39" s="21"/>
      <c r="E39" s="21"/>
      <c r="F39" s="21"/>
      <c r="G39" s="21"/>
      <c r="H39" s="21"/>
      <c r="I39" s="21"/>
      <c r="J39" s="45"/>
      <c r="K39" s="45"/>
      <c r="L39" s="45"/>
      <c r="M39" s="45"/>
      <c r="N39" s="45"/>
      <c r="O39" s="21"/>
      <c r="P39" s="21"/>
      <c r="Q39" s="21"/>
      <c r="R39" s="25" t="str">
        <f t="shared" si="0"/>
        <v/>
      </c>
    </row>
    <row r="40" spans="1:18" ht="33.6" customHeight="1">
      <c r="A40" s="28"/>
      <c r="B40" s="48"/>
      <c r="C40" s="48"/>
      <c r="D40" s="21"/>
      <c r="E40" s="21"/>
      <c r="F40" s="21"/>
      <c r="G40" s="21"/>
      <c r="H40" s="21"/>
      <c r="I40" s="21"/>
      <c r="J40" s="45"/>
      <c r="K40" s="45"/>
      <c r="L40" s="45"/>
      <c r="M40" s="45"/>
      <c r="N40" s="45"/>
      <c r="O40" s="21"/>
      <c r="P40" s="21"/>
      <c r="Q40" s="21"/>
      <c r="R40" s="25" t="str">
        <f t="shared" si="0"/>
        <v/>
      </c>
    </row>
    <row r="41" spans="1:18" ht="33.6" customHeight="1">
      <c r="A41" s="28"/>
      <c r="B41" s="48"/>
      <c r="C41" s="48"/>
      <c r="D41" s="21"/>
      <c r="E41" s="21"/>
      <c r="F41" s="21"/>
      <c r="G41" s="21"/>
      <c r="H41" s="21"/>
      <c r="I41" s="21"/>
      <c r="J41" s="45"/>
      <c r="K41" s="45"/>
      <c r="L41" s="45"/>
      <c r="M41" s="45"/>
      <c r="N41" s="45"/>
      <c r="O41" s="21"/>
      <c r="P41" s="21"/>
      <c r="Q41" s="21"/>
      <c r="R41" s="25" t="str">
        <f t="shared" si="0"/>
        <v/>
      </c>
    </row>
    <row r="42" spans="1:18" ht="33.6" customHeight="1">
      <c r="A42" s="28"/>
      <c r="B42" s="48"/>
      <c r="C42" s="48"/>
      <c r="D42" s="21"/>
      <c r="E42" s="21"/>
      <c r="F42" s="21"/>
      <c r="G42" s="21"/>
      <c r="H42" s="21"/>
      <c r="I42" s="21"/>
      <c r="J42" s="45"/>
      <c r="K42" s="45"/>
      <c r="L42" s="45"/>
      <c r="M42" s="45"/>
      <c r="N42" s="45"/>
      <c r="O42" s="21"/>
      <c r="P42" s="21"/>
      <c r="Q42" s="21"/>
      <c r="R42" s="25" t="str">
        <f t="shared" si="0"/>
        <v/>
      </c>
    </row>
    <row r="43" spans="1:18" ht="33.6" customHeight="1">
      <c r="A43" s="28"/>
      <c r="B43" s="48"/>
      <c r="C43" s="48"/>
      <c r="D43" s="21"/>
      <c r="E43" s="21"/>
      <c r="F43" s="21"/>
      <c r="G43" s="21"/>
      <c r="H43" s="21"/>
      <c r="I43" s="21"/>
      <c r="J43" s="45"/>
      <c r="K43" s="45"/>
      <c r="L43" s="45"/>
      <c r="M43" s="45"/>
      <c r="N43" s="45"/>
      <c r="O43" s="21"/>
      <c r="P43" s="21"/>
      <c r="Q43" s="21"/>
      <c r="R43" s="25" t="str">
        <f t="shared" si="0"/>
        <v/>
      </c>
    </row>
    <row r="44" spans="1:18" ht="33.6" customHeight="1">
      <c r="A44" s="28"/>
      <c r="B44" s="48"/>
      <c r="C44" s="48"/>
      <c r="D44" s="21"/>
      <c r="E44" s="21"/>
      <c r="F44" s="21"/>
      <c r="G44" s="21"/>
      <c r="H44" s="21"/>
      <c r="I44" s="21"/>
      <c r="J44" s="45"/>
      <c r="K44" s="45"/>
      <c r="L44" s="45"/>
      <c r="M44" s="45"/>
      <c r="N44" s="45"/>
      <c r="O44" s="21"/>
      <c r="P44" s="21"/>
      <c r="Q44" s="21"/>
      <c r="R44" s="25" t="str">
        <f t="shared" si="0"/>
        <v/>
      </c>
    </row>
    <row r="45" spans="1:18" ht="33.6" customHeight="1">
      <c r="A45" s="28"/>
      <c r="B45" s="48"/>
      <c r="C45" s="48"/>
      <c r="D45" s="21"/>
      <c r="E45" s="21"/>
      <c r="F45" s="21"/>
      <c r="G45" s="21"/>
      <c r="H45" s="21"/>
      <c r="I45" s="21"/>
      <c r="J45" s="45"/>
      <c r="K45" s="45"/>
      <c r="L45" s="45"/>
      <c r="M45" s="45"/>
      <c r="N45" s="45"/>
      <c r="O45" s="21"/>
      <c r="P45" s="21"/>
      <c r="Q45" s="21"/>
      <c r="R45" s="25" t="str">
        <f t="shared" si="0"/>
        <v/>
      </c>
    </row>
    <row r="46" spans="1:18" ht="33.6" customHeight="1">
      <c r="A46" s="28"/>
      <c r="B46" s="48"/>
      <c r="C46" s="48"/>
      <c r="D46" s="21"/>
      <c r="E46" s="21"/>
      <c r="F46" s="21"/>
      <c r="G46" s="21"/>
      <c r="H46" s="21"/>
      <c r="I46" s="21"/>
      <c r="J46" s="45"/>
      <c r="K46" s="45"/>
      <c r="L46" s="45"/>
      <c r="M46" s="45"/>
      <c r="N46" s="45"/>
      <c r="O46" s="21"/>
      <c r="P46" s="21"/>
      <c r="Q46" s="21"/>
      <c r="R46" s="25" t="str">
        <f t="shared" si="0"/>
        <v/>
      </c>
    </row>
    <row r="47" spans="1:18" ht="33.6" customHeight="1">
      <c r="A47" s="28"/>
      <c r="B47" s="48"/>
      <c r="C47" s="48"/>
      <c r="D47" s="21"/>
      <c r="E47" s="21"/>
      <c r="F47" s="21"/>
      <c r="G47" s="21"/>
      <c r="H47" s="21"/>
      <c r="I47" s="21"/>
      <c r="J47" s="45"/>
      <c r="K47" s="45"/>
      <c r="L47" s="45"/>
      <c r="M47" s="45"/>
      <c r="N47" s="45"/>
      <c r="O47" s="21"/>
      <c r="P47" s="21"/>
      <c r="Q47" s="21"/>
      <c r="R47" s="25" t="str">
        <f t="shared" si="0"/>
        <v/>
      </c>
    </row>
    <row r="48" spans="1:18" ht="33.6" customHeight="1">
      <c r="A48" s="28"/>
      <c r="B48" s="48"/>
      <c r="C48" s="48"/>
      <c r="D48" s="21"/>
      <c r="E48" s="21"/>
      <c r="F48" s="21"/>
      <c r="G48" s="21"/>
      <c r="H48" s="21"/>
      <c r="I48" s="21"/>
      <c r="J48" s="45"/>
      <c r="K48" s="45"/>
      <c r="L48" s="45"/>
      <c r="M48" s="45"/>
      <c r="N48" s="45"/>
      <c r="O48" s="21"/>
      <c r="P48" s="21"/>
      <c r="Q48" s="21"/>
      <c r="R48" s="25" t="str">
        <f t="shared" si="0"/>
        <v/>
      </c>
    </row>
    <row r="49" spans="1:18" ht="33.6" customHeight="1">
      <c r="A49" s="28"/>
      <c r="B49" s="48"/>
      <c r="C49" s="48"/>
      <c r="D49" s="21"/>
      <c r="E49" s="21"/>
      <c r="F49" s="21"/>
      <c r="G49" s="21"/>
      <c r="H49" s="21"/>
      <c r="I49" s="21"/>
      <c r="J49" s="45"/>
      <c r="K49" s="45"/>
      <c r="L49" s="45"/>
      <c r="M49" s="45"/>
      <c r="N49" s="45"/>
      <c r="O49" s="21"/>
      <c r="P49" s="21"/>
      <c r="Q49" s="21"/>
      <c r="R49" s="25" t="str">
        <f t="shared" si="0"/>
        <v/>
      </c>
    </row>
    <row r="50" spans="1:18" ht="33.6" customHeight="1">
      <c r="A50" s="28"/>
      <c r="B50" s="48"/>
      <c r="C50" s="48"/>
      <c r="D50" s="21"/>
      <c r="E50" s="21"/>
      <c r="F50" s="21"/>
      <c r="G50" s="21"/>
      <c r="H50" s="21"/>
      <c r="I50" s="21"/>
      <c r="J50" s="45"/>
      <c r="K50" s="45"/>
      <c r="L50" s="45"/>
      <c r="M50" s="45"/>
      <c r="N50" s="45"/>
      <c r="O50" s="21"/>
      <c r="P50" s="21"/>
      <c r="Q50" s="21"/>
      <c r="R50" s="25" t="str">
        <f t="shared" si="0"/>
        <v/>
      </c>
    </row>
    <row r="51" spans="1:18" ht="33.6" customHeight="1">
      <c r="A51" s="28"/>
      <c r="B51" s="48"/>
      <c r="C51" s="48"/>
      <c r="D51" s="21"/>
      <c r="E51" s="21"/>
      <c r="F51" s="21"/>
      <c r="G51" s="21"/>
      <c r="H51" s="21"/>
      <c r="I51" s="21"/>
      <c r="J51" s="45"/>
      <c r="K51" s="45"/>
      <c r="L51" s="45"/>
      <c r="M51" s="45"/>
      <c r="N51" s="45"/>
      <c r="O51" s="21"/>
      <c r="P51" s="21"/>
      <c r="Q51" s="21"/>
      <c r="R51" s="25" t="str">
        <f t="shared" ref="R51:R114" si="1">IF(COUNTIF($A$17:$A$2010,$A51)&gt;1,"Possible Duplicate","")</f>
        <v/>
      </c>
    </row>
    <row r="52" spans="1:18" ht="33.6" customHeight="1">
      <c r="A52" s="28"/>
      <c r="B52" s="48"/>
      <c r="C52" s="48"/>
      <c r="D52" s="21"/>
      <c r="E52" s="21"/>
      <c r="F52" s="21"/>
      <c r="G52" s="21"/>
      <c r="H52" s="21"/>
      <c r="I52" s="21"/>
      <c r="J52" s="45"/>
      <c r="K52" s="45"/>
      <c r="L52" s="45"/>
      <c r="M52" s="45"/>
      <c r="N52" s="45"/>
      <c r="O52" s="21"/>
      <c r="P52" s="21"/>
      <c r="Q52" s="21"/>
      <c r="R52" s="25" t="str">
        <f t="shared" si="1"/>
        <v/>
      </c>
    </row>
    <row r="53" spans="1:18" ht="33.6" customHeight="1">
      <c r="A53" s="28"/>
      <c r="B53" s="48"/>
      <c r="C53" s="48"/>
      <c r="D53" s="21"/>
      <c r="E53" s="21"/>
      <c r="F53" s="21"/>
      <c r="G53" s="21"/>
      <c r="H53" s="21"/>
      <c r="I53" s="21"/>
      <c r="J53" s="45"/>
      <c r="K53" s="45"/>
      <c r="L53" s="45"/>
      <c r="M53" s="45"/>
      <c r="N53" s="45"/>
      <c r="O53" s="21"/>
      <c r="P53" s="21"/>
      <c r="Q53" s="21"/>
      <c r="R53" s="25" t="str">
        <f t="shared" si="1"/>
        <v/>
      </c>
    </row>
    <row r="54" spans="1:18" ht="33.6" customHeight="1">
      <c r="A54" s="28"/>
      <c r="B54" s="48"/>
      <c r="C54" s="48"/>
      <c r="D54" s="21"/>
      <c r="E54" s="21"/>
      <c r="F54" s="21"/>
      <c r="G54" s="21"/>
      <c r="H54" s="21"/>
      <c r="I54" s="21"/>
      <c r="J54" s="45"/>
      <c r="K54" s="45"/>
      <c r="L54" s="45"/>
      <c r="M54" s="45"/>
      <c r="N54" s="45"/>
      <c r="O54" s="21"/>
      <c r="P54" s="21"/>
      <c r="Q54" s="21"/>
      <c r="R54" s="25" t="str">
        <f t="shared" si="1"/>
        <v/>
      </c>
    </row>
    <row r="55" spans="1:18" ht="33.6" customHeight="1">
      <c r="A55" s="28"/>
      <c r="B55" s="48"/>
      <c r="C55" s="48"/>
      <c r="D55" s="21"/>
      <c r="E55" s="21"/>
      <c r="F55" s="21"/>
      <c r="G55" s="21"/>
      <c r="H55" s="21"/>
      <c r="I55" s="21"/>
      <c r="J55" s="45"/>
      <c r="K55" s="45"/>
      <c r="L55" s="45"/>
      <c r="M55" s="45"/>
      <c r="N55" s="45"/>
      <c r="O55" s="21"/>
      <c r="P55" s="21"/>
      <c r="Q55" s="21"/>
      <c r="R55" s="25" t="str">
        <f t="shared" si="1"/>
        <v/>
      </c>
    </row>
    <row r="56" spans="1:18" ht="33.6" customHeight="1">
      <c r="A56" s="28"/>
      <c r="B56" s="48"/>
      <c r="C56" s="48"/>
      <c r="D56" s="21"/>
      <c r="E56" s="21"/>
      <c r="F56" s="21"/>
      <c r="G56" s="21"/>
      <c r="H56" s="21"/>
      <c r="I56" s="21"/>
      <c r="J56" s="45"/>
      <c r="K56" s="45"/>
      <c r="L56" s="45"/>
      <c r="M56" s="45"/>
      <c r="N56" s="45"/>
      <c r="O56" s="21"/>
      <c r="P56" s="21"/>
      <c r="Q56" s="21"/>
      <c r="R56" s="25" t="str">
        <f t="shared" si="1"/>
        <v/>
      </c>
    </row>
    <row r="57" spans="1:18" ht="33.6" customHeight="1">
      <c r="A57" s="28"/>
      <c r="B57" s="48"/>
      <c r="C57" s="48"/>
      <c r="D57" s="21"/>
      <c r="E57" s="21"/>
      <c r="F57" s="21"/>
      <c r="G57" s="21"/>
      <c r="H57" s="21"/>
      <c r="I57" s="21"/>
      <c r="J57" s="45"/>
      <c r="K57" s="45"/>
      <c r="L57" s="45"/>
      <c r="M57" s="45"/>
      <c r="N57" s="45"/>
      <c r="O57" s="21"/>
      <c r="P57" s="21"/>
      <c r="Q57" s="21"/>
      <c r="R57" s="25" t="str">
        <f t="shared" si="1"/>
        <v/>
      </c>
    </row>
    <row r="58" spans="1:18" ht="33.6" customHeight="1">
      <c r="A58" s="28"/>
      <c r="B58" s="48"/>
      <c r="C58" s="48"/>
      <c r="D58" s="21"/>
      <c r="E58" s="21"/>
      <c r="F58" s="21"/>
      <c r="G58" s="21"/>
      <c r="H58" s="21"/>
      <c r="I58" s="21"/>
      <c r="J58" s="45"/>
      <c r="K58" s="45"/>
      <c r="L58" s="45"/>
      <c r="M58" s="45"/>
      <c r="N58" s="45"/>
      <c r="O58" s="21"/>
      <c r="P58" s="21"/>
      <c r="Q58" s="21"/>
      <c r="R58" s="25" t="str">
        <f t="shared" si="1"/>
        <v/>
      </c>
    </row>
    <row r="59" spans="1:18" ht="33.6" customHeight="1">
      <c r="A59" s="28"/>
      <c r="B59" s="48"/>
      <c r="C59" s="48"/>
      <c r="D59" s="21"/>
      <c r="E59" s="21"/>
      <c r="F59" s="21"/>
      <c r="G59" s="21"/>
      <c r="H59" s="21"/>
      <c r="I59" s="21"/>
      <c r="J59" s="45"/>
      <c r="K59" s="45"/>
      <c r="L59" s="45"/>
      <c r="M59" s="45"/>
      <c r="N59" s="45"/>
      <c r="O59" s="21"/>
      <c r="P59" s="21"/>
      <c r="Q59" s="21"/>
      <c r="R59" s="25" t="str">
        <f t="shared" si="1"/>
        <v/>
      </c>
    </row>
    <row r="60" spans="1:18" ht="33.6" customHeight="1">
      <c r="A60" s="28"/>
      <c r="B60" s="48"/>
      <c r="C60" s="48"/>
      <c r="D60" s="21"/>
      <c r="E60" s="21"/>
      <c r="F60" s="21"/>
      <c r="G60" s="21"/>
      <c r="H60" s="21"/>
      <c r="I60" s="21"/>
      <c r="J60" s="45"/>
      <c r="K60" s="45"/>
      <c r="L60" s="45"/>
      <c r="M60" s="45"/>
      <c r="N60" s="45"/>
      <c r="O60" s="21"/>
      <c r="P60" s="21"/>
      <c r="Q60" s="21"/>
      <c r="R60" s="25" t="str">
        <f t="shared" si="1"/>
        <v/>
      </c>
    </row>
    <row r="61" spans="1:18" ht="33.6" customHeight="1">
      <c r="A61" s="28"/>
      <c r="B61" s="48"/>
      <c r="C61" s="48"/>
      <c r="D61" s="21"/>
      <c r="E61" s="21"/>
      <c r="F61" s="21"/>
      <c r="G61" s="21"/>
      <c r="H61" s="21"/>
      <c r="I61" s="21"/>
      <c r="J61" s="45"/>
      <c r="K61" s="45"/>
      <c r="L61" s="45"/>
      <c r="M61" s="45"/>
      <c r="N61" s="45"/>
      <c r="O61" s="21"/>
      <c r="P61" s="21"/>
      <c r="Q61" s="21"/>
      <c r="R61" s="25" t="str">
        <f t="shared" si="1"/>
        <v/>
      </c>
    </row>
    <row r="62" spans="1:18" ht="33.6" customHeight="1">
      <c r="A62" s="28"/>
      <c r="B62" s="48"/>
      <c r="C62" s="48"/>
      <c r="D62" s="21"/>
      <c r="E62" s="21"/>
      <c r="F62" s="21"/>
      <c r="G62" s="21"/>
      <c r="H62" s="21"/>
      <c r="I62" s="21"/>
      <c r="J62" s="45"/>
      <c r="K62" s="45"/>
      <c r="L62" s="45"/>
      <c r="M62" s="45"/>
      <c r="N62" s="45"/>
      <c r="O62" s="21"/>
      <c r="P62" s="21"/>
      <c r="Q62" s="21"/>
      <c r="R62" s="25" t="str">
        <f t="shared" si="1"/>
        <v/>
      </c>
    </row>
    <row r="63" spans="1:18" ht="33.6" customHeight="1">
      <c r="A63" s="28"/>
      <c r="B63" s="48"/>
      <c r="C63" s="48"/>
      <c r="D63" s="21"/>
      <c r="E63" s="21"/>
      <c r="F63" s="21"/>
      <c r="G63" s="21"/>
      <c r="H63" s="21"/>
      <c r="I63" s="21"/>
      <c r="J63" s="45"/>
      <c r="K63" s="45"/>
      <c r="L63" s="45"/>
      <c r="M63" s="45"/>
      <c r="N63" s="45"/>
      <c r="O63" s="21"/>
      <c r="P63" s="21"/>
      <c r="Q63" s="21"/>
      <c r="R63" s="25" t="str">
        <f t="shared" si="1"/>
        <v/>
      </c>
    </row>
    <row r="64" spans="1:18" ht="33.6" customHeight="1">
      <c r="A64" s="28"/>
      <c r="B64" s="48"/>
      <c r="C64" s="48"/>
      <c r="D64" s="21"/>
      <c r="E64" s="21"/>
      <c r="F64" s="21"/>
      <c r="G64" s="21"/>
      <c r="H64" s="21"/>
      <c r="I64" s="21"/>
      <c r="J64" s="45"/>
      <c r="K64" s="45"/>
      <c r="L64" s="45"/>
      <c r="M64" s="45"/>
      <c r="N64" s="45"/>
      <c r="O64" s="21"/>
      <c r="P64" s="21"/>
      <c r="Q64" s="21"/>
      <c r="R64" s="25" t="str">
        <f t="shared" si="1"/>
        <v/>
      </c>
    </row>
    <row r="65" spans="1:18" ht="33.6" customHeight="1">
      <c r="A65" s="28"/>
      <c r="B65" s="48"/>
      <c r="C65" s="48"/>
      <c r="D65" s="21"/>
      <c r="E65" s="21"/>
      <c r="F65" s="21"/>
      <c r="G65" s="21"/>
      <c r="H65" s="21"/>
      <c r="I65" s="21"/>
      <c r="J65" s="45"/>
      <c r="K65" s="45"/>
      <c r="L65" s="45"/>
      <c r="M65" s="45"/>
      <c r="N65" s="45"/>
      <c r="O65" s="21"/>
      <c r="P65" s="21"/>
      <c r="Q65" s="21"/>
      <c r="R65" s="25" t="str">
        <f t="shared" si="1"/>
        <v/>
      </c>
    </row>
    <row r="66" spans="1:18" ht="33.6" customHeight="1">
      <c r="A66" s="28"/>
      <c r="B66" s="48"/>
      <c r="C66" s="48"/>
      <c r="D66" s="21"/>
      <c r="E66" s="21"/>
      <c r="F66" s="21"/>
      <c r="G66" s="21"/>
      <c r="H66" s="21"/>
      <c r="I66" s="21"/>
      <c r="J66" s="45"/>
      <c r="K66" s="45"/>
      <c r="L66" s="45"/>
      <c r="M66" s="45"/>
      <c r="N66" s="45"/>
      <c r="O66" s="21"/>
      <c r="P66" s="21"/>
      <c r="Q66" s="21"/>
      <c r="R66" s="25" t="str">
        <f t="shared" si="1"/>
        <v/>
      </c>
    </row>
    <row r="67" spans="1:18" ht="33.6" customHeight="1">
      <c r="A67" s="28"/>
      <c r="B67" s="48"/>
      <c r="C67" s="48"/>
      <c r="D67" s="21"/>
      <c r="E67" s="21"/>
      <c r="F67" s="21"/>
      <c r="G67" s="21"/>
      <c r="H67" s="21"/>
      <c r="I67" s="21"/>
      <c r="J67" s="45"/>
      <c r="K67" s="45"/>
      <c r="L67" s="45"/>
      <c r="M67" s="45"/>
      <c r="N67" s="45"/>
      <c r="O67" s="21"/>
      <c r="P67" s="21"/>
      <c r="Q67" s="21"/>
      <c r="R67" s="25" t="str">
        <f t="shared" si="1"/>
        <v/>
      </c>
    </row>
    <row r="68" spans="1:18" ht="33.6" customHeight="1">
      <c r="A68" s="28"/>
      <c r="B68" s="48"/>
      <c r="C68" s="48"/>
      <c r="D68" s="21"/>
      <c r="E68" s="21"/>
      <c r="F68" s="21"/>
      <c r="G68" s="21"/>
      <c r="H68" s="21"/>
      <c r="I68" s="21"/>
      <c r="J68" s="45"/>
      <c r="K68" s="45"/>
      <c r="L68" s="45"/>
      <c r="M68" s="45"/>
      <c r="N68" s="45"/>
      <c r="O68" s="21"/>
      <c r="P68" s="21"/>
      <c r="Q68" s="21"/>
      <c r="R68" s="25" t="str">
        <f t="shared" si="1"/>
        <v/>
      </c>
    </row>
    <row r="69" spans="1:18" ht="33.6" customHeight="1">
      <c r="A69" s="28"/>
      <c r="B69" s="48"/>
      <c r="C69" s="48"/>
      <c r="D69" s="21"/>
      <c r="E69" s="21"/>
      <c r="F69" s="21"/>
      <c r="G69" s="21"/>
      <c r="H69" s="21"/>
      <c r="I69" s="21"/>
      <c r="J69" s="45"/>
      <c r="K69" s="45"/>
      <c r="L69" s="45"/>
      <c r="M69" s="45"/>
      <c r="N69" s="45"/>
      <c r="O69" s="21"/>
      <c r="P69" s="21"/>
      <c r="Q69" s="21"/>
      <c r="R69" s="25" t="str">
        <f t="shared" si="1"/>
        <v/>
      </c>
    </row>
    <row r="70" spans="1:18" ht="33.6" customHeight="1">
      <c r="A70" s="28"/>
      <c r="B70" s="48"/>
      <c r="C70" s="48"/>
      <c r="D70" s="21"/>
      <c r="E70" s="21"/>
      <c r="F70" s="21"/>
      <c r="G70" s="21"/>
      <c r="H70" s="21"/>
      <c r="I70" s="21"/>
      <c r="J70" s="45"/>
      <c r="K70" s="45"/>
      <c r="L70" s="45"/>
      <c r="M70" s="45"/>
      <c r="N70" s="45"/>
      <c r="O70" s="21"/>
      <c r="P70" s="21"/>
      <c r="Q70" s="21"/>
      <c r="R70" s="25" t="str">
        <f t="shared" si="1"/>
        <v/>
      </c>
    </row>
    <row r="71" spans="1:18" ht="33.6" customHeight="1">
      <c r="A71" s="28"/>
      <c r="B71" s="48"/>
      <c r="C71" s="48"/>
      <c r="D71" s="21"/>
      <c r="E71" s="21"/>
      <c r="F71" s="21"/>
      <c r="G71" s="21"/>
      <c r="H71" s="21"/>
      <c r="I71" s="21"/>
      <c r="J71" s="45"/>
      <c r="K71" s="45"/>
      <c r="L71" s="45"/>
      <c r="M71" s="45"/>
      <c r="N71" s="45"/>
      <c r="O71" s="21"/>
      <c r="P71" s="21"/>
      <c r="Q71" s="21"/>
      <c r="R71" s="25" t="str">
        <f t="shared" si="1"/>
        <v/>
      </c>
    </row>
    <row r="72" spans="1:18" ht="33.6" customHeight="1">
      <c r="A72" s="28"/>
      <c r="B72" s="48"/>
      <c r="C72" s="48"/>
      <c r="D72" s="21"/>
      <c r="E72" s="21"/>
      <c r="F72" s="21"/>
      <c r="G72" s="21"/>
      <c r="H72" s="21"/>
      <c r="I72" s="21"/>
      <c r="J72" s="45"/>
      <c r="K72" s="45"/>
      <c r="L72" s="45"/>
      <c r="M72" s="45"/>
      <c r="N72" s="45"/>
      <c r="O72" s="21"/>
      <c r="P72" s="21"/>
      <c r="Q72" s="21"/>
      <c r="R72" s="25" t="str">
        <f t="shared" si="1"/>
        <v/>
      </c>
    </row>
    <row r="73" spans="1:18" ht="33.6" customHeight="1">
      <c r="A73" s="28"/>
      <c r="B73" s="48"/>
      <c r="C73" s="48"/>
      <c r="D73" s="21"/>
      <c r="E73" s="21"/>
      <c r="F73" s="21"/>
      <c r="G73" s="21"/>
      <c r="H73" s="21"/>
      <c r="I73" s="21"/>
      <c r="J73" s="45"/>
      <c r="K73" s="45"/>
      <c r="L73" s="45"/>
      <c r="M73" s="45"/>
      <c r="N73" s="45"/>
      <c r="O73" s="21"/>
      <c r="P73" s="21"/>
      <c r="Q73" s="21"/>
      <c r="R73" s="25" t="str">
        <f t="shared" si="1"/>
        <v/>
      </c>
    </row>
    <row r="74" spans="1:18" ht="33.6" customHeight="1">
      <c r="A74" s="28"/>
      <c r="B74" s="48"/>
      <c r="C74" s="48"/>
      <c r="D74" s="21"/>
      <c r="E74" s="21"/>
      <c r="F74" s="21"/>
      <c r="G74" s="21"/>
      <c r="H74" s="21"/>
      <c r="I74" s="21"/>
      <c r="J74" s="45"/>
      <c r="K74" s="45"/>
      <c r="L74" s="45"/>
      <c r="M74" s="45"/>
      <c r="N74" s="45"/>
      <c r="O74" s="21"/>
      <c r="P74" s="21"/>
      <c r="Q74" s="21"/>
      <c r="R74" s="25" t="str">
        <f t="shared" si="1"/>
        <v/>
      </c>
    </row>
    <row r="75" spans="1:18" ht="33.6" customHeight="1">
      <c r="A75" s="28"/>
      <c r="B75" s="48"/>
      <c r="C75" s="48"/>
      <c r="D75" s="21"/>
      <c r="E75" s="21"/>
      <c r="F75" s="21"/>
      <c r="G75" s="21"/>
      <c r="H75" s="21"/>
      <c r="I75" s="21"/>
      <c r="J75" s="45"/>
      <c r="K75" s="45"/>
      <c r="L75" s="45"/>
      <c r="M75" s="45"/>
      <c r="N75" s="45"/>
      <c r="O75" s="21"/>
      <c r="P75" s="21"/>
      <c r="Q75" s="21"/>
      <c r="R75" s="25" t="str">
        <f t="shared" si="1"/>
        <v/>
      </c>
    </row>
    <row r="76" spans="1:18" ht="33.6" customHeight="1">
      <c r="A76" s="28"/>
      <c r="B76" s="48"/>
      <c r="C76" s="48"/>
      <c r="D76" s="21"/>
      <c r="E76" s="21"/>
      <c r="F76" s="21"/>
      <c r="G76" s="21"/>
      <c r="H76" s="21"/>
      <c r="I76" s="21"/>
      <c r="J76" s="45"/>
      <c r="K76" s="45"/>
      <c r="L76" s="45"/>
      <c r="M76" s="45"/>
      <c r="N76" s="45"/>
      <c r="O76" s="21"/>
      <c r="P76" s="21"/>
      <c r="Q76" s="21"/>
      <c r="R76" s="25" t="str">
        <f t="shared" si="1"/>
        <v/>
      </c>
    </row>
    <row r="77" spans="1:18" ht="33.6" customHeight="1">
      <c r="A77" s="28"/>
      <c r="B77" s="48"/>
      <c r="C77" s="48"/>
      <c r="D77" s="21"/>
      <c r="E77" s="21"/>
      <c r="F77" s="21"/>
      <c r="G77" s="21"/>
      <c r="H77" s="21"/>
      <c r="I77" s="21"/>
      <c r="J77" s="45"/>
      <c r="K77" s="45"/>
      <c r="L77" s="45"/>
      <c r="M77" s="45"/>
      <c r="N77" s="45"/>
      <c r="O77" s="21"/>
      <c r="P77" s="21"/>
      <c r="Q77" s="21"/>
      <c r="R77" s="25" t="str">
        <f t="shared" si="1"/>
        <v/>
      </c>
    </row>
    <row r="78" spans="1:18" ht="33.6" customHeight="1">
      <c r="A78" s="28"/>
      <c r="B78" s="48"/>
      <c r="C78" s="48"/>
      <c r="D78" s="21"/>
      <c r="E78" s="21"/>
      <c r="F78" s="21"/>
      <c r="G78" s="21"/>
      <c r="H78" s="21"/>
      <c r="I78" s="21"/>
      <c r="J78" s="45"/>
      <c r="K78" s="45"/>
      <c r="L78" s="45"/>
      <c r="M78" s="45"/>
      <c r="N78" s="45"/>
      <c r="O78" s="21"/>
      <c r="P78" s="21"/>
      <c r="Q78" s="21"/>
      <c r="R78" s="25" t="str">
        <f t="shared" si="1"/>
        <v/>
      </c>
    </row>
    <row r="79" spans="1:18" ht="33.6" customHeight="1">
      <c r="A79" s="28"/>
      <c r="B79" s="48"/>
      <c r="C79" s="48"/>
      <c r="D79" s="21"/>
      <c r="E79" s="21"/>
      <c r="F79" s="21"/>
      <c r="G79" s="21"/>
      <c r="H79" s="21"/>
      <c r="I79" s="21"/>
      <c r="J79" s="45"/>
      <c r="K79" s="45"/>
      <c r="L79" s="45"/>
      <c r="M79" s="45"/>
      <c r="N79" s="45"/>
      <c r="O79" s="21"/>
      <c r="P79" s="21"/>
      <c r="Q79" s="21"/>
      <c r="R79" s="25" t="str">
        <f t="shared" si="1"/>
        <v/>
      </c>
    </row>
    <row r="80" spans="1:18" ht="33.6" customHeight="1">
      <c r="A80" s="28"/>
      <c r="B80" s="48"/>
      <c r="C80" s="48"/>
      <c r="D80" s="21"/>
      <c r="E80" s="21"/>
      <c r="F80" s="21"/>
      <c r="G80" s="21"/>
      <c r="H80" s="21"/>
      <c r="I80" s="21"/>
      <c r="J80" s="45"/>
      <c r="K80" s="45"/>
      <c r="L80" s="45"/>
      <c r="M80" s="45"/>
      <c r="N80" s="45"/>
      <c r="O80" s="21"/>
      <c r="P80" s="21"/>
      <c r="Q80" s="21"/>
      <c r="R80" s="25" t="str">
        <f t="shared" si="1"/>
        <v/>
      </c>
    </row>
    <row r="81" spans="1:18" ht="33.6" customHeight="1">
      <c r="A81" s="28"/>
      <c r="B81" s="48"/>
      <c r="C81" s="48"/>
      <c r="D81" s="21"/>
      <c r="E81" s="21"/>
      <c r="F81" s="21"/>
      <c r="G81" s="21"/>
      <c r="H81" s="21"/>
      <c r="I81" s="21"/>
      <c r="J81" s="45"/>
      <c r="K81" s="45"/>
      <c r="L81" s="45"/>
      <c r="M81" s="45"/>
      <c r="N81" s="45"/>
      <c r="O81" s="21"/>
      <c r="P81" s="21"/>
      <c r="Q81" s="21"/>
      <c r="R81" s="25" t="str">
        <f t="shared" si="1"/>
        <v/>
      </c>
    </row>
    <row r="82" spans="1:18" ht="33.6" customHeight="1">
      <c r="A82" s="28"/>
      <c r="B82" s="48"/>
      <c r="C82" s="48"/>
      <c r="D82" s="21"/>
      <c r="E82" s="21"/>
      <c r="F82" s="21"/>
      <c r="G82" s="21"/>
      <c r="H82" s="21"/>
      <c r="I82" s="21"/>
      <c r="J82" s="45"/>
      <c r="K82" s="45"/>
      <c r="L82" s="45"/>
      <c r="M82" s="45"/>
      <c r="N82" s="45"/>
      <c r="O82" s="21"/>
      <c r="P82" s="21"/>
      <c r="Q82" s="21"/>
      <c r="R82" s="25" t="str">
        <f t="shared" si="1"/>
        <v/>
      </c>
    </row>
    <row r="83" spans="1:18" ht="33.6" customHeight="1">
      <c r="A83" s="28"/>
      <c r="B83" s="48"/>
      <c r="C83" s="48"/>
      <c r="D83" s="21"/>
      <c r="E83" s="21"/>
      <c r="F83" s="21"/>
      <c r="G83" s="21"/>
      <c r="H83" s="21"/>
      <c r="I83" s="21"/>
      <c r="J83" s="45"/>
      <c r="K83" s="45"/>
      <c r="L83" s="45"/>
      <c r="M83" s="45"/>
      <c r="N83" s="45"/>
      <c r="O83" s="21"/>
      <c r="P83" s="21"/>
      <c r="Q83" s="21"/>
      <c r="R83" s="25" t="str">
        <f t="shared" si="1"/>
        <v/>
      </c>
    </row>
    <row r="84" spans="1:18" ht="33.6" customHeight="1">
      <c r="A84" s="28"/>
      <c r="B84" s="48"/>
      <c r="C84" s="48"/>
      <c r="D84" s="21"/>
      <c r="E84" s="21"/>
      <c r="F84" s="21"/>
      <c r="G84" s="21"/>
      <c r="H84" s="21"/>
      <c r="I84" s="21"/>
      <c r="J84" s="45"/>
      <c r="K84" s="45"/>
      <c r="L84" s="45"/>
      <c r="M84" s="45"/>
      <c r="N84" s="45"/>
      <c r="O84" s="21"/>
      <c r="P84" s="21"/>
      <c r="Q84" s="21"/>
      <c r="R84" s="25" t="str">
        <f t="shared" si="1"/>
        <v/>
      </c>
    </row>
    <row r="85" spans="1:18" ht="33.6" customHeight="1">
      <c r="A85" s="28"/>
      <c r="B85" s="48"/>
      <c r="C85" s="48"/>
      <c r="D85" s="21"/>
      <c r="E85" s="21"/>
      <c r="F85" s="21"/>
      <c r="G85" s="21"/>
      <c r="H85" s="21"/>
      <c r="I85" s="21"/>
      <c r="J85" s="45"/>
      <c r="K85" s="45"/>
      <c r="L85" s="45"/>
      <c r="M85" s="45"/>
      <c r="N85" s="45"/>
      <c r="O85" s="21"/>
      <c r="P85" s="21"/>
      <c r="Q85" s="21"/>
      <c r="R85" s="25" t="str">
        <f t="shared" si="1"/>
        <v/>
      </c>
    </row>
    <row r="86" spans="1:18" ht="33.6" customHeight="1">
      <c r="A86" s="28"/>
      <c r="B86" s="48"/>
      <c r="C86" s="48"/>
      <c r="D86" s="21"/>
      <c r="E86" s="21"/>
      <c r="F86" s="21"/>
      <c r="G86" s="21"/>
      <c r="H86" s="21"/>
      <c r="I86" s="21"/>
      <c r="J86" s="45"/>
      <c r="K86" s="45"/>
      <c r="L86" s="45"/>
      <c r="M86" s="45"/>
      <c r="N86" s="45"/>
      <c r="O86" s="21"/>
      <c r="P86" s="21"/>
      <c r="Q86" s="21"/>
      <c r="R86" s="25" t="str">
        <f t="shared" si="1"/>
        <v/>
      </c>
    </row>
    <row r="87" spans="1:18" ht="33.6" customHeight="1">
      <c r="A87" s="28"/>
      <c r="B87" s="48"/>
      <c r="C87" s="48"/>
      <c r="D87" s="21"/>
      <c r="E87" s="21"/>
      <c r="F87" s="21"/>
      <c r="G87" s="21"/>
      <c r="H87" s="21"/>
      <c r="I87" s="21"/>
      <c r="J87" s="45"/>
      <c r="K87" s="45"/>
      <c r="L87" s="45"/>
      <c r="M87" s="45"/>
      <c r="N87" s="45"/>
      <c r="O87" s="21"/>
      <c r="P87" s="21"/>
      <c r="Q87" s="21"/>
      <c r="R87" s="25" t="str">
        <f t="shared" si="1"/>
        <v/>
      </c>
    </row>
    <row r="88" spans="1:18" ht="33.6" customHeight="1">
      <c r="A88" s="28"/>
      <c r="B88" s="48"/>
      <c r="C88" s="48"/>
      <c r="D88" s="21"/>
      <c r="E88" s="21"/>
      <c r="F88" s="21"/>
      <c r="G88" s="21"/>
      <c r="H88" s="21"/>
      <c r="I88" s="21"/>
      <c r="J88" s="45"/>
      <c r="K88" s="45"/>
      <c r="L88" s="45"/>
      <c r="M88" s="45"/>
      <c r="N88" s="45"/>
      <c r="O88" s="21"/>
      <c r="P88" s="21"/>
      <c r="Q88" s="21"/>
      <c r="R88" s="25" t="str">
        <f t="shared" si="1"/>
        <v/>
      </c>
    </row>
    <row r="89" spans="1:18" ht="33.6" customHeight="1">
      <c r="A89" s="28"/>
      <c r="B89" s="48"/>
      <c r="C89" s="48"/>
      <c r="D89" s="21"/>
      <c r="E89" s="21"/>
      <c r="F89" s="21"/>
      <c r="G89" s="21"/>
      <c r="H89" s="21"/>
      <c r="I89" s="21"/>
      <c r="J89" s="45"/>
      <c r="K89" s="45"/>
      <c r="L89" s="45"/>
      <c r="M89" s="45"/>
      <c r="N89" s="45"/>
      <c r="O89" s="21"/>
      <c r="P89" s="21"/>
      <c r="Q89" s="21"/>
      <c r="R89" s="25" t="str">
        <f t="shared" si="1"/>
        <v/>
      </c>
    </row>
    <row r="90" spans="1:18" ht="33.6" customHeight="1">
      <c r="A90" s="28"/>
      <c r="B90" s="48"/>
      <c r="C90" s="48"/>
      <c r="D90" s="21"/>
      <c r="E90" s="21"/>
      <c r="F90" s="21"/>
      <c r="G90" s="21"/>
      <c r="H90" s="21"/>
      <c r="I90" s="21"/>
      <c r="J90" s="45"/>
      <c r="K90" s="45"/>
      <c r="L90" s="45"/>
      <c r="M90" s="45"/>
      <c r="N90" s="45"/>
      <c r="O90" s="21"/>
      <c r="P90" s="21"/>
      <c r="Q90" s="21"/>
      <c r="R90" s="25" t="str">
        <f t="shared" si="1"/>
        <v/>
      </c>
    </row>
    <row r="91" spans="1:18" ht="33.6" customHeight="1">
      <c r="A91" s="28"/>
      <c r="B91" s="48"/>
      <c r="C91" s="48"/>
      <c r="D91" s="21"/>
      <c r="E91" s="21"/>
      <c r="F91" s="21"/>
      <c r="G91" s="21"/>
      <c r="H91" s="21"/>
      <c r="I91" s="21"/>
      <c r="J91" s="45"/>
      <c r="K91" s="45"/>
      <c r="L91" s="45"/>
      <c r="M91" s="45"/>
      <c r="N91" s="45"/>
      <c r="O91" s="21"/>
      <c r="P91" s="21"/>
      <c r="Q91" s="21"/>
      <c r="R91" s="25" t="str">
        <f t="shared" si="1"/>
        <v/>
      </c>
    </row>
    <row r="92" spans="1:18" ht="33.6" customHeight="1">
      <c r="A92" s="28"/>
      <c r="B92" s="48"/>
      <c r="C92" s="48"/>
      <c r="D92" s="21"/>
      <c r="E92" s="21"/>
      <c r="F92" s="21"/>
      <c r="G92" s="21"/>
      <c r="H92" s="21"/>
      <c r="I92" s="21"/>
      <c r="J92" s="45"/>
      <c r="K92" s="45"/>
      <c r="L92" s="45"/>
      <c r="M92" s="45"/>
      <c r="N92" s="45"/>
      <c r="O92" s="21"/>
      <c r="P92" s="21"/>
      <c r="Q92" s="21"/>
      <c r="R92" s="25" t="str">
        <f t="shared" si="1"/>
        <v/>
      </c>
    </row>
    <row r="93" spans="1:18" ht="33.6" customHeight="1">
      <c r="A93" s="28"/>
      <c r="B93" s="48"/>
      <c r="C93" s="48"/>
      <c r="D93" s="21"/>
      <c r="E93" s="21"/>
      <c r="F93" s="21"/>
      <c r="G93" s="21"/>
      <c r="H93" s="21"/>
      <c r="I93" s="21"/>
      <c r="J93" s="45"/>
      <c r="K93" s="45"/>
      <c r="L93" s="45"/>
      <c r="M93" s="45"/>
      <c r="N93" s="45"/>
      <c r="O93" s="21"/>
      <c r="P93" s="21"/>
      <c r="Q93" s="21"/>
      <c r="R93" s="25" t="str">
        <f t="shared" si="1"/>
        <v/>
      </c>
    </row>
    <row r="94" spans="1:18" ht="33.6" customHeight="1">
      <c r="A94" s="28"/>
      <c r="B94" s="48"/>
      <c r="C94" s="48"/>
      <c r="D94" s="21"/>
      <c r="E94" s="21"/>
      <c r="F94" s="21"/>
      <c r="G94" s="21"/>
      <c r="H94" s="21"/>
      <c r="I94" s="21"/>
      <c r="J94" s="45"/>
      <c r="K94" s="45"/>
      <c r="L94" s="45"/>
      <c r="M94" s="45"/>
      <c r="N94" s="45"/>
      <c r="O94" s="21"/>
      <c r="P94" s="21"/>
      <c r="Q94" s="21"/>
      <c r="R94" s="25" t="str">
        <f t="shared" si="1"/>
        <v/>
      </c>
    </row>
    <row r="95" spans="1:18" ht="33.6" customHeight="1">
      <c r="A95" s="28"/>
      <c r="B95" s="48"/>
      <c r="C95" s="48"/>
      <c r="D95" s="21"/>
      <c r="E95" s="21"/>
      <c r="F95" s="21"/>
      <c r="G95" s="21"/>
      <c r="H95" s="21"/>
      <c r="I95" s="21"/>
      <c r="J95" s="45"/>
      <c r="K95" s="45"/>
      <c r="L95" s="45"/>
      <c r="M95" s="45"/>
      <c r="N95" s="45"/>
      <c r="O95" s="21"/>
      <c r="P95" s="21"/>
      <c r="Q95" s="21"/>
      <c r="R95" s="25" t="str">
        <f t="shared" si="1"/>
        <v/>
      </c>
    </row>
    <row r="96" spans="1:18" ht="33.6" customHeight="1">
      <c r="A96" s="28"/>
      <c r="B96" s="48"/>
      <c r="C96" s="48"/>
      <c r="D96" s="21"/>
      <c r="E96" s="21"/>
      <c r="F96" s="21"/>
      <c r="G96" s="21"/>
      <c r="H96" s="21"/>
      <c r="I96" s="21"/>
      <c r="J96" s="45"/>
      <c r="K96" s="45"/>
      <c r="L96" s="45"/>
      <c r="M96" s="45"/>
      <c r="N96" s="45"/>
      <c r="O96" s="21"/>
      <c r="P96" s="21"/>
      <c r="Q96" s="21"/>
      <c r="R96" s="25" t="str">
        <f t="shared" si="1"/>
        <v/>
      </c>
    </row>
    <row r="97" spans="1:18" ht="33.6" customHeight="1">
      <c r="A97" s="28"/>
      <c r="B97" s="48"/>
      <c r="C97" s="48"/>
      <c r="D97" s="21"/>
      <c r="E97" s="21"/>
      <c r="F97" s="21"/>
      <c r="G97" s="21"/>
      <c r="H97" s="21"/>
      <c r="I97" s="21"/>
      <c r="J97" s="45"/>
      <c r="K97" s="45"/>
      <c r="L97" s="45"/>
      <c r="M97" s="45"/>
      <c r="N97" s="45"/>
      <c r="O97" s="21"/>
      <c r="P97" s="21"/>
      <c r="Q97" s="21"/>
      <c r="R97" s="25" t="str">
        <f t="shared" si="1"/>
        <v/>
      </c>
    </row>
    <row r="98" spans="1:18" ht="33.6" customHeight="1">
      <c r="A98" s="28"/>
      <c r="B98" s="48"/>
      <c r="C98" s="48"/>
      <c r="D98" s="21"/>
      <c r="E98" s="21"/>
      <c r="F98" s="21"/>
      <c r="G98" s="21"/>
      <c r="H98" s="21"/>
      <c r="I98" s="21"/>
      <c r="J98" s="45"/>
      <c r="K98" s="45"/>
      <c r="L98" s="45"/>
      <c r="M98" s="45"/>
      <c r="N98" s="45"/>
      <c r="O98" s="21"/>
      <c r="P98" s="21"/>
      <c r="Q98" s="21"/>
      <c r="R98" s="25" t="str">
        <f t="shared" si="1"/>
        <v/>
      </c>
    </row>
    <row r="99" spans="1:18" ht="33.6" customHeight="1">
      <c r="A99" s="28"/>
      <c r="B99" s="48"/>
      <c r="C99" s="48"/>
      <c r="D99" s="21"/>
      <c r="E99" s="21"/>
      <c r="F99" s="21"/>
      <c r="G99" s="21"/>
      <c r="H99" s="21"/>
      <c r="I99" s="21"/>
      <c r="J99" s="45"/>
      <c r="K99" s="45"/>
      <c r="L99" s="45"/>
      <c r="M99" s="45"/>
      <c r="N99" s="45"/>
      <c r="O99" s="21"/>
      <c r="P99" s="21"/>
      <c r="Q99" s="21"/>
      <c r="R99" s="25" t="str">
        <f t="shared" si="1"/>
        <v/>
      </c>
    </row>
    <row r="100" spans="1:18" ht="33.6" customHeight="1">
      <c r="A100" s="28"/>
      <c r="B100" s="48"/>
      <c r="C100" s="48"/>
      <c r="D100" s="21"/>
      <c r="E100" s="21"/>
      <c r="F100" s="21"/>
      <c r="G100" s="21"/>
      <c r="H100" s="21"/>
      <c r="I100" s="21"/>
      <c r="J100" s="45"/>
      <c r="K100" s="45"/>
      <c r="L100" s="45"/>
      <c r="M100" s="45"/>
      <c r="N100" s="45"/>
      <c r="O100" s="21"/>
      <c r="P100" s="21"/>
      <c r="Q100" s="21"/>
      <c r="R100" s="25" t="str">
        <f t="shared" si="1"/>
        <v/>
      </c>
    </row>
    <row r="101" spans="1:18" ht="33.6" customHeight="1">
      <c r="A101" s="28"/>
      <c r="B101" s="48"/>
      <c r="C101" s="48"/>
      <c r="D101" s="21"/>
      <c r="E101" s="21"/>
      <c r="F101" s="21"/>
      <c r="G101" s="21"/>
      <c r="H101" s="21"/>
      <c r="I101" s="21"/>
      <c r="J101" s="45"/>
      <c r="K101" s="45"/>
      <c r="L101" s="45"/>
      <c r="M101" s="45"/>
      <c r="N101" s="45"/>
      <c r="O101" s="21"/>
      <c r="P101" s="21"/>
      <c r="Q101" s="21"/>
      <c r="R101" s="25" t="str">
        <f t="shared" si="1"/>
        <v/>
      </c>
    </row>
    <row r="102" spans="1:18" ht="33.6" customHeight="1">
      <c r="A102" s="28"/>
      <c r="B102" s="48"/>
      <c r="C102" s="48"/>
      <c r="D102" s="21"/>
      <c r="E102" s="21"/>
      <c r="F102" s="21"/>
      <c r="G102" s="21"/>
      <c r="H102" s="21"/>
      <c r="I102" s="21"/>
      <c r="J102" s="45"/>
      <c r="K102" s="45"/>
      <c r="L102" s="45"/>
      <c r="M102" s="45"/>
      <c r="N102" s="45"/>
      <c r="O102" s="21"/>
      <c r="P102" s="21"/>
      <c r="Q102" s="21"/>
      <c r="R102" s="25" t="str">
        <f t="shared" si="1"/>
        <v/>
      </c>
    </row>
    <row r="103" spans="1:18" ht="33.6" customHeight="1">
      <c r="A103" s="28"/>
      <c r="B103" s="48"/>
      <c r="C103" s="48"/>
      <c r="D103" s="21"/>
      <c r="E103" s="21"/>
      <c r="F103" s="21"/>
      <c r="G103" s="21"/>
      <c r="H103" s="21"/>
      <c r="I103" s="21"/>
      <c r="J103" s="45"/>
      <c r="K103" s="45"/>
      <c r="L103" s="45"/>
      <c r="M103" s="45"/>
      <c r="N103" s="45"/>
      <c r="O103" s="21"/>
      <c r="P103" s="21"/>
      <c r="Q103" s="21"/>
      <c r="R103" s="25" t="str">
        <f t="shared" si="1"/>
        <v/>
      </c>
    </row>
    <row r="104" spans="1:18" ht="33.6" customHeight="1">
      <c r="A104" s="28"/>
      <c r="B104" s="48"/>
      <c r="C104" s="48"/>
      <c r="D104" s="21"/>
      <c r="E104" s="21"/>
      <c r="F104" s="21"/>
      <c r="G104" s="21"/>
      <c r="H104" s="21"/>
      <c r="I104" s="21"/>
      <c r="J104" s="45"/>
      <c r="K104" s="45"/>
      <c r="L104" s="45"/>
      <c r="M104" s="45"/>
      <c r="N104" s="45"/>
      <c r="O104" s="21"/>
      <c r="P104" s="21"/>
      <c r="Q104" s="21"/>
      <c r="R104" s="25" t="str">
        <f t="shared" si="1"/>
        <v/>
      </c>
    </row>
    <row r="105" spans="1:18" ht="33.6" customHeight="1">
      <c r="A105" s="28"/>
      <c r="B105" s="48"/>
      <c r="C105" s="48"/>
      <c r="D105" s="21"/>
      <c r="E105" s="21"/>
      <c r="F105" s="21"/>
      <c r="G105" s="21"/>
      <c r="H105" s="21"/>
      <c r="I105" s="21"/>
      <c r="J105" s="45"/>
      <c r="K105" s="45"/>
      <c r="L105" s="45"/>
      <c r="M105" s="45"/>
      <c r="N105" s="45"/>
      <c r="O105" s="21"/>
      <c r="P105" s="21"/>
      <c r="Q105" s="21"/>
      <c r="R105" s="25" t="str">
        <f t="shared" si="1"/>
        <v/>
      </c>
    </row>
    <row r="106" spans="1:18" ht="33.6" customHeight="1">
      <c r="A106" s="28"/>
      <c r="B106" s="48"/>
      <c r="C106" s="48"/>
      <c r="D106" s="21"/>
      <c r="E106" s="21"/>
      <c r="F106" s="21"/>
      <c r="G106" s="21"/>
      <c r="H106" s="21"/>
      <c r="I106" s="21"/>
      <c r="J106" s="45"/>
      <c r="K106" s="45"/>
      <c r="L106" s="45"/>
      <c r="M106" s="45"/>
      <c r="N106" s="45"/>
      <c r="O106" s="21"/>
      <c r="P106" s="21"/>
      <c r="Q106" s="21"/>
      <c r="R106" s="25" t="str">
        <f t="shared" si="1"/>
        <v/>
      </c>
    </row>
    <row r="107" spans="1:18" ht="33.6" customHeight="1">
      <c r="A107" s="28"/>
      <c r="B107" s="48"/>
      <c r="C107" s="48"/>
      <c r="D107" s="21"/>
      <c r="E107" s="21"/>
      <c r="F107" s="21"/>
      <c r="G107" s="21"/>
      <c r="H107" s="21"/>
      <c r="I107" s="21"/>
      <c r="J107" s="45"/>
      <c r="K107" s="45"/>
      <c r="L107" s="45"/>
      <c r="M107" s="45"/>
      <c r="N107" s="45"/>
      <c r="O107" s="21"/>
      <c r="P107" s="21"/>
      <c r="Q107" s="21"/>
      <c r="R107" s="25" t="str">
        <f t="shared" si="1"/>
        <v/>
      </c>
    </row>
    <row r="108" spans="1:18" ht="33.6" customHeight="1">
      <c r="A108" s="28"/>
      <c r="B108" s="48"/>
      <c r="C108" s="48"/>
      <c r="D108" s="21"/>
      <c r="E108" s="21"/>
      <c r="F108" s="21"/>
      <c r="G108" s="21"/>
      <c r="H108" s="21"/>
      <c r="I108" s="21"/>
      <c r="J108" s="45"/>
      <c r="K108" s="45"/>
      <c r="L108" s="45"/>
      <c r="M108" s="45"/>
      <c r="N108" s="45"/>
      <c r="O108" s="21"/>
      <c r="P108" s="21"/>
      <c r="Q108" s="21"/>
      <c r="R108" s="25" t="str">
        <f t="shared" si="1"/>
        <v/>
      </c>
    </row>
    <row r="109" spans="1:18" ht="33.6" customHeight="1">
      <c r="A109" s="28"/>
      <c r="B109" s="48"/>
      <c r="C109" s="48"/>
      <c r="D109" s="21"/>
      <c r="E109" s="21"/>
      <c r="F109" s="21"/>
      <c r="G109" s="21"/>
      <c r="H109" s="21"/>
      <c r="I109" s="21"/>
      <c r="J109" s="45"/>
      <c r="K109" s="45"/>
      <c r="L109" s="45"/>
      <c r="M109" s="45"/>
      <c r="N109" s="45"/>
      <c r="O109" s="21"/>
      <c r="P109" s="21"/>
      <c r="Q109" s="21"/>
      <c r="R109" s="25" t="str">
        <f t="shared" si="1"/>
        <v/>
      </c>
    </row>
    <row r="110" spans="1:18" ht="33.6" customHeight="1">
      <c r="A110" s="28"/>
      <c r="B110" s="48"/>
      <c r="C110" s="48"/>
      <c r="D110" s="21"/>
      <c r="E110" s="21"/>
      <c r="F110" s="21"/>
      <c r="G110" s="21"/>
      <c r="H110" s="21"/>
      <c r="I110" s="21"/>
      <c r="J110" s="45"/>
      <c r="K110" s="45"/>
      <c r="L110" s="45"/>
      <c r="M110" s="45"/>
      <c r="N110" s="45"/>
      <c r="O110" s="21"/>
      <c r="P110" s="21"/>
      <c r="Q110" s="21"/>
      <c r="R110" s="25" t="str">
        <f t="shared" si="1"/>
        <v/>
      </c>
    </row>
    <row r="111" spans="1:18" ht="33.6" customHeight="1">
      <c r="A111" s="28"/>
      <c r="B111" s="48"/>
      <c r="C111" s="48"/>
      <c r="D111" s="21"/>
      <c r="E111" s="21"/>
      <c r="F111" s="21"/>
      <c r="G111" s="21"/>
      <c r="H111" s="21"/>
      <c r="I111" s="21"/>
      <c r="J111" s="45"/>
      <c r="K111" s="45"/>
      <c r="L111" s="45"/>
      <c r="M111" s="45"/>
      <c r="N111" s="45"/>
      <c r="O111" s="21"/>
      <c r="P111" s="21"/>
      <c r="Q111" s="21"/>
      <c r="R111" s="25" t="str">
        <f t="shared" si="1"/>
        <v/>
      </c>
    </row>
    <row r="112" spans="1:18" ht="33.6" customHeight="1">
      <c r="A112" s="28"/>
      <c r="B112" s="48"/>
      <c r="C112" s="48"/>
      <c r="D112" s="21"/>
      <c r="E112" s="21"/>
      <c r="F112" s="21"/>
      <c r="G112" s="21"/>
      <c r="H112" s="21"/>
      <c r="I112" s="21"/>
      <c r="J112" s="45"/>
      <c r="K112" s="45"/>
      <c r="L112" s="45"/>
      <c r="M112" s="45"/>
      <c r="N112" s="45"/>
      <c r="O112" s="21"/>
      <c r="P112" s="21"/>
      <c r="Q112" s="21"/>
      <c r="R112" s="25" t="str">
        <f t="shared" si="1"/>
        <v/>
      </c>
    </row>
    <row r="113" spans="1:18" ht="33.6" customHeight="1">
      <c r="A113" s="28"/>
      <c r="B113" s="48"/>
      <c r="C113" s="48"/>
      <c r="D113" s="21"/>
      <c r="E113" s="21"/>
      <c r="F113" s="21"/>
      <c r="G113" s="21"/>
      <c r="H113" s="21"/>
      <c r="I113" s="21"/>
      <c r="J113" s="45"/>
      <c r="K113" s="45"/>
      <c r="L113" s="45"/>
      <c r="M113" s="45"/>
      <c r="N113" s="45"/>
      <c r="O113" s="21"/>
      <c r="P113" s="21"/>
      <c r="Q113" s="21"/>
      <c r="R113" s="25" t="str">
        <f t="shared" si="1"/>
        <v/>
      </c>
    </row>
    <row r="114" spans="1:18" ht="33.6" customHeight="1">
      <c r="A114" s="28"/>
      <c r="B114" s="48"/>
      <c r="C114" s="48"/>
      <c r="D114" s="21"/>
      <c r="E114" s="21"/>
      <c r="F114" s="21"/>
      <c r="G114" s="21"/>
      <c r="H114" s="21"/>
      <c r="I114" s="21"/>
      <c r="J114" s="45"/>
      <c r="K114" s="45"/>
      <c r="L114" s="45"/>
      <c r="M114" s="45"/>
      <c r="N114" s="45"/>
      <c r="O114" s="21"/>
      <c r="P114" s="21"/>
      <c r="Q114" s="21"/>
      <c r="R114" s="25" t="str">
        <f t="shared" si="1"/>
        <v/>
      </c>
    </row>
    <row r="115" spans="1:18" ht="33.6" customHeight="1">
      <c r="A115" s="28"/>
      <c r="B115" s="48"/>
      <c r="C115" s="48"/>
      <c r="D115" s="21"/>
      <c r="E115" s="21"/>
      <c r="F115" s="21"/>
      <c r="G115" s="21"/>
      <c r="H115" s="21"/>
      <c r="I115" s="21"/>
      <c r="J115" s="45"/>
      <c r="K115" s="45"/>
      <c r="L115" s="45"/>
      <c r="M115" s="45"/>
      <c r="N115" s="45"/>
      <c r="O115" s="21"/>
      <c r="P115" s="21"/>
      <c r="Q115" s="21"/>
      <c r="R115" s="25" t="str">
        <f t="shared" ref="R115:R178" si="2">IF(COUNTIF($A$17:$A$2010,$A115)&gt;1,"Possible Duplicate","")</f>
        <v/>
      </c>
    </row>
    <row r="116" spans="1:18" ht="33.6" customHeight="1">
      <c r="A116" s="28"/>
      <c r="B116" s="48"/>
      <c r="C116" s="48"/>
      <c r="D116" s="21"/>
      <c r="E116" s="21"/>
      <c r="F116" s="21"/>
      <c r="G116" s="21"/>
      <c r="H116" s="21"/>
      <c r="I116" s="21"/>
      <c r="J116" s="45"/>
      <c r="K116" s="45"/>
      <c r="L116" s="45"/>
      <c r="M116" s="45"/>
      <c r="N116" s="45"/>
      <c r="O116" s="21"/>
      <c r="P116" s="21"/>
      <c r="Q116" s="21"/>
      <c r="R116" s="25" t="str">
        <f t="shared" si="2"/>
        <v/>
      </c>
    </row>
    <row r="117" spans="1:18" ht="33.6" customHeight="1">
      <c r="A117" s="28"/>
      <c r="B117" s="48"/>
      <c r="C117" s="48"/>
      <c r="D117" s="21"/>
      <c r="E117" s="21"/>
      <c r="F117" s="21"/>
      <c r="G117" s="21"/>
      <c r="H117" s="21"/>
      <c r="I117" s="21"/>
      <c r="J117" s="45"/>
      <c r="K117" s="45"/>
      <c r="L117" s="45"/>
      <c r="M117" s="45"/>
      <c r="N117" s="45"/>
      <c r="O117" s="21"/>
      <c r="P117" s="21"/>
      <c r="Q117" s="21"/>
      <c r="R117" s="25" t="str">
        <f t="shared" si="2"/>
        <v/>
      </c>
    </row>
    <row r="118" spans="1:18" ht="33.6" customHeight="1">
      <c r="A118" s="28"/>
      <c r="B118" s="48"/>
      <c r="C118" s="48"/>
      <c r="D118" s="21"/>
      <c r="E118" s="21"/>
      <c r="F118" s="21"/>
      <c r="G118" s="21"/>
      <c r="H118" s="21"/>
      <c r="I118" s="21"/>
      <c r="J118" s="45"/>
      <c r="K118" s="45"/>
      <c r="L118" s="45"/>
      <c r="M118" s="45"/>
      <c r="N118" s="45"/>
      <c r="O118" s="21"/>
      <c r="P118" s="21"/>
      <c r="Q118" s="21"/>
      <c r="R118" s="25" t="str">
        <f t="shared" si="2"/>
        <v/>
      </c>
    </row>
    <row r="119" spans="1:18" ht="33.6" customHeight="1">
      <c r="A119" s="28"/>
      <c r="B119" s="48"/>
      <c r="C119" s="48"/>
      <c r="D119" s="21"/>
      <c r="E119" s="21"/>
      <c r="F119" s="21"/>
      <c r="G119" s="21"/>
      <c r="H119" s="21"/>
      <c r="I119" s="21"/>
      <c r="J119" s="45"/>
      <c r="K119" s="45"/>
      <c r="L119" s="45"/>
      <c r="M119" s="45"/>
      <c r="N119" s="45"/>
      <c r="O119" s="21"/>
      <c r="P119" s="21"/>
      <c r="Q119" s="21"/>
      <c r="R119" s="25" t="str">
        <f t="shared" si="2"/>
        <v/>
      </c>
    </row>
    <row r="120" spans="1:18" ht="33.6" customHeight="1">
      <c r="A120" s="28"/>
      <c r="B120" s="48"/>
      <c r="C120" s="48"/>
      <c r="D120" s="21"/>
      <c r="E120" s="21"/>
      <c r="F120" s="21"/>
      <c r="G120" s="21"/>
      <c r="H120" s="21"/>
      <c r="I120" s="21"/>
      <c r="J120" s="45"/>
      <c r="K120" s="45"/>
      <c r="L120" s="45"/>
      <c r="M120" s="45"/>
      <c r="N120" s="45"/>
      <c r="O120" s="21"/>
      <c r="P120" s="21"/>
      <c r="Q120" s="21"/>
      <c r="R120" s="25" t="str">
        <f t="shared" si="2"/>
        <v/>
      </c>
    </row>
    <row r="121" spans="1:18" ht="33.6" customHeight="1">
      <c r="A121" s="28"/>
      <c r="B121" s="48"/>
      <c r="C121" s="48"/>
      <c r="D121" s="21"/>
      <c r="E121" s="21"/>
      <c r="F121" s="21"/>
      <c r="G121" s="21"/>
      <c r="H121" s="21"/>
      <c r="I121" s="21"/>
      <c r="J121" s="45"/>
      <c r="K121" s="45"/>
      <c r="L121" s="45"/>
      <c r="M121" s="45"/>
      <c r="N121" s="45"/>
      <c r="O121" s="21"/>
      <c r="P121" s="21"/>
      <c r="Q121" s="21"/>
      <c r="R121" s="25" t="str">
        <f t="shared" si="2"/>
        <v/>
      </c>
    </row>
    <row r="122" spans="1:18" ht="33.6" customHeight="1">
      <c r="A122" s="28"/>
      <c r="B122" s="48"/>
      <c r="C122" s="48"/>
      <c r="D122" s="21"/>
      <c r="E122" s="21"/>
      <c r="F122" s="21"/>
      <c r="G122" s="21"/>
      <c r="H122" s="21"/>
      <c r="I122" s="21"/>
      <c r="J122" s="45"/>
      <c r="K122" s="45"/>
      <c r="L122" s="45"/>
      <c r="M122" s="45"/>
      <c r="N122" s="45"/>
      <c r="O122" s="21"/>
      <c r="P122" s="21"/>
      <c r="Q122" s="21"/>
      <c r="R122" s="25" t="str">
        <f t="shared" si="2"/>
        <v/>
      </c>
    </row>
    <row r="123" spans="1:18" ht="33.6" customHeight="1">
      <c r="A123" s="28"/>
      <c r="B123" s="48"/>
      <c r="C123" s="48"/>
      <c r="D123" s="21"/>
      <c r="E123" s="21"/>
      <c r="F123" s="21"/>
      <c r="G123" s="21"/>
      <c r="H123" s="21"/>
      <c r="I123" s="21"/>
      <c r="J123" s="45"/>
      <c r="K123" s="45"/>
      <c r="L123" s="45"/>
      <c r="M123" s="45"/>
      <c r="N123" s="45"/>
      <c r="O123" s="21"/>
      <c r="P123" s="21"/>
      <c r="Q123" s="21"/>
      <c r="R123" s="25" t="str">
        <f t="shared" si="2"/>
        <v/>
      </c>
    </row>
    <row r="124" spans="1:18" ht="33.6" customHeight="1">
      <c r="A124" s="28"/>
      <c r="B124" s="48"/>
      <c r="C124" s="48"/>
      <c r="D124" s="21"/>
      <c r="E124" s="21"/>
      <c r="F124" s="21"/>
      <c r="G124" s="21"/>
      <c r="H124" s="21"/>
      <c r="I124" s="21"/>
      <c r="J124" s="45"/>
      <c r="K124" s="45"/>
      <c r="L124" s="45"/>
      <c r="M124" s="45"/>
      <c r="N124" s="45"/>
      <c r="O124" s="21"/>
      <c r="P124" s="21"/>
      <c r="Q124" s="21"/>
      <c r="R124" s="25" t="str">
        <f t="shared" si="2"/>
        <v/>
      </c>
    </row>
    <row r="125" spans="1:18" ht="33.6" customHeight="1">
      <c r="A125" s="28"/>
      <c r="B125" s="48"/>
      <c r="C125" s="48"/>
      <c r="D125" s="21"/>
      <c r="E125" s="21"/>
      <c r="F125" s="21"/>
      <c r="G125" s="21"/>
      <c r="H125" s="21"/>
      <c r="I125" s="21"/>
      <c r="J125" s="45"/>
      <c r="K125" s="45"/>
      <c r="L125" s="45"/>
      <c r="M125" s="45"/>
      <c r="N125" s="45"/>
      <c r="O125" s="21"/>
      <c r="P125" s="21"/>
      <c r="Q125" s="21"/>
      <c r="R125" s="25" t="str">
        <f t="shared" si="2"/>
        <v/>
      </c>
    </row>
    <row r="126" spans="1:18" ht="33.6" customHeight="1">
      <c r="A126" s="28"/>
      <c r="B126" s="48"/>
      <c r="C126" s="48"/>
      <c r="D126" s="21"/>
      <c r="E126" s="21"/>
      <c r="F126" s="21"/>
      <c r="G126" s="21"/>
      <c r="H126" s="21"/>
      <c r="I126" s="21"/>
      <c r="J126" s="45"/>
      <c r="K126" s="45"/>
      <c r="L126" s="45"/>
      <c r="M126" s="45"/>
      <c r="N126" s="45"/>
      <c r="O126" s="21"/>
      <c r="P126" s="21"/>
      <c r="Q126" s="21"/>
      <c r="R126" s="25" t="str">
        <f t="shared" si="2"/>
        <v/>
      </c>
    </row>
    <row r="127" spans="1:18" ht="33.6" customHeight="1">
      <c r="A127" s="28"/>
      <c r="B127" s="48"/>
      <c r="C127" s="48"/>
      <c r="D127" s="21"/>
      <c r="E127" s="21"/>
      <c r="F127" s="21"/>
      <c r="G127" s="21"/>
      <c r="H127" s="21"/>
      <c r="I127" s="21"/>
      <c r="J127" s="45"/>
      <c r="K127" s="45"/>
      <c r="L127" s="45"/>
      <c r="M127" s="45"/>
      <c r="N127" s="45"/>
      <c r="O127" s="21"/>
      <c r="P127" s="21"/>
      <c r="Q127" s="21"/>
      <c r="R127" s="25" t="str">
        <f t="shared" si="2"/>
        <v/>
      </c>
    </row>
    <row r="128" spans="1:18" ht="33.6" customHeight="1">
      <c r="A128" s="28"/>
      <c r="B128" s="48"/>
      <c r="C128" s="48"/>
      <c r="D128" s="21"/>
      <c r="E128" s="21"/>
      <c r="F128" s="21"/>
      <c r="G128" s="21"/>
      <c r="H128" s="21"/>
      <c r="I128" s="21"/>
      <c r="J128" s="45"/>
      <c r="K128" s="45"/>
      <c r="L128" s="45"/>
      <c r="M128" s="45"/>
      <c r="N128" s="45"/>
      <c r="O128" s="21"/>
      <c r="P128" s="21"/>
      <c r="Q128" s="21"/>
      <c r="R128" s="25" t="str">
        <f t="shared" si="2"/>
        <v/>
      </c>
    </row>
    <row r="129" spans="1:18" ht="33.6" customHeight="1">
      <c r="A129" s="28"/>
      <c r="B129" s="48"/>
      <c r="C129" s="48"/>
      <c r="D129" s="21"/>
      <c r="E129" s="21"/>
      <c r="F129" s="21"/>
      <c r="G129" s="21"/>
      <c r="H129" s="21"/>
      <c r="I129" s="21"/>
      <c r="J129" s="45"/>
      <c r="K129" s="45"/>
      <c r="L129" s="45"/>
      <c r="M129" s="45"/>
      <c r="N129" s="45"/>
      <c r="O129" s="21"/>
      <c r="P129" s="21"/>
      <c r="Q129" s="21"/>
      <c r="R129" s="25" t="str">
        <f t="shared" si="2"/>
        <v/>
      </c>
    </row>
    <row r="130" spans="1:18" ht="33.6" customHeight="1">
      <c r="A130" s="28"/>
      <c r="B130" s="48"/>
      <c r="C130" s="48"/>
      <c r="D130" s="21"/>
      <c r="E130" s="21"/>
      <c r="F130" s="21"/>
      <c r="G130" s="21"/>
      <c r="H130" s="21"/>
      <c r="I130" s="21"/>
      <c r="J130" s="45"/>
      <c r="K130" s="45"/>
      <c r="L130" s="45"/>
      <c r="M130" s="45"/>
      <c r="N130" s="45"/>
      <c r="O130" s="21"/>
      <c r="P130" s="21"/>
      <c r="Q130" s="21"/>
      <c r="R130" s="25" t="str">
        <f t="shared" si="2"/>
        <v/>
      </c>
    </row>
    <row r="131" spans="1:18" ht="33.6" customHeight="1">
      <c r="A131" s="28"/>
      <c r="B131" s="48"/>
      <c r="C131" s="48"/>
      <c r="D131" s="21"/>
      <c r="E131" s="21"/>
      <c r="F131" s="21"/>
      <c r="G131" s="21"/>
      <c r="H131" s="21"/>
      <c r="I131" s="21"/>
      <c r="J131" s="45"/>
      <c r="K131" s="45"/>
      <c r="L131" s="45"/>
      <c r="M131" s="45"/>
      <c r="N131" s="45"/>
      <c r="O131" s="21"/>
      <c r="P131" s="21"/>
      <c r="Q131" s="21"/>
      <c r="R131" s="25" t="str">
        <f t="shared" si="2"/>
        <v/>
      </c>
    </row>
    <row r="132" spans="1:18" ht="33.6" customHeight="1">
      <c r="A132" s="28"/>
      <c r="B132" s="48"/>
      <c r="C132" s="48"/>
      <c r="D132" s="21"/>
      <c r="E132" s="21"/>
      <c r="F132" s="21"/>
      <c r="G132" s="21"/>
      <c r="H132" s="21"/>
      <c r="I132" s="21"/>
      <c r="J132" s="45"/>
      <c r="K132" s="45"/>
      <c r="L132" s="45"/>
      <c r="M132" s="45"/>
      <c r="N132" s="45"/>
      <c r="O132" s="21"/>
      <c r="P132" s="21"/>
      <c r="Q132" s="21"/>
      <c r="R132" s="25" t="str">
        <f t="shared" si="2"/>
        <v/>
      </c>
    </row>
    <row r="133" spans="1:18" ht="33.6" customHeight="1">
      <c r="A133" s="28"/>
      <c r="B133" s="48"/>
      <c r="C133" s="48"/>
      <c r="D133" s="21"/>
      <c r="E133" s="21"/>
      <c r="F133" s="21"/>
      <c r="G133" s="21"/>
      <c r="H133" s="21"/>
      <c r="I133" s="21"/>
      <c r="J133" s="45"/>
      <c r="K133" s="45"/>
      <c r="L133" s="45"/>
      <c r="M133" s="45"/>
      <c r="N133" s="45"/>
      <c r="O133" s="21"/>
      <c r="P133" s="21"/>
      <c r="Q133" s="21"/>
      <c r="R133" s="25" t="str">
        <f t="shared" si="2"/>
        <v/>
      </c>
    </row>
    <row r="134" spans="1:18" ht="33.6" customHeight="1">
      <c r="A134" s="28"/>
      <c r="B134" s="48"/>
      <c r="C134" s="48"/>
      <c r="D134" s="21"/>
      <c r="E134" s="21"/>
      <c r="F134" s="21"/>
      <c r="G134" s="21"/>
      <c r="H134" s="21"/>
      <c r="I134" s="21"/>
      <c r="J134" s="45"/>
      <c r="K134" s="45"/>
      <c r="L134" s="45"/>
      <c r="M134" s="45"/>
      <c r="N134" s="45"/>
      <c r="O134" s="21"/>
      <c r="P134" s="21"/>
      <c r="Q134" s="21"/>
      <c r="R134" s="25" t="str">
        <f t="shared" si="2"/>
        <v/>
      </c>
    </row>
    <row r="135" spans="1:18" ht="33.6" customHeight="1">
      <c r="A135" s="28"/>
      <c r="B135" s="48"/>
      <c r="C135" s="48"/>
      <c r="D135" s="21"/>
      <c r="E135" s="21"/>
      <c r="F135" s="21"/>
      <c r="G135" s="21"/>
      <c r="H135" s="21"/>
      <c r="I135" s="21"/>
      <c r="J135" s="45"/>
      <c r="K135" s="45"/>
      <c r="L135" s="45"/>
      <c r="M135" s="45"/>
      <c r="N135" s="45"/>
      <c r="O135" s="21"/>
      <c r="P135" s="21"/>
      <c r="Q135" s="21"/>
      <c r="R135" s="25" t="str">
        <f t="shared" si="2"/>
        <v/>
      </c>
    </row>
    <row r="136" spans="1:18" ht="33.6" customHeight="1">
      <c r="A136" s="28"/>
      <c r="B136" s="48"/>
      <c r="C136" s="48"/>
      <c r="D136" s="21"/>
      <c r="E136" s="21"/>
      <c r="F136" s="21"/>
      <c r="G136" s="21"/>
      <c r="H136" s="21"/>
      <c r="I136" s="21"/>
      <c r="J136" s="45"/>
      <c r="K136" s="45"/>
      <c r="L136" s="45"/>
      <c r="M136" s="45"/>
      <c r="N136" s="45"/>
      <c r="O136" s="21"/>
      <c r="P136" s="21"/>
      <c r="Q136" s="21"/>
      <c r="R136" s="25" t="str">
        <f t="shared" si="2"/>
        <v/>
      </c>
    </row>
    <row r="137" spans="1:18" ht="33.6" customHeight="1">
      <c r="A137" s="28"/>
      <c r="B137" s="48"/>
      <c r="C137" s="48"/>
      <c r="D137" s="21"/>
      <c r="E137" s="21"/>
      <c r="F137" s="21"/>
      <c r="G137" s="21"/>
      <c r="H137" s="21"/>
      <c r="I137" s="21"/>
      <c r="J137" s="45"/>
      <c r="K137" s="45"/>
      <c r="L137" s="45"/>
      <c r="M137" s="45"/>
      <c r="N137" s="45"/>
      <c r="O137" s="21"/>
      <c r="P137" s="21"/>
      <c r="Q137" s="21"/>
      <c r="R137" s="25" t="str">
        <f t="shared" si="2"/>
        <v/>
      </c>
    </row>
    <row r="138" spans="1:18" ht="33.6" customHeight="1">
      <c r="A138" s="28"/>
      <c r="B138" s="48"/>
      <c r="C138" s="48"/>
      <c r="D138" s="21"/>
      <c r="E138" s="21"/>
      <c r="F138" s="21"/>
      <c r="G138" s="21"/>
      <c r="H138" s="21"/>
      <c r="I138" s="21"/>
      <c r="J138" s="45"/>
      <c r="K138" s="45"/>
      <c r="L138" s="45"/>
      <c r="M138" s="45"/>
      <c r="N138" s="45"/>
      <c r="O138" s="21"/>
      <c r="P138" s="21"/>
      <c r="Q138" s="21"/>
      <c r="R138" s="25" t="str">
        <f t="shared" si="2"/>
        <v/>
      </c>
    </row>
    <row r="139" spans="1:18" ht="33.6" customHeight="1">
      <c r="A139" s="28"/>
      <c r="B139" s="48"/>
      <c r="C139" s="48"/>
      <c r="D139" s="21"/>
      <c r="E139" s="21"/>
      <c r="F139" s="21"/>
      <c r="G139" s="21"/>
      <c r="H139" s="21"/>
      <c r="I139" s="21"/>
      <c r="J139" s="45"/>
      <c r="K139" s="45"/>
      <c r="L139" s="45"/>
      <c r="M139" s="45"/>
      <c r="N139" s="45"/>
      <c r="O139" s="21"/>
      <c r="P139" s="21"/>
      <c r="Q139" s="21"/>
      <c r="R139" s="25" t="str">
        <f t="shared" si="2"/>
        <v/>
      </c>
    </row>
    <row r="140" spans="1:18" ht="33.6" customHeight="1">
      <c r="A140" s="28"/>
      <c r="B140" s="48"/>
      <c r="C140" s="48"/>
      <c r="D140" s="21"/>
      <c r="E140" s="21"/>
      <c r="F140" s="21"/>
      <c r="G140" s="21"/>
      <c r="H140" s="21"/>
      <c r="I140" s="21"/>
      <c r="J140" s="45"/>
      <c r="K140" s="45"/>
      <c r="L140" s="45"/>
      <c r="M140" s="45"/>
      <c r="N140" s="45"/>
      <c r="O140" s="21"/>
      <c r="P140" s="21"/>
      <c r="Q140" s="21"/>
      <c r="R140" s="25" t="str">
        <f t="shared" si="2"/>
        <v/>
      </c>
    </row>
    <row r="141" spans="1:18" ht="33.6" customHeight="1">
      <c r="A141" s="28"/>
      <c r="B141" s="48"/>
      <c r="C141" s="48"/>
      <c r="D141" s="21"/>
      <c r="E141" s="21"/>
      <c r="F141" s="21"/>
      <c r="G141" s="21"/>
      <c r="H141" s="21"/>
      <c r="I141" s="21"/>
      <c r="J141" s="45"/>
      <c r="K141" s="45"/>
      <c r="L141" s="45"/>
      <c r="M141" s="45"/>
      <c r="N141" s="45"/>
      <c r="O141" s="21"/>
      <c r="P141" s="21"/>
      <c r="Q141" s="21"/>
      <c r="R141" s="25" t="str">
        <f t="shared" si="2"/>
        <v/>
      </c>
    </row>
    <row r="142" spans="1:18" ht="33.6" customHeight="1">
      <c r="A142" s="28"/>
      <c r="B142" s="48"/>
      <c r="C142" s="48"/>
      <c r="D142" s="21"/>
      <c r="E142" s="21"/>
      <c r="F142" s="21"/>
      <c r="G142" s="21"/>
      <c r="H142" s="21"/>
      <c r="I142" s="21"/>
      <c r="J142" s="45"/>
      <c r="K142" s="45"/>
      <c r="L142" s="45"/>
      <c r="M142" s="45"/>
      <c r="N142" s="45"/>
      <c r="O142" s="21"/>
      <c r="P142" s="21"/>
      <c r="Q142" s="21"/>
      <c r="R142" s="25" t="str">
        <f t="shared" si="2"/>
        <v/>
      </c>
    </row>
    <row r="143" spans="1:18" ht="33.6" customHeight="1">
      <c r="A143" s="28"/>
      <c r="B143" s="48"/>
      <c r="C143" s="48"/>
      <c r="D143" s="21"/>
      <c r="E143" s="21"/>
      <c r="F143" s="21"/>
      <c r="G143" s="21"/>
      <c r="H143" s="21"/>
      <c r="I143" s="21"/>
      <c r="J143" s="45"/>
      <c r="K143" s="45"/>
      <c r="L143" s="45"/>
      <c r="M143" s="45"/>
      <c r="N143" s="45"/>
      <c r="O143" s="21"/>
      <c r="P143" s="21"/>
      <c r="Q143" s="21"/>
      <c r="R143" s="25" t="str">
        <f t="shared" si="2"/>
        <v/>
      </c>
    </row>
    <row r="144" spans="1:18" ht="33.6" customHeight="1">
      <c r="A144" s="28"/>
      <c r="B144" s="48"/>
      <c r="C144" s="48"/>
      <c r="D144" s="21"/>
      <c r="E144" s="21"/>
      <c r="F144" s="21"/>
      <c r="G144" s="21"/>
      <c r="H144" s="21"/>
      <c r="I144" s="21"/>
      <c r="J144" s="45"/>
      <c r="K144" s="45"/>
      <c r="L144" s="45"/>
      <c r="M144" s="45"/>
      <c r="N144" s="45"/>
      <c r="O144" s="21"/>
      <c r="P144" s="21"/>
      <c r="Q144" s="21"/>
      <c r="R144" s="25" t="str">
        <f t="shared" si="2"/>
        <v/>
      </c>
    </row>
    <row r="145" spans="1:18" ht="33.6" customHeight="1">
      <c r="A145" s="28"/>
      <c r="B145" s="48"/>
      <c r="C145" s="48"/>
      <c r="D145" s="21"/>
      <c r="E145" s="21"/>
      <c r="F145" s="21"/>
      <c r="G145" s="21"/>
      <c r="H145" s="21"/>
      <c r="I145" s="21"/>
      <c r="J145" s="45"/>
      <c r="K145" s="45"/>
      <c r="L145" s="45"/>
      <c r="M145" s="45"/>
      <c r="N145" s="45"/>
      <c r="O145" s="21"/>
      <c r="P145" s="21"/>
      <c r="Q145" s="21"/>
      <c r="R145" s="25" t="str">
        <f t="shared" si="2"/>
        <v/>
      </c>
    </row>
    <row r="146" spans="1:18" ht="33.6" customHeight="1">
      <c r="A146" s="28"/>
      <c r="B146" s="48"/>
      <c r="C146" s="48"/>
      <c r="D146" s="21"/>
      <c r="E146" s="21"/>
      <c r="F146" s="21"/>
      <c r="G146" s="21"/>
      <c r="H146" s="21"/>
      <c r="I146" s="21"/>
      <c r="J146" s="45"/>
      <c r="K146" s="45"/>
      <c r="L146" s="45"/>
      <c r="M146" s="45"/>
      <c r="N146" s="45"/>
      <c r="O146" s="21"/>
      <c r="P146" s="21"/>
      <c r="Q146" s="21"/>
      <c r="R146" s="25" t="str">
        <f t="shared" si="2"/>
        <v/>
      </c>
    </row>
    <row r="147" spans="1:18" ht="33.6" customHeight="1">
      <c r="A147" s="28"/>
      <c r="B147" s="48"/>
      <c r="C147" s="48"/>
      <c r="D147" s="21"/>
      <c r="E147" s="21"/>
      <c r="F147" s="21"/>
      <c r="G147" s="21"/>
      <c r="H147" s="21"/>
      <c r="I147" s="21"/>
      <c r="J147" s="45"/>
      <c r="K147" s="45"/>
      <c r="L147" s="45"/>
      <c r="M147" s="45"/>
      <c r="N147" s="45"/>
      <c r="O147" s="21"/>
      <c r="P147" s="21"/>
      <c r="Q147" s="21"/>
      <c r="R147" s="25" t="str">
        <f t="shared" si="2"/>
        <v/>
      </c>
    </row>
    <row r="148" spans="1:18" ht="33.6" customHeight="1">
      <c r="A148" s="28"/>
      <c r="B148" s="48"/>
      <c r="C148" s="48"/>
      <c r="D148" s="21"/>
      <c r="E148" s="21"/>
      <c r="F148" s="21"/>
      <c r="G148" s="21"/>
      <c r="H148" s="21"/>
      <c r="I148" s="21"/>
      <c r="J148" s="45"/>
      <c r="K148" s="45"/>
      <c r="L148" s="45"/>
      <c r="M148" s="45"/>
      <c r="N148" s="45"/>
      <c r="O148" s="21"/>
      <c r="P148" s="21"/>
      <c r="Q148" s="21"/>
      <c r="R148" s="25" t="str">
        <f t="shared" si="2"/>
        <v/>
      </c>
    </row>
    <row r="149" spans="1:18" ht="33.6" customHeight="1">
      <c r="A149" s="28"/>
      <c r="B149" s="48"/>
      <c r="C149" s="48"/>
      <c r="D149" s="21"/>
      <c r="E149" s="21"/>
      <c r="F149" s="21"/>
      <c r="G149" s="21"/>
      <c r="H149" s="21"/>
      <c r="I149" s="21"/>
      <c r="J149" s="45"/>
      <c r="K149" s="45"/>
      <c r="L149" s="45"/>
      <c r="M149" s="45"/>
      <c r="N149" s="45"/>
      <c r="O149" s="21"/>
      <c r="P149" s="21"/>
      <c r="Q149" s="21"/>
      <c r="R149" s="25" t="str">
        <f t="shared" si="2"/>
        <v/>
      </c>
    </row>
    <row r="150" spans="1:18" ht="33.6" customHeight="1">
      <c r="A150" s="28"/>
      <c r="B150" s="48"/>
      <c r="C150" s="48"/>
      <c r="D150" s="21"/>
      <c r="E150" s="21"/>
      <c r="F150" s="21"/>
      <c r="G150" s="21"/>
      <c r="H150" s="21"/>
      <c r="I150" s="21"/>
      <c r="J150" s="45"/>
      <c r="K150" s="45"/>
      <c r="L150" s="45"/>
      <c r="M150" s="45"/>
      <c r="N150" s="45"/>
      <c r="O150" s="21"/>
      <c r="P150" s="21"/>
      <c r="Q150" s="21"/>
      <c r="R150" s="25" t="str">
        <f t="shared" si="2"/>
        <v/>
      </c>
    </row>
    <row r="151" spans="1:18" ht="33.6" customHeight="1">
      <c r="A151" s="28"/>
      <c r="B151" s="48"/>
      <c r="C151" s="48"/>
      <c r="D151" s="21"/>
      <c r="E151" s="21"/>
      <c r="F151" s="21"/>
      <c r="G151" s="21"/>
      <c r="H151" s="21"/>
      <c r="I151" s="21"/>
      <c r="J151" s="45"/>
      <c r="K151" s="45"/>
      <c r="L151" s="45"/>
      <c r="M151" s="45"/>
      <c r="N151" s="45"/>
      <c r="O151" s="21"/>
      <c r="P151" s="21"/>
      <c r="Q151" s="21"/>
      <c r="R151" s="25" t="str">
        <f t="shared" si="2"/>
        <v/>
      </c>
    </row>
    <row r="152" spans="1:18" ht="33.6" customHeight="1">
      <c r="A152" s="28"/>
      <c r="B152" s="48"/>
      <c r="C152" s="48"/>
      <c r="D152" s="21"/>
      <c r="E152" s="21"/>
      <c r="F152" s="21"/>
      <c r="G152" s="21"/>
      <c r="H152" s="21"/>
      <c r="I152" s="21"/>
      <c r="J152" s="45"/>
      <c r="K152" s="45"/>
      <c r="L152" s="45"/>
      <c r="M152" s="45"/>
      <c r="N152" s="45"/>
      <c r="O152" s="21"/>
      <c r="P152" s="21"/>
      <c r="Q152" s="21"/>
      <c r="R152" s="25" t="str">
        <f t="shared" si="2"/>
        <v/>
      </c>
    </row>
    <row r="153" spans="1:18" ht="33.6" customHeight="1">
      <c r="A153" s="28"/>
      <c r="B153" s="48"/>
      <c r="C153" s="48"/>
      <c r="D153" s="21"/>
      <c r="E153" s="21"/>
      <c r="F153" s="21"/>
      <c r="G153" s="21"/>
      <c r="H153" s="21"/>
      <c r="I153" s="21"/>
      <c r="J153" s="45"/>
      <c r="K153" s="45"/>
      <c r="L153" s="45"/>
      <c r="M153" s="45"/>
      <c r="N153" s="45"/>
      <c r="O153" s="21"/>
      <c r="P153" s="21"/>
      <c r="Q153" s="21"/>
      <c r="R153" s="25" t="str">
        <f t="shared" si="2"/>
        <v/>
      </c>
    </row>
    <row r="154" spans="1:18" ht="33.6" customHeight="1">
      <c r="A154" s="28"/>
      <c r="B154" s="48"/>
      <c r="C154" s="48"/>
      <c r="D154" s="21"/>
      <c r="E154" s="21"/>
      <c r="F154" s="21"/>
      <c r="G154" s="21"/>
      <c r="H154" s="21"/>
      <c r="I154" s="21"/>
      <c r="J154" s="45"/>
      <c r="K154" s="45"/>
      <c r="L154" s="45"/>
      <c r="M154" s="45"/>
      <c r="N154" s="45"/>
      <c r="O154" s="21"/>
      <c r="P154" s="21"/>
      <c r="Q154" s="21"/>
      <c r="R154" s="25" t="str">
        <f t="shared" si="2"/>
        <v/>
      </c>
    </row>
    <row r="155" spans="1:18" ht="33.6" customHeight="1">
      <c r="A155" s="28"/>
      <c r="B155" s="48"/>
      <c r="C155" s="48"/>
      <c r="D155" s="21"/>
      <c r="E155" s="21"/>
      <c r="F155" s="21"/>
      <c r="G155" s="21"/>
      <c r="H155" s="21"/>
      <c r="I155" s="21"/>
      <c r="J155" s="45"/>
      <c r="K155" s="45"/>
      <c r="L155" s="45"/>
      <c r="M155" s="45"/>
      <c r="N155" s="45"/>
      <c r="O155" s="21"/>
      <c r="P155" s="21"/>
      <c r="Q155" s="21"/>
      <c r="R155" s="25" t="str">
        <f t="shared" si="2"/>
        <v/>
      </c>
    </row>
    <row r="156" spans="1:18" ht="33.6" customHeight="1">
      <c r="A156" s="28"/>
      <c r="B156" s="48"/>
      <c r="C156" s="48"/>
      <c r="D156" s="21"/>
      <c r="E156" s="21"/>
      <c r="F156" s="21"/>
      <c r="G156" s="21"/>
      <c r="H156" s="21"/>
      <c r="I156" s="21"/>
      <c r="J156" s="45"/>
      <c r="K156" s="45"/>
      <c r="L156" s="45"/>
      <c r="M156" s="45"/>
      <c r="N156" s="45"/>
      <c r="O156" s="21"/>
      <c r="P156" s="21"/>
      <c r="Q156" s="21"/>
      <c r="R156" s="25" t="str">
        <f t="shared" si="2"/>
        <v/>
      </c>
    </row>
    <row r="157" spans="1:18" ht="33.6" customHeight="1">
      <c r="A157" s="28"/>
      <c r="B157" s="48"/>
      <c r="C157" s="48"/>
      <c r="D157" s="21"/>
      <c r="E157" s="21"/>
      <c r="F157" s="21"/>
      <c r="G157" s="21"/>
      <c r="H157" s="21"/>
      <c r="I157" s="21"/>
      <c r="J157" s="45"/>
      <c r="K157" s="45"/>
      <c r="L157" s="45"/>
      <c r="M157" s="45"/>
      <c r="N157" s="45"/>
      <c r="O157" s="21"/>
      <c r="P157" s="21"/>
      <c r="Q157" s="21"/>
      <c r="R157" s="25" t="str">
        <f t="shared" si="2"/>
        <v/>
      </c>
    </row>
    <row r="158" spans="1:18" ht="33.6" customHeight="1">
      <c r="A158" s="28"/>
      <c r="B158" s="48"/>
      <c r="C158" s="48"/>
      <c r="D158" s="21"/>
      <c r="E158" s="21"/>
      <c r="F158" s="21"/>
      <c r="G158" s="21"/>
      <c r="H158" s="21"/>
      <c r="I158" s="21"/>
      <c r="J158" s="45"/>
      <c r="K158" s="45"/>
      <c r="L158" s="45"/>
      <c r="M158" s="45"/>
      <c r="N158" s="45"/>
      <c r="O158" s="21"/>
      <c r="P158" s="21"/>
      <c r="Q158" s="21"/>
      <c r="R158" s="25" t="str">
        <f t="shared" si="2"/>
        <v/>
      </c>
    </row>
    <row r="159" spans="1:18" ht="33.6" customHeight="1">
      <c r="A159" s="28"/>
      <c r="B159" s="48"/>
      <c r="C159" s="48"/>
      <c r="D159" s="21"/>
      <c r="E159" s="21"/>
      <c r="F159" s="21"/>
      <c r="G159" s="21"/>
      <c r="H159" s="21"/>
      <c r="I159" s="21"/>
      <c r="J159" s="45"/>
      <c r="K159" s="45"/>
      <c r="L159" s="45"/>
      <c r="M159" s="45"/>
      <c r="N159" s="45"/>
      <c r="O159" s="21"/>
      <c r="P159" s="21"/>
      <c r="Q159" s="21"/>
      <c r="R159" s="25" t="str">
        <f t="shared" si="2"/>
        <v/>
      </c>
    </row>
    <row r="160" spans="1:18" ht="33.6" customHeight="1">
      <c r="A160" s="28"/>
      <c r="B160" s="48"/>
      <c r="C160" s="48"/>
      <c r="D160" s="21"/>
      <c r="E160" s="21"/>
      <c r="F160" s="21"/>
      <c r="G160" s="21"/>
      <c r="H160" s="21"/>
      <c r="I160" s="21"/>
      <c r="J160" s="45"/>
      <c r="K160" s="45"/>
      <c r="L160" s="45"/>
      <c r="M160" s="45"/>
      <c r="N160" s="45"/>
      <c r="O160" s="21"/>
      <c r="P160" s="21"/>
      <c r="Q160" s="21"/>
      <c r="R160" s="25" t="str">
        <f t="shared" si="2"/>
        <v/>
      </c>
    </row>
    <row r="161" spans="1:18" ht="33.6" customHeight="1">
      <c r="A161" s="28"/>
      <c r="B161" s="48"/>
      <c r="C161" s="48"/>
      <c r="D161" s="21"/>
      <c r="E161" s="21"/>
      <c r="F161" s="21"/>
      <c r="G161" s="21"/>
      <c r="H161" s="21"/>
      <c r="I161" s="21"/>
      <c r="J161" s="45"/>
      <c r="K161" s="45"/>
      <c r="L161" s="45"/>
      <c r="M161" s="45"/>
      <c r="N161" s="45"/>
      <c r="O161" s="21"/>
      <c r="P161" s="21"/>
      <c r="Q161" s="21"/>
      <c r="R161" s="25" t="str">
        <f t="shared" si="2"/>
        <v/>
      </c>
    </row>
    <row r="162" spans="1:18" ht="33.6" customHeight="1">
      <c r="A162" s="28"/>
      <c r="B162" s="48"/>
      <c r="C162" s="48"/>
      <c r="D162" s="21"/>
      <c r="E162" s="21"/>
      <c r="F162" s="21"/>
      <c r="G162" s="21"/>
      <c r="H162" s="21"/>
      <c r="I162" s="21"/>
      <c r="J162" s="45"/>
      <c r="K162" s="45"/>
      <c r="L162" s="45"/>
      <c r="M162" s="45"/>
      <c r="N162" s="45"/>
      <c r="O162" s="21"/>
      <c r="P162" s="21"/>
      <c r="Q162" s="21"/>
      <c r="R162" s="25" t="str">
        <f t="shared" si="2"/>
        <v/>
      </c>
    </row>
    <row r="163" spans="1:18" ht="33.6" customHeight="1">
      <c r="A163" s="28"/>
      <c r="B163" s="48"/>
      <c r="C163" s="48"/>
      <c r="D163" s="21"/>
      <c r="E163" s="21"/>
      <c r="F163" s="21"/>
      <c r="G163" s="21"/>
      <c r="H163" s="21"/>
      <c r="I163" s="21"/>
      <c r="J163" s="45"/>
      <c r="K163" s="45"/>
      <c r="L163" s="45"/>
      <c r="M163" s="45"/>
      <c r="N163" s="45"/>
      <c r="O163" s="21"/>
      <c r="P163" s="21"/>
      <c r="Q163" s="21"/>
      <c r="R163" s="25" t="str">
        <f t="shared" si="2"/>
        <v/>
      </c>
    </row>
    <row r="164" spans="1:18" ht="33.6" customHeight="1">
      <c r="A164" s="28"/>
      <c r="B164" s="48"/>
      <c r="C164" s="48"/>
      <c r="D164" s="21"/>
      <c r="E164" s="21"/>
      <c r="F164" s="21"/>
      <c r="G164" s="21"/>
      <c r="H164" s="21"/>
      <c r="I164" s="21"/>
      <c r="J164" s="45"/>
      <c r="K164" s="45"/>
      <c r="L164" s="45"/>
      <c r="M164" s="45"/>
      <c r="N164" s="45"/>
      <c r="O164" s="21"/>
      <c r="P164" s="21"/>
      <c r="Q164" s="21"/>
      <c r="R164" s="25" t="str">
        <f t="shared" si="2"/>
        <v/>
      </c>
    </row>
    <row r="165" spans="1:18" ht="33.6" customHeight="1">
      <c r="A165" s="28"/>
      <c r="B165" s="48"/>
      <c r="C165" s="48"/>
      <c r="D165" s="21"/>
      <c r="E165" s="21"/>
      <c r="F165" s="21"/>
      <c r="G165" s="21"/>
      <c r="H165" s="21"/>
      <c r="I165" s="21"/>
      <c r="J165" s="45"/>
      <c r="K165" s="45"/>
      <c r="L165" s="45"/>
      <c r="M165" s="45"/>
      <c r="N165" s="45"/>
      <c r="O165" s="21"/>
      <c r="P165" s="21"/>
      <c r="Q165" s="21"/>
      <c r="R165" s="25" t="str">
        <f t="shared" si="2"/>
        <v/>
      </c>
    </row>
    <row r="166" spans="1:18" ht="33.6" customHeight="1">
      <c r="A166" s="28"/>
      <c r="B166" s="48"/>
      <c r="C166" s="48"/>
      <c r="D166" s="21"/>
      <c r="E166" s="21"/>
      <c r="F166" s="21"/>
      <c r="G166" s="21"/>
      <c r="H166" s="21"/>
      <c r="I166" s="21"/>
      <c r="J166" s="45"/>
      <c r="K166" s="45"/>
      <c r="L166" s="45"/>
      <c r="M166" s="45"/>
      <c r="N166" s="45"/>
      <c r="O166" s="21"/>
      <c r="P166" s="21"/>
      <c r="Q166" s="21"/>
      <c r="R166" s="25" t="str">
        <f t="shared" si="2"/>
        <v/>
      </c>
    </row>
    <row r="167" spans="1:18" ht="33.6" customHeight="1">
      <c r="A167" s="28"/>
      <c r="B167" s="48"/>
      <c r="C167" s="48"/>
      <c r="D167" s="21"/>
      <c r="E167" s="21"/>
      <c r="F167" s="21"/>
      <c r="G167" s="21"/>
      <c r="H167" s="21"/>
      <c r="I167" s="21"/>
      <c r="J167" s="45"/>
      <c r="K167" s="45"/>
      <c r="L167" s="45"/>
      <c r="M167" s="45"/>
      <c r="N167" s="45"/>
      <c r="O167" s="21"/>
      <c r="P167" s="21"/>
      <c r="Q167" s="21"/>
      <c r="R167" s="25" t="str">
        <f t="shared" si="2"/>
        <v/>
      </c>
    </row>
    <row r="168" spans="1:18" ht="33.6" customHeight="1">
      <c r="A168" s="28"/>
      <c r="B168" s="48"/>
      <c r="C168" s="48"/>
      <c r="D168" s="21"/>
      <c r="E168" s="21"/>
      <c r="F168" s="21"/>
      <c r="G168" s="21"/>
      <c r="H168" s="21"/>
      <c r="I168" s="21"/>
      <c r="J168" s="45"/>
      <c r="K168" s="45"/>
      <c r="L168" s="45"/>
      <c r="M168" s="45"/>
      <c r="N168" s="45"/>
      <c r="O168" s="21"/>
      <c r="P168" s="21"/>
      <c r="Q168" s="21"/>
      <c r="R168" s="25" t="str">
        <f t="shared" si="2"/>
        <v/>
      </c>
    </row>
    <row r="169" spans="1:18" ht="33.6" customHeight="1">
      <c r="A169" s="28"/>
      <c r="B169" s="48"/>
      <c r="C169" s="48"/>
      <c r="D169" s="21"/>
      <c r="E169" s="21"/>
      <c r="F169" s="21"/>
      <c r="G169" s="21"/>
      <c r="H169" s="21"/>
      <c r="I169" s="21"/>
      <c r="J169" s="45"/>
      <c r="K169" s="45"/>
      <c r="L169" s="45"/>
      <c r="M169" s="45"/>
      <c r="N169" s="45"/>
      <c r="O169" s="21"/>
      <c r="P169" s="21"/>
      <c r="Q169" s="21"/>
      <c r="R169" s="25" t="str">
        <f t="shared" si="2"/>
        <v/>
      </c>
    </row>
    <row r="170" spans="1:18" ht="33.6" customHeight="1">
      <c r="A170" s="28"/>
      <c r="B170" s="48"/>
      <c r="C170" s="48"/>
      <c r="D170" s="21"/>
      <c r="E170" s="21"/>
      <c r="F170" s="21"/>
      <c r="G170" s="21"/>
      <c r="H170" s="21"/>
      <c r="I170" s="21"/>
      <c r="J170" s="45"/>
      <c r="K170" s="45"/>
      <c r="L170" s="45"/>
      <c r="M170" s="45"/>
      <c r="N170" s="45"/>
      <c r="O170" s="21"/>
      <c r="P170" s="21"/>
      <c r="Q170" s="21"/>
      <c r="R170" s="25" t="str">
        <f t="shared" si="2"/>
        <v/>
      </c>
    </row>
    <row r="171" spans="1:18" ht="33.6" customHeight="1">
      <c r="A171" s="28"/>
      <c r="B171" s="48"/>
      <c r="C171" s="48"/>
      <c r="D171" s="21"/>
      <c r="E171" s="21"/>
      <c r="F171" s="21"/>
      <c r="G171" s="21"/>
      <c r="H171" s="21"/>
      <c r="I171" s="21"/>
      <c r="J171" s="45"/>
      <c r="K171" s="45"/>
      <c r="L171" s="45"/>
      <c r="M171" s="45"/>
      <c r="N171" s="45"/>
      <c r="O171" s="21"/>
      <c r="P171" s="21"/>
      <c r="Q171" s="21"/>
      <c r="R171" s="25" t="str">
        <f t="shared" si="2"/>
        <v/>
      </c>
    </row>
    <row r="172" spans="1:18" ht="33.6" customHeight="1">
      <c r="A172" s="28"/>
      <c r="B172" s="48"/>
      <c r="C172" s="48"/>
      <c r="D172" s="21"/>
      <c r="E172" s="21"/>
      <c r="F172" s="21"/>
      <c r="G172" s="21"/>
      <c r="H172" s="21"/>
      <c r="I172" s="21"/>
      <c r="J172" s="45"/>
      <c r="K172" s="45"/>
      <c r="L172" s="45"/>
      <c r="M172" s="45"/>
      <c r="N172" s="45"/>
      <c r="O172" s="21"/>
      <c r="P172" s="21"/>
      <c r="Q172" s="21"/>
      <c r="R172" s="25" t="str">
        <f t="shared" si="2"/>
        <v/>
      </c>
    </row>
    <row r="173" spans="1:18" ht="33.6" customHeight="1">
      <c r="A173" s="28"/>
      <c r="B173" s="48"/>
      <c r="C173" s="48"/>
      <c r="D173" s="21"/>
      <c r="E173" s="21"/>
      <c r="F173" s="21"/>
      <c r="G173" s="21"/>
      <c r="H173" s="21"/>
      <c r="I173" s="21"/>
      <c r="J173" s="45"/>
      <c r="K173" s="45"/>
      <c r="L173" s="45"/>
      <c r="M173" s="45"/>
      <c r="N173" s="45"/>
      <c r="O173" s="21"/>
      <c r="P173" s="21"/>
      <c r="Q173" s="21"/>
      <c r="R173" s="25" t="str">
        <f t="shared" si="2"/>
        <v/>
      </c>
    </row>
    <row r="174" spans="1:18" ht="33.6" customHeight="1">
      <c r="A174" s="28"/>
      <c r="B174" s="48"/>
      <c r="C174" s="48"/>
      <c r="D174" s="21"/>
      <c r="E174" s="21"/>
      <c r="F174" s="21"/>
      <c r="G174" s="21"/>
      <c r="H174" s="21"/>
      <c r="I174" s="21"/>
      <c r="J174" s="45"/>
      <c r="K174" s="45"/>
      <c r="L174" s="45"/>
      <c r="M174" s="45"/>
      <c r="N174" s="45"/>
      <c r="O174" s="21"/>
      <c r="P174" s="21"/>
      <c r="Q174" s="21"/>
      <c r="R174" s="25" t="str">
        <f t="shared" si="2"/>
        <v/>
      </c>
    </row>
    <row r="175" spans="1:18" ht="33.6" customHeight="1">
      <c r="A175" s="28"/>
      <c r="B175" s="48"/>
      <c r="C175" s="48"/>
      <c r="D175" s="21"/>
      <c r="E175" s="21"/>
      <c r="F175" s="21"/>
      <c r="G175" s="21"/>
      <c r="H175" s="21"/>
      <c r="I175" s="21"/>
      <c r="J175" s="45"/>
      <c r="K175" s="45"/>
      <c r="L175" s="45"/>
      <c r="M175" s="45"/>
      <c r="N175" s="45"/>
      <c r="O175" s="21"/>
      <c r="P175" s="21"/>
      <c r="Q175" s="21"/>
      <c r="R175" s="25" t="str">
        <f t="shared" si="2"/>
        <v/>
      </c>
    </row>
    <row r="176" spans="1:18" ht="33.6" customHeight="1">
      <c r="A176" s="28"/>
      <c r="B176" s="48"/>
      <c r="C176" s="48"/>
      <c r="D176" s="21"/>
      <c r="E176" s="21"/>
      <c r="F176" s="21"/>
      <c r="G176" s="21"/>
      <c r="H176" s="21"/>
      <c r="I176" s="21"/>
      <c r="J176" s="45"/>
      <c r="K176" s="45"/>
      <c r="L176" s="45"/>
      <c r="M176" s="45"/>
      <c r="N176" s="45"/>
      <c r="O176" s="21"/>
      <c r="P176" s="21"/>
      <c r="Q176" s="21"/>
      <c r="R176" s="25" t="str">
        <f t="shared" si="2"/>
        <v/>
      </c>
    </row>
    <row r="177" spans="1:18" ht="33.6" customHeight="1">
      <c r="A177" s="28"/>
      <c r="B177" s="48"/>
      <c r="C177" s="48"/>
      <c r="D177" s="21"/>
      <c r="E177" s="21"/>
      <c r="F177" s="21"/>
      <c r="G177" s="21"/>
      <c r="H177" s="21"/>
      <c r="I177" s="21"/>
      <c r="J177" s="45"/>
      <c r="K177" s="45"/>
      <c r="L177" s="45"/>
      <c r="M177" s="45"/>
      <c r="N177" s="45"/>
      <c r="O177" s="21"/>
      <c r="P177" s="21"/>
      <c r="Q177" s="21"/>
      <c r="R177" s="25" t="str">
        <f t="shared" si="2"/>
        <v/>
      </c>
    </row>
    <row r="178" spans="1:18" ht="33.6" customHeight="1">
      <c r="A178" s="28"/>
      <c r="B178" s="48"/>
      <c r="C178" s="48"/>
      <c r="D178" s="21"/>
      <c r="E178" s="21"/>
      <c r="F178" s="21"/>
      <c r="G178" s="21"/>
      <c r="H178" s="21"/>
      <c r="I178" s="21"/>
      <c r="J178" s="45"/>
      <c r="K178" s="45"/>
      <c r="L178" s="45"/>
      <c r="M178" s="45"/>
      <c r="N178" s="45"/>
      <c r="O178" s="21"/>
      <c r="P178" s="21"/>
      <c r="Q178" s="21"/>
      <c r="R178" s="25" t="str">
        <f t="shared" si="2"/>
        <v/>
      </c>
    </row>
    <row r="179" spans="1:18" ht="33.6" customHeight="1">
      <c r="A179" s="28"/>
      <c r="B179" s="48"/>
      <c r="C179" s="48"/>
      <c r="D179" s="21"/>
      <c r="E179" s="21"/>
      <c r="F179" s="21"/>
      <c r="G179" s="21"/>
      <c r="H179" s="21"/>
      <c r="I179" s="21"/>
      <c r="J179" s="45"/>
      <c r="K179" s="45"/>
      <c r="L179" s="45"/>
      <c r="M179" s="45"/>
      <c r="N179" s="45"/>
      <c r="O179" s="21"/>
      <c r="P179" s="21"/>
      <c r="Q179" s="21"/>
      <c r="R179" s="25" t="str">
        <f t="shared" ref="R179:R242" si="3">IF(COUNTIF($A$17:$A$2010,$A179)&gt;1,"Possible Duplicate","")</f>
        <v/>
      </c>
    </row>
    <row r="180" spans="1:18" ht="33.6" customHeight="1">
      <c r="A180" s="28"/>
      <c r="B180" s="48"/>
      <c r="C180" s="48"/>
      <c r="D180" s="21"/>
      <c r="E180" s="21"/>
      <c r="F180" s="21"/>
      <c r="G180" s="21"/>
      <c r="H180" s="21"/>
      <c r="I180" s="21"/>
      <c r="J180" s="45"/>
      <c r="K180" s="45"/>
      <c r="L180" s="45"/>
      <c r="M180" s="45"/>
      <c r="N180" s="45"/>
      <c r="O180" s="21"/>
      <c r="P180" s="21"/>
      <c r="Q180" s="21"/>
      <c r="R180" s="25" t="str">
        <f t="shared" si="3"/>
        <v/>
      </c>
    </row>
    <row r="181" spans="1:18" ht="33.6" customHeight="1">
      <c r="A181" s="28"/>
      <c r="B181" s="48"/>
      <c r="C181" s="48"/>
      <c r="D181" s="21"/>
      <c r="E181" s="21"/>
      <c r="F181" s="21"/>
      <c r="G181" s="21"/>
      <c r="H181" s="21"/>
      <c r="I181" s="21"/>
      <c r="J181" s="45"/>
      <c r="K181" s="45"/>
      <c r="L181" s="45"/>
      <c r="M181" s="45"/>
      <c r="N181" s="45"/>
      <c r="O181" s="21"/>
      <c r="P181" s="21"/>
      <c r="Q181" s="21"/>
      <c r="R181" s="25" t="str">
        <f t="shared" si="3"/>
        <v/>
      </c>
    </row>
    <row r="182" spans="1:18" ht="33.6" customHeight="1">
      <c r="A182" s="28"/>
      <c r="B182" s="48"/>
      <c r="C182" s="48"/>
      <c r="D182" s="21"/>
      <c r="E182" s="21"/>
      <c r="F182" s="21"/>
      <c r="G182" s="21"/>
      <c r="H182" s="21"/>
      <c r="I182" s="21"/>
      <c r="J182" s="45"/>
      <c r="K182" s="45"/>
      <c r="L182" s="45"/>
      <c r="M182" s="45"/>
      <c r="N182" s="45"/>
      <c r="O182" s="21"/>
      <c r="P182" s="21"/>
      <c r="Q182" s="21"/>
      <c r="R182" s="25" t="str">
        <f t="shared" si="3"/>
        <v/>
      </c>
    </row>
    <row r="183" spans="1:18" ht="33.6" customHeight="1">
      <c r="A183" s="28"/>
      <c r="B183" s="48"/>
      <c r="C183" s="48"/>
      <c r="D183" s="21"/>
      <c r="E183" s="21"/>
      <c r="F183" s="21"/>
      <c r="G183" s="21"/>
      <c r="H183" s="21"/>
      <c r="I183" s="21"/>
      <c r="J183" s="45"/>
      <c r="K183" s="45"/>
      <c r="L183" s="45"/>
      <c r="M183" s="45"/>
      <c r="N183" s="45"/>
      <c r="O183" s="21"/>
      <c r="P183" s="21"/>
      <c r="Q183" s="21"/>
      <c r="R183" s="25" t="str">
        <f t="shared" si="3"/>
        <v/>
      </c>
    </row>
    <row r="184" spans="1:18" ht="33.6" customHeight="1">
      <c r="A184" s="28"/>
      <c r="B184" s="48"/>
      <c r="C184" s="48"/>
      <c r="D184" s="21"/>
      <c r="E184" s="21"/>
      <c r="F184" s="21"/>
      <c r="G184" s="21"/>
      <c r="H184" s="21"/>
      <c r="I184" s="21"/>
      <c r="J184" s="45"/>
      <c r="K184" s="45"/>
      <c r="L184" s="45"/>
      <c r="M184" s="45"/>
      <c r="N184" s="45"/>
      <c r="O184" s="21"/>
      <c r="P184" s="21"/>
      <c r="Q184" s="21"/>
      <c r="R184" s="25" t="str">
        <f t="shared" si="3"/>
        <v/>
      </c>
    </row>
    <row r="185" spans="1:18" ht="33.6" customHeight="1">
      <c r="A185" s="28"/>
      <c r="B185" s="48"/>
      <c r="C185" s="48"/>
      <c r="D185" s="21"/>
      <c r="E185" s="21"/>
      <c r="F185" s="21"/>
      <c r="G185" s="21"/>
      <c r="H185" s="21"/>
      <c r="I185" s="21"/>
      <c r="J185" s="45"/>
      <c r="K185" s="45"/>
      <c r="L185" s="45"/>
      <c r="M185" s="45"/>
      <c r="N185" s="45"/>
      <c r="O185" s="21"/>
      <c r="P185" s="21"/>
      <c r="Q185" s="21"/>
      <c r="R185" s="25" t="str">
        <f t="shared" si="3"/>
        <v/>
      </c>
    </row>
    <row r="186" spans="1:18" ht="33.6" customHeight="1">
      <c r="A186" s="28"/>
      <c r="B186" s="48"/>
      <c r="C186" s="48"/>
      <c r="D186" s="21"/>
      <c r="E186" s="21"/>
      <c r="F186" s="21"/>
      <c r="G186" s="21"/>
      <c r="H186" s="21"/>
      <c r="I186" s="21"/>
      <c r="J186" s="45"/>
      <c r="K186" s="45"/>
      <c r="L186" s="45"/>
      <c r="M186" s="45"/>
      <c r="N186" s="45"/>
      <c r="O186" s="21"/>
      <c r="P186" s="21"/>
      <c r="Q186" s="21"/>
      <c r="R186" s="25" t="str">
        <f t="shared" si="3"/>
        <v/>
      </c>
    </row>
    <row r="187" spans="1:18" ht="33.6" customHeight="1">
      <c r="A187" s="28"/>
      <c r="B187" s="48"/>
      <c r="C187" s="48"/>
      <c r="D187" s="21"/>
      <c r="E187" s="21"/>
      <c r="F187" s="21"/>
      <c r="G187" s="21"/>
      <c r="H187" s="21"/>
      <c r="I187" s="21"/>
      <c r="J187" s="45"/>
      <c r="K187" s="45"/>
      <c r="L187" s="45"/>
      <c r="M187" s="45"/>
      <c r="N187" s="45"/>
      <c r="O187" s="21"/>
      <c r="P187" s="21"/>
      <c r="Q187" s="21"/>
      <c r="R187" s="25" t="str">
        <f t="shared" si="3"/>
        <v/>
      </c>
    </row>
    <row r="188" spans="1:18" ht="33.6" customHeight="1">
      <c r="A188" s="28"/>
      <c r="B188" s="48"/>
      <c r="C188" s="48"/>
      <c r="D188" s="21"/>
      <c r="E188" s="21"/>
      <c r="F188" s="21"/>
      <c r="G188" s="21"/>
      <c r="H188" s="21"/>
      <c r="I188" s="21"/>
      <c r="J188" s="45"/>
      <c r="K188" s="45"/>
      <c r="L188" s="45"/>
      <c r="M188" s="45"/>
      <c r="N188" s="45"/>
      <c r="O188" s="21"/>
      <c r="P188" s="21"/>
      <c r="Q188" s="21"/>
      <c r="R188" s="25" t="str">
        <f t="shared" si="3"/>
        <v/>
      </c>
    </row>
    <row r="189" spans="1:18" ht="33.6" customHeight="1">
      <c r="A189" s="28"/>
      <c r="B189" s="48"/>
      <c r="C189" s="48"/>
      <c r="D189" s="21"/>
      <c r="E189" s="21"/>
      <c r="F189" s="21"/>
      <c r="G189" s="21"/>
      <c r="H189" s="21"/>
      <c r="I189" s="21"/>
      <c r="J189" s="45"/>
      <c r="K189" s="45"/>
      <c r="L189" s="45"/>
      <c r="M189" s="45"/>
      <c r="N189" s="45"/>
      <c r="O189" s="21"/>
      <c r="P189" s="21"/>
      <c r="Q189" s="21"/>
      <c r="R189" s="25" t="str">
        <f t="shared" si="3"/>
        <v/>
      </c>
    </row>
    <row r="190" spans="1:18" ht="33.6" customHeight="1">
      <c r="A190" s="28"/>
      <c r="B190" s="48"/>
      <c r="C190" s="48"/>
      <c r="D190" s="21"/>
      <c r="E190" s="21"/>
      <c r="F190" s="21"/>
      <c r="G190" s="21"/>
      <c r="H190" s="21"/>
      <c r="I190" s="21"/>
      <c r="J190" s="45"/>
      <c r="K190" s="45"/>
      <c r="L190" s="45"/>
      <c r="M190" s="45"/>
      <c r="N190" s="45"/>
      <c r="O190" s="21"/>
      <c r="P190" s="21"/>
      <c r="Q190" s="21"/>
      <c r="R190" s="25" t="str">
        <f t="shared" si="3"/>
        <v/>
      </c>
    </row>
    <row r="191" spans="1:18" ht="33.6" customHeight="1">
      <c r="A191" s="28"/>
      <c r="B191" s="48"/>
      <c r="C191" s="48"/>
      <c r="D191" s="21"/>
      <c r="E191" s="21"/>
      <c r="F191" s="21"/>
      <c r="G191" s="21"/>
      <c r="H191" s="21"/>
      <c r="I191" s="21"/>
      <c r="J191" s="45"/>
      <c r="K191" s="45"/>
      <c r="L191" s="45"/>
      <c r="M191" s="45"/>
      <c r="N191" s="45"/>
      <c r="O191" s="21"/>
      <c r="P191" s="21"/>
      <c r="Q191" s="21"/>
      <c r="R191" s="25" t="str">
        <f t="shared" si="3"/>
        <v/>
      </c>
    </row>
    <row r="192" spans="1:18" ht="33.6" customHeight="1">
      <c r="A192" s="28"/>
      <c r="B192" s="48"/>
      <c r="C192" s="48"/>
      <c r="D192" s="21"/>
      <c r="E192" s="21"/>
      <c r="F192" s="21"/>
      <c r="G192" s="21"/>
      <c r="H192" s="21"/>
      <c r="I192" s="21"/>
      <c r="J192" s="45"/>
      <c r="K192" s="45"/>
      <c r="L192" s="45"/>
      <c r="M192" s="45"/>
      <c r="N192" s="45"/>
      <c r="O192" s="21"/>
      <c r="P192" s="21"/>
      <c r="Q192" s="21"/>
      <c r="R192" s="25" t="str">
        <f t="shared" si="3"/>
        <v/>
      </c>
    </row>
    <row r="193" spans="1:18" ht="33.6" customHeight="1">
      <c r="A193" s="28"/>
      <c r="B193" s="48"/>
      <c r="C193" s="48"/>
      <c r="D193" s="21"/>
      <c r="E193" s="21"/>
      <c r="F193" s="21"/>
      <c r="G193" s="21"/>
      <c r="H193" s="21"/>
      <c r="I193" s="21"/>
      <c r="J193" s="45"/>
      <c r="K193" s="45"/>
      <c r="L193" s="45"/>
      <c r="M193" s="45"/>
      <c r="N193" s="45"/>
      <c r="O193" s="21"/>
      <c r="P193" s="21"/>
      <c r="Q193" s="21"/>
      <c r="R193" s="25" t="str">
        <f t="shared" si="3"/>
        <v/>
      </c>
    </row>
    <row r="194" spans="1:18" ht="33.6" customHeight="1">
      <c r="A194" s="28"/>
      <c r="B194" s="48"/>
      <c r="C194" s="48"/>
      <c r="D194" s="21"/>
      <c r="E194" s="21"/>
      <c r="F194" s="21"/>
      <c r="G194" s="21"/>
      <c r="H194" s="21"/>
      <c r="I194" s="21"/>
      <c r="J194" s="45"/>
      <c r="K194" s="45"/>
      <c r="L194" s="45"/>
      <c r="M194" s="45"/>
      <c r="N194" s="45"/>
      <c r="O194" s="21"/>
      <c r="P194" s="21"/>
      <c r="Q194" s="21"/>
      <c r="R194" s="25" t="str">
        <f t="shared" si="3"/>
        <v/>
      </c>
    </row>
    <row r="195" spans="1:18" ht="33.6" customHeight="1">
      <c r="A195" s="28"/>
      <c r="B195" s="48"/>
      <c r="C195" s="48"/>
      <c r="D195" s="21"/>
      <c r="E195" s="21"/>
      <c r="F195" s="21"/>
      <c r="G195" s="21"/>
      <c r="H195" s="21"/>
      <c r="I195" s="21"/>
      <c r="J195" s="45"/>
      <c r="K195" s="45"/>
      <c r="L195" s="45"/>
      <c r="M195" s="45"/>
      <c r="N195" s="45"/>
      <c r="O195" s="21"/>
      <c r="P195" s="21"/>
      <c r="Q195" s="21"/>
      <c r="R195" s="25" t="str">
        <f t="shared" si="3"/>
        <v/>
      </c>
    </row>
    <row r="196" spans="1:18" ht="33.6" customHeight="1">
      <c r="A196" s="28"/>
      <c r="B196" s="48"/>
      <c r="C196" s="48"/>
      <c r="D196" s="21"/>
      <c r="E196" s="21"/>
      <c r="F196" s="21"/>
      <c r="G196" s="21"/>
      <c r="H196" s="21"/>
      <c r="I196" s="21"/>
      <c r="J196" s="45"/>
      <c r="K196" s="45"/>
      <c r="L196" s="45"/>
      <c r="M196" s="45"/>
      <c r="N196" s="45"/>
      <c r="O196" s="21"/>
      <c r="P196" s="21"/>
      <c r="Q196" s="21"/>
      <c r="R196" s="25" t="str">
        <f t="shared" si="3"/>
        <v/>
      </c>
    </row>
    <row r="197" spans="1:18" ht="33.6" customHeight="1">
      <c r="A197" s="28"/>
      <c r="B197" s="48"/>
      <c r="C197" s="48"/>
      <c r="D197" s="21"/>
      <c r="E197" s="21"/>
      <c r="F197" s="21"/>
      <c r="G197" s="21"/>
      <c r="H197" s="21"/>
      <c r="I197" s="21"/>
      <c r="J197" s="45"/>
      <c r="K197" s="45"/>
      <c r="L197" s="45"/>
      <c r="M197" s="45"/>
      <c r="N197" s="45"/>
      <c r="O197" s="21"/>
      <c r="P197" s="21"/>
      <c r="Q197" s="21"/>
      <c r="R197" s="25" t="str">
        <f t="shared" si="3"/>
        <v/>
      </c>
    </row>
    <row r="198" spans="1:18" ht="33.6" customHeight="1">
      <c r="A198" s="28"/>
      <c r="B198" s="48"/>
      <c r="C198" s="48"/>
      <c r="D198" s="21"/>
      <c r="E198" s="21"/>
      <c r="F198" s="21"/>
      <c r="G198" s="21"/>
      <c r="H198" s="21"/>
      <c r="I198" s="21"/>
      <c r="J198" s="45"/>
      <c r="K198" s="45"/>
      <c r="L198" s="45"/>
      <c r="M198" s="45"/>
      <c r="N198" s="45"/>
      <c r="O198" s="21"/>
      <c r="P198" s="21"/>
      <c r="Q198" s="21"/>
      <c r="R198" s="25" t="str">
        <f t="shared" si="3"/>
        <v/>
      </c>
    </row>
    <row r="199" spans="1:18" ht="33.6" customHeight="1">
      <c r="A199" s="28"/>
      <c r="B199" s="48"/>
      <c r="C199" s="48"/>
      <c r="D199" s="21"/>
      <c r="E199" s="21"/>
      <c r="F199" s="21"/>
      <c r="G199" s="21"/>
      <c r="H199" s="21"/>
      <c r="I199" s="21"/>
      <c r="J199" s="45"/>
      <c r="K199" s="45"/>
      <c r="L199" s="45"/>
      <c r="M199" s="45"/>
      <c r="N199" s="45"/>
      <c r="O199" s="21"/>
      <c r="P199" s="21"/>
      <c r="Q199" s="21"/>
      <c r="R199" s="25" t="str">
        <f t="shared" si="3"/>
        <v/>
      </c>
    </row>
    <row r="200" spans="1:18" ht="33.6" customHeight="1">
      <c r="A200" s="28"/>
      <c r="B200" s="48"/>
      <c r="C200" s="48"/>
      <c r="D200" s="21"/>
      <c r="E200" s="21"/>
      <c r="F200" s="21"/>
      <c r="G200" s="21"/>
      <c r="H200" s="21"/>
      <c r="I200" s="21"/>
      <c r="J200" s="45"/>
      <c r="K200" s="45"/>
      <c r="L200" s="45"/>
      <c r="M200" s="45"/>
      <c r="N200" s="45"/>
      <c r="O200" s="21"/>
      <c r="P200" s="21"/>
      <c r="Q200" s="21"/>
      <c r="R200" s="25" t="str">
        <f t="shared" si="3"/>
        <v/>
      </c>
    </row>
    <row r="201" spans="1:18" ht="33.6" customHeight="1">
      <c r="A201" s="28"/>
      <c r="B201" s="48"/>
      <c r="C201" s="48"/>
      <c r="D201" s="21"/>
      <c r="E201" s="21"/>
      <c r="F201" s="21"/>
      <c r="G201" s="21"/>
      <c r="H201" s="21"/>
      <c r="I201" s="21"/>
      <c r="J201" s="45"/>
      <c r="K201" s="45"/>
      <c r="L201" s="45"/>
      <c r="M201" s="45"/>
      <c r="N201" s="45"/>
      <c r="O201" s="21"/>
      <c r="P201" s="21"/>
      <c r="Q201" s="21"/>
      <c r="R201" s="25" t="str">
        <f t="shared" si="3"/>
        <v/>
      </c>
    </row>
    <row r="202" spans="1:18" ht="33.6" customHeight="1">
      <c r="A202" s="28"/>
      <c r="B202" s="48"/>
      <c r="C202" s="48"/>
      <c r="D202" s="21"/>
      <c r="E202" s="21"/>
      <c r="F202" s="21"/>
      <c r="G202" s="21"/>
      <c r="H202" s="21"/>
      <c r="I202" s="21"/>
      <c r="J202" s="45"/>
      <c r="K202" s="45"/>
      <c r="L202" s="45"/>
      <c r="M202" s="45"/>
      <c r="N202" s="45"/>
      <c r="O202" s="21"/>
      <c r="P202" s="21"/>
      <c r="Q202" s="21"/>
      <c r="R202" s="25" t="str">
        <f t="shared" si="3"/>
        <v/>
      </c>
    </row>
    <row r="203" spans="1:18" ht="33.6" customHeight="1">
      <c r="A203" s="28"/>
      <c r="B203" s="48"/>
      <c r="C203" s="48"/>
      <c r="D203" s="21"/>
      <c r="E203" s="21"/>
      <c r="F203" s="21"/>
      <c r="G203" s="21"/>
      <c r="H203" s="21"/>
      <c r="I203" s="21"/>
      <c r="J203" s="45"/>
      <c r="K203" s="45"/>
      <c r="L203" s="45"/>
      <c r="M203" s="45"/>
      <c r="N203" s="45"/>
      <c r="O203" s="21"/>
      <c r="P203" s="21"/>
      <c r="Q203" s="21"/>
      <c r="R203" s="25" t="str">
        <f t="shared" si="3"/>
        <v/>
      </c>
    </row>
    <row r="204" spans="1:18" ht="33.6" customHeight="1">
      <c r="A204" s="28"/>
      <c r="B204" s="48"/>
      <c r="C204" s="48"/>
      <c r="D204" s="21"/>
      <c r="E204" s="21"/>
      <c r="F204" s="21"/>
      <c r="G204" s="21"/>
      <c r="H204" s="21"/>
      <c r="I204" s="21"/>
      <c r="J204" s="45"/>
      <c r="K204" s="45"/>
      <c r="L204" s="45"/>
      <c r="M204" s="45"/>
      <c r="N204" s="45"/>
      <c r="O204" s="21"/>
      <c r="P204" s="21"/>
      <c r="Q204" s="21"/>
      <c r="R204" s="25" t="str">
        <f t="shared" si="3"/>
        <v/>
      </c>
    </row>
    <row r="205" spans="1:18" ht="33.6" customHeight="1">
      <c r="A205" s="28"/>
      <c r="B205" s="48"/>
      <c r="C205" s="48"/>
      <c r="D205" s="21"/>
      <c r="E205" s="21"/>
      <c r="F205" s="21"/>
      <c r="G205" s="21"/>
      <c r="H205" s="21"/>
      <c r="I205" s="21"/>
      <c r="J205" s="45"/>
      <c r="K205" s="45"/>
      <c r="L205" s="45"/>
      <c r="M205" s="45"/>
      <c r="N205" s="45"/>
      <c r="O205" s="21"/>
      <c r="P205" s="21"/>
      <c r="Q205" s="21"/>
      <c r="R205" s="25" t="str">
        <f t="shared" si="3"/>
        <v/>
      </c>
    </row>
    <row r="206" spans="1:18" ht="33.6" customHeight="1">
      <c r="A206" s="28"/>
      <c r="B206" s="48"/>
      <c r="C206" s="48"/>
      <c r="D206" s="21"/>
      <c r="E206" s="21"/>
      <c r="F206" s="21"/>
      <c r="G206" s="21"/>
      <c r="H206" s="21"/>
      <c r="I206" s="21"/>
      <c r="J206" s="45"/>
      <c r="K206" s="45"/>
      <c r="L206" s="45"/>
      <c r="M206" s="45"/>
      <c r="N206" s="45"/>
      <c r="O206" s="21"/>
      <c r="P206" s="21"/>
      <c r="Q206" s="21"/>
      <c r="R206" s="25" t="str">
        <f t="shared" si="3"/>
        <v/>
      </c>
    </row>
    <row r="207" spans="1:18" ht="33.6" customHeight="1">
      <c r="A207" s="28"/>
      <c r="B207" s="48"/>
      <c r="C207" s="48"/>
      <c r="D207" s="21"/>
      <c r="E207" s="21"/>
      <c r="F207" s="21"/>
      <c r="G207" s="21"/>
      <c r="H207" s="21"/>
      <c r="I207" s="21"/>
      <c r="J207" s="45"/>
      <c r="K207" s="45"/>
      <c r="L207" s="45"/>
      <c r="M207" s="45"/>
      <c r="N207" s="45"/>
      <c r="O207" s="21"/>
      <c r="P207" s="21"/>
      <c r="Q207" s="21"/>
      <c r="R207" s="25" t="str">
        <f t="shared" si="3"/>
        <v/>
      </c>
    </row>
    <row r="208" spans="1:18" ht="33.6" customHeight="1">
      <c r="A208" s="28"/>
      <c r="B208" s="48"/>
      <c r="C208" s="48"/>
      <c r="D208" s="21"/>
      <c r="E208" s="21"/>
      <c r="F208" s="21"/>
      <c r="G208" s="21"/>
      <c r="H208" s="21"/>
      <c r="I208" s="21"/>
      <c r="J208" s="45"/>
      <c r="K208" s="45"/>
      <c r="L208" s="45"/>
      <c r="M208" s="45"/>
      <c r="N208" s="45"/>
      <c r="O208" s="21"/>
      <c r="P208" s="21"/>
      <c r="Q208" s="21"/>
      <c r="R208" s="25" t="str">
        <f t="shared" si="3"/>
        <v/>
      </c>
    </row>
    <row r="209" spans="1:18" ht="33.6" customHeight="1">
      <c r="A209" s="28"/>
      <c r="B209" s="48"/>
      <c r="C209" s="48"/>
      <c r="D209" s="21"/>
      <c r="E209" s="21"/>
      <c r="F209" s="21"/>
      <c r="G209" s="21"/>
      <c r="H209" s="21"/>
      <c r="I209" s="21"/>
      <c r="J209" s="45"/>
      <c r="K209" s="45"/>
      <c r="L209" s="45"/>
      <c r="M209" s="45"/>
      <c r="N209" s="45"/>
      <c r="O209" s="21"/>
      <c r="P209" s="21"/>
      <c r="Q209" s="21"/>
      <c r="R209" s="25" t="str">
        <f t="shared" si="3"/>
        <v/>
      </c>
    </row>
    <row r="210" spans="1:18" ht="33.6" customHeight="1">
      <c r="A210" s="28"/>
      <c r="B210" s="48"/>
      <c r="C210" s="48"/>
      <c r="D210" s="21"/>
      <c r="E210" s="21"/>
      <c r="F210" s="21"/>
      <c r="G210" s="21"/>
      <c r="H210" s="21"/>
      <c r="I210" s="21"/>
      <c r="J210" s="45"/>
      <c r="K210" s="45"/>
      <c r="L210" s="45"/>
      <c r="M210" s="45"/>
      <c r="N210" s="45"/>
      <c r="O210" s="21"/>
      <c r="P210" s="21"/>
      <c r="Q210" s="21"/>
      <c r="R210" s="25" t="str">
        <f t="shared" si="3"/>
        <v/>
      </c>
    </row>
    <row r="211" spans="1:18" ht="33.6" customHeight="1">
      <c r="A211" s="28"/>
      <c r="B211" s="48"/>
      <c r="C211" s="48"/>
      <c r="D211" s="21"/>
      <c r="E211" s="21"/>
      <c r="F211" s="21"/>
      <c r="G211" s="21"/>
      <c r="H211" s="21"/>
      <c r="I211" s="21"/>
      <c r="J211" s="45"/>
      <c r="K211" s="45"/>
      <c r="L211" s="45"/>
      <c r="M211" s="45"/>
      <c r="N211" s="45"/>
      <c r="O211" s="21"/>
      <c r="P211" s="21"/>
      <c r="Q211" s="21"/>
      <c r="R211" s="25" t="str">
        <f t="shared" si="3"/>
        <v/>
      </c>
    </row>
    <row r="212" spans="1:18" ht="33.6" customHeight="1">
      <c r="A212" s="28"/>
      <c r="B212" s="48"/>
      <c r="C212" s="48"/>
      <c r="D212" s="21"/>
      <c r="E212" s="21"/>
      <c r="F212" s="21"/>
      <c r="G212" s="21"/>
      <c r="H212" s="21"/>
      <c r="I212" s="21"/>
      <c r="J212" s="45"/>
      <c r="K212" s="45"/>
      <c r="L212" s="45"/>
      <c r="M212" s="45"/>
      <c r="N212" s="45"/>
      <c r="O212" s="21"/>
      <c r="P212" s="21"/>
      <c r="Q212" s="21"/>
      <c r="R212" s="25" t="str">
        <f t="shared" si="3"/>
        <v/>
      </c>
    </row>
    <row r="213" spans="1:18" ht="33.6" customHeight="1">
      <c r="A213" s="28"/>
      <c r="B213" s="48"/>
      <c r="C213" s="48"/>
      <c r="D213" s="21"/>
      <c r="E213" s="21"/>
      <c r="F213" s="21"/>
      <c r="G213" s="21"/>
      <c r="H213" s="21"/>
      <c r="I213" s="21"/>
      <c r="J213" s="45"/>
      <c r="K213" s="45"/>
      <c r="L213" s="45"/>
      <c r="M213" s="45"/>
      <c r="N213" s="45"/>
      <c r="O213" s="21"/>
      <c r="P213" s="21"/>
      <c r="Q213" s="21"/>
      <c r="R213" s="25" t="str">
        <f t="shared" si="3"/>
        <v/>
      </c>
    </row>
    <row r="214" spans="1:18" ht="33.6" customHeight="1">
      <c r="A214" s="28"/>
      <c r="B214" s="48"/>
      <c r="C214" s="48"/>
      <c r="D214" s="21"/>
      <c r="E214" s="21"/>
      <c r="F214" s="21"/>
      <c r="G214" s="21"/>
      <c r="H214" s="21"/>
      <c r="I214" s="21"/>
      <c r="J214" s="45"/>
      <c r="K214" s="45"/>
      <c r="L214" s="45"/>
      <c r="M214" s="45"/>
      <c r="N214" s="45"/>
      <c r="O214" s="21"/>
      <c r="P214" s="21"/>
      <c r="Q214" s="21"/>
      <c r="R214" s="25" t="str">
        <f t="shared" si="3"/>
        <v/>
      </c>
    </row>
    <row r="215" spans="1:18" ht="33.6" customHeight="1">
      <c r="A215" s="28"/>
      <c r="B215" s="48"/>
      <c r="C215" s="48"/>
      <c r="D215" s="21"/>
      <c r="E215" s="21"/>
      <c r="F215" s="21"/>
      <c r="G215" s="21"/>
      <c r="H215" s="21"/>
      <c r="I215" s="21"/>
      <c r="J215" s="45"/>
      <c r="K215" s="45"/>
      <c r="L215" s="45"/>
      <c r="M215" s="45"/>
      <c r="N215" s="45"/>
      <c r="O215" s="21"/>
      <c r="P215" s="21"/>
      <c r="Q215" s="21"/>
      <c r="R215" s="25" t="str">
        <f t="shared" si="3"/>
        <v/>
      </c>
    </row>
    <row r="216" spans="1:18" ht="33.6" customHeight="1">
      <c r="A216" s="28"/>
      <c r="B216" s="48"/>
      <c r="C216" s="48"/>
      <c r="D216" s="21"/>
      <c r="E216" s="21"/>
      <c r="F216" s="21"/>
      <c r="G216" s="21"/>
      <c r="H216" s="21"/>
      <c r="I216" s="21"/>
      <c r="J216" s="45"/>
      <c r="K216" s="45"/>
      <c r="L216" s="45"/>
      <c r="M216" s="45"/>
      <c r="N216" s="45"/>
      <c r="O216" s="21"/>
      <c r="P216" s="21"/>
      <c r="Q216" s="21"/>
      <c r="R216" s="25" t="str">
        <f t="shared" si="3"/>
        <v/>
      </c>
    </row>
    <row r="217" spans="1:18" ht="33.6" customHeight="1">
      <c r="A217" s="28"/>
      <c r="B217" s="48"/>
      <c r="C217" s="48"/>
      <c r="D217" s="21"/>
      <c r="E217" s="21"/>
      <c r="F217" s="21"/>
      <c r="G217" s="21"/>
      <c r="H217" s="21"/>
      <c r="I217" s="21"/>
      <c r="J217" s="45"/>
      <c r="K217" s="45"/>
      <c r="L217" s="45"/>
      <c r="M217" s="45"/>
      <c r="N217" s="45"/>
      <c r="O217" s="21"/>
      <c r="P217" s="21"/>
      <c r="Q217" s="21"/>
      <c r="R217" s="25" t="str">
        <f t="shared" si="3"/>
        <v/>
      </c>
    </row>
    <row r="218" spans="1:18" ht="33.6" customHeight="1">
      <c r="A218" s="28"/>
      <c r="B218" s="48"/>
      <c r="C218" s="48"/>
      <c r="D218" s="21"/>
      <c r="E218" s="21"/>
      <c r="F218" s="21"/>
      <c r="G218" s="21"/>
      <c r="H218" s="21"/>
      <c r="I218" s="21"/>
      <c r="J218" s="45"/>
      <c r="K218" s="45"/>
      <c r="L218" s="45"/>
      <c r="M218" s="45"/>
      <c r="N218" s="45"/>
      <c r="O218" s="21"/>
      <c r="P218" s="21"/>
      <c r="Q218" s="21"/>
      <c r="R218" s="25" t="str">
        <f t="shared" si="3"/>
        <v/>
      </c>
    </row>
    <row r="219" spans="1:18" ht="33.6" customHeight="1">
      <c r="A219" s="28"/>
      <c r="B219" s="48"/>
      <c r="C219" s="48"/>
      <c r="D219" s="21"/>
      <c r="E219" s="21"/>
      <c r="F219" s="21"/>
      <c r="G219" s="21"/>
      <c r="H219" s="21"/>
      <c r="I219" s="21"/>
      <c r="J219" s="45"/>
      <c r="K219" s="45"/>
      <c r="L219" s="45"/>
      <c r="M219" s="45"/>
      <c r="N219" s="45"/>
      <c r="O219" s="21"/>
      <c r="P219" s="21"/>
      <c r="Q219" s="21"/>
      <c r="R219" s="25" t="str">
        <f t="shared" si="3"/>
        <v/>
      </c>
    </row>
    <row r="220" spans="1:18" ht="33.6" customHeight="1">
      <c r="A220" s="28"/>
      <c r="B220" s="48"/>
      <c r="C220" s="48"/>
      <c r="D220" s="21"/>
      <c r="E220" s="21"/>
      <c r="F220" s="21"/>
      <c r="G220" s="21"/>
      <c r="H220" s="21"/>
      <c r="I220" s="21"/>
      <c r="J220" s="45"/>
      <c r="K220" s="45"/>
      <c r="L220" s="45"/>
      <c r="M220" s="45"/>
      <c r="N220" s="45"/>
      <c r="O220" s="21"/>
      <c r="P220" s="21"/>
      <c r="Q220" s="21"/>
      <c r="R220" s="25" t="str">
        <f t="shared" si="3"/>
        <v/>
      </c>
    </row>
    <row r="221" spans="1:18" ht="33.6" customHeight="1">
      <c r="A221" s="28"/>
      <c r="B221" s="48"/>
      <c r="C221" s="48"/>
      <c r="D221" s="21"/>
      <c r="E221" s="21"/>
      <c r="F221" s="21"/>
      <c r="G221" s="21"/>
      <c r="H221" s="21"/>
      <c r="I221" s="21"/>
      <c r="J221" s="45"/>
      <c r="K221" s="45"/>
      <c r="L221" s="45"/>
      <c r="M221" s="45"/>
      <c r="N221" s="45"/>
      <c r="O221" s="21"/>
      <c r="P221" s="21"/>
      <c r="Q221" s="21"/>
      <c r="R221" s="25" t="str">
        <f t="shared" si="3"/>
        <v/>
      </c>
    </row>
    <row r="222" spans="1:18" ht="33.6" customHeight="1">
      <c r="A222" s="28"/>
      <c r="B222" s="48"/>
      <c r="C222" s="48"/>
      <c r="D222" s="21"/>
      <c r="E222" s="21"/>
      <c r="F222" s="21"/>
      <c r="G222" s="21"/>
      <c r="H222" s="21"/>
      <c r="I222" s="21"/>
      <c r="J222" s="45"/>
      <c r="K222" s="45"/>
      <c r="L222" s="45"/>
      <c r="M222" s="45"/>
      <c r="N222" s="45"/>
      <c r="O222" s="21"/>
      <c r="P222" s="21"/>
      <c r="Q222" s="21"/>
      <c r="R222" s="25" t="str">
        <f t="shared" si="3"/>
        <v/>
      </c>
    </row>
    <row r="223" spans="1:18" ht="33.6" customHeight="1">
      <c r="A223" s="28"/>
      <c r="B223" s="48"/>
      <c r="C223" s="48"/>
      <c r="D223" s="21"/>
      <c r="E223" s="21"/>
      <c r="F223" s="21"/>
      <c r="G223" s="21"/>
      <c r="H223" s="21"/>
      <c r="I223" s="21"/>
      <c r="J223" s="45"/>
      <c r="K223" s="45"/>
      <c r="L223" s="45"/>
      <c r="M223" s="45"/>
      <c r="N223" s="45"/>
      <c r="O223" s="21"/>
      <c r="P223" s="21"/>
      <c r="Q223" s="21"/>
      <c r="R223" s="25" t="str">
        <f t="shared" si="3"/>
        <v/>
      </c>
    </row>
    <row r="224" spans="1:18" ht="33.6" customHeight="1">
      <c r="A224" s="28"/>
      <c r="B224" s="48"/>
      <c r="C224" s="48"/>
      <c r="D224" s="21"/>
      <c r="E224" s="21"/>
      <c r="F224" s="21"/>
      <c r="G224" s="21"/>
      <c r="H224" s="21"/>
      <c r="I224" s="21"/>
      <c r="J224" s="45"/>
      <c r="K224" s="45"/>
      <c r="L224" s="45"/>
      <c r="M224" s="45"/>
      <c r="N224" s="45"/>
      <c r="O224" s="21"/>
      <c r="P224" s="21"/>
      <c r="Q224" s="21"/>
      <c r="R224" s="25" t="str">
        <f t="shared" si="3"/>
        <v/>
      </c>
    </row>
    <row r="225" spans="1:18" ht="33.6" customHeight="1">
      <c r="A225" s="28"/>
      <c r="B225" s="48"/>
      <c r="C225" s="48"/>
      <c r="D225" s="21"/>
      <c r="E225" s="21"/>
      <c r="F225" s="21"/>
      <c r="G225" s="21"/>
      <c r="H225" s="21"/>
      <c r="I225" s="21"/>
      <c r="J225" s="45"/>
      <c r="K225" s="45"/>
      <c r="L225" s="45"/>
      <c r="M225" s="45"/>
      <c r="N225" s="45"/>
      <c r="O225" s="21"/>
      <c r="P225" s="21"/>
      <c r="Q225" s="21"/>
      <c r="R225" s="25" t="str">
        <f t="shared" si="3"/>
        <v/>
      </c>
    </row>
    <row r="226" spans="1:18" ht="33.6" customHeight="1">
      <c r="A226" s="28"/>
      <c r="B226" s="48"/>
      <c r="C226" s="48"/>
      <c r="D226" s="21"/>
      <c r="E226" s="21"/>
      <c r="F226" s="21"/>
      <c r="G226" s="21"/>
      <c r="H226" s="21"/>
      <c r="I226" s="21"/>
      <c r="J226" s="45"/>
      <c r="K226" s="45"/>
      <c r="L226" s="45"/>
      <c r="M226" s="45"/>
      <c r="N226" s="45"/>
      <c r="O226" s="21"/>
      <c r="P226" s="21"/>
      <c r="Q226" s="21"/>
      <c r="R226" s="25" t="str">
        <f t="shared" si="3"/>
        <v/>
      </c>
    </row>
    <row r="227" spans="1:18" ht="33.6" customHeight="1">
      <c r="A227" s="28"/>
      <c r="B227" s="48"/>
      <c r="C227" s="48"/>
      <c r="D227" s="21"/>
      <c r="E227" s="21"/>
      <c r="F227" s="21"/>
      <c r="G227" s="21"/>
      <c r="H227" s="21"/>
      <c r="I227" s="21"/>
      <c r="J227" s="45"/>
      <c r="K227" s="45"/>
      <c r="L227" s="45"/>
      <c r="M227" s="45"/>
      <c r="N227" s="45"/>
      <c r="O227" s="21"/>
      <c r="P227" s="21"/>
      <c r="Q227" s="21"/>
      <c r="R227" s="25" t="str">
        <f t="shared" si="3"/>
        <v/>
      </c>
    </row>
    <row r="228" spans="1:18" ht="33.6" customHeight="1">
      <c r="A228" s="28"/>
      <c r="B228" s="48"/>
      <c r="C228" s="48"/>
      <c r="D228" s="21"/>
      <c r="E228" s="21"/>
      <c r="F228" s="21"/>
      <c r="G228" s="21"/>
      <c r="H228" s="21"/>
      <c r="I228" s="21"/>
      <c r="J228" s="45"/>
      <c r="K228" s="45"/>
      <c r="L228" s="45"/>
      <c r="M228" s="45"/>
      <c r="N228" s="45"/>
      <c r="O228" s="21"/>
      <c r="P228" s="21"/>
      <c r="Q228" s="21"/>
      <c r="R228" s="25" t="str">
        <f t="shared" si="3"/>
        <v/>
      </c>
    </row>
    <row r="229" spans="1:18" ht="33.6" customHeight="1">
      <c r="A229" s="28"/>
      <c r="B229" s="48"/>
      <c r="C229" s="48"/>
      <c r="D229" s="21"/>
      <c r="E229" s="21"/>
      <c r="F229" s="21"/>
      <c r="G229" s="21"/>
      <c r="H229" s="21"/>
      <c r="I229" s="21"/>
      <c r="J229" s="45"/>
      <c r="K229" s="45"/>
      <c r="L229" s="45"/>
      <c r="M229" s="45"/>
      <c r="N229" s="45"/>
      <c r="O229" s="21"/>
      <c r="P229" s="21"/>
      <c r="Q229" s="21"/>
      <c r="R229" s="25" t="str">
        <f t="shared" si="3"/>
        <v/>
      </c>
    </row>
    <row r="230" spans="1:18" ht="33.6" customHeight="1">
      <c r="A230" s="28"/>
      <c r="B230" s="48"/>
      <c r="C230" s="48"/>
      <c r="D230" s="21"/>
      <c r="E230" s="21"/>
      <c r="F230" s="21"/>
      <c r="G230" s="21"/>
      <c r="H230" s="21"/>
      <c r="I230" s="21"/>
      <c r="J230" s="45"/>
      <c r="K230" s="45"/>
      <c r="L230" s="45"/>
      <c r="M230" s="45"/>
      <c r="N230" s="45"/>
      <c r="O230" s="21"/>
      <c r="P230" s="21"/>
      <c r="Q230" s="21"/>
      <c r="R230" s="25" t="str">
        <f t="shared" si="3"/>
        <v/>
      </c>
    </row>
    <row r="231" spans="1:18" ht="33.6" customHeight="1">
      <c r="A231" s="28"/>
      <c r="B231" s="48"/>
      <c r="C231" s="48"/>
      <c r="D231" s="21"/>
      <c r="E231" s="21"/>
      <c r="F231" s="21"/>
      <c r="G231" s="21"/>
      <c r="H231" s="21"/>
      <c r="I231" s="21"/>
      <c r="J231" s="45"/>
      <c r="K231" s="45"/>
      <c r="L231" s="45"/>
      <c r="M231" s="45"/>
      <c r="N231" s="45"/>
      <c r="O231" s="21"/>
      <c r="P231" s="21"/>
      <c r="Q231" s="21"/>
      <c r="R231" s="25" t="str">
        <f t="shared" si="3"/>
        <v/>
      </c>
    </row>
    <row r="232" spans="1:18" ht="33.6" customHeight="1">
      <c r="A232" s="28"/>
      <c r="B232" s="48"/>
      <c r="C232" s="48"/>
      <c r="D232" s="21"/>
      <c r="E232" s="21"/>
      <c r="F232" s="21"/>
      <c r="G232" s="21"/>
      <c r="H232" s="21"/>
      <c r="I232" s="21"/>
      <c r="J232" s="45"/>
      <c r="K232" s="45"/>
      <c r="L232" s="45"/>
      <c r="M232" s="45"/>
      <c r="N232" s="45"/>
      <c r="O232" s="21"/>
      <c r="P232" s="21"/>
      <c r="Q232" s="21"/>
      <c r="R232" s="25" t="str">
        <f t="shared" si="3"/>
        <v/>
      </c>
    </row>
    <row r="233" spans="1:18" ht="33.6" customHeight="1">
      <c r="A233" s="28"/>
      <c r="B233" s="48"/>
      <c r="C233" s="48"/>
      <c r="D233" s="21"/>
      <c r="E233" s="21"/>
      <c r="F233" s="21"/>
      <c r="G233" s="21"/>
      <c r="H233" s="21"/>
      <c r="I233" s="21"/>
      <c r="J233" s="45"/>
      <c r="K233" s="45"/>
      <c r="L233" s="45"/>
      <c r="M233" s="45"/>
      <c r="N233" s="45"/>
      <c r="O233" s="21"/>
      <c r="P233" s="21"/>
      <c r="Q233" s="21"/>
      <c r="R233" s="25" t="str">
        <f t="shared" si="3"/>
        <v/>
      </c>
    </row>
    <row r="234" spans="1:18" ht="33.6" customHeight="1">
      <c r="A234" s="28"/>
      <c r="B234" s="48"/>
      <c r="C234" s="48"/>
      <c r="D234" s="21"/>
      <c r="E234" s="21"/>
      <c r="F234" s="21"/>
      <c r="G234" s="21"/>
      <c r="H234" s="21"/>
      <c r="I234" s="21"/>
      <c r="J234" s="45"/>
      <c r="K234" s="45"/>
      <c r="L234" s="45"/>
      <c r="M234" s="45"/>
      <c r="N234" s="45"/>
      <c r="O234" s="21"/>
      <c r="P234" s="21"/>
      <c r="Q234" s="21"/>
      <c r="R234" s="25" t="str">
        <f t="shared" si="3"/>
        <v/>
      </c>
    </row>
    <row r="235" spans="1:18" ht="33.6" customHeight="1">
      <c r="A235" s="28"/>
      <c r="B235" s="48"/>
      <c r="C235" s="48"/>
      <c r="D235" s="21"/>
      <c r="E235" s="21"/>
      <c r="F235" s="21"/>
      <c r="G235" s="21"/>
      <c r="H235" s="21"/>
      <c r="I235" s="21"/>
      <c r="J235" s="45"/>
      <c r="K235" s="45"/>
      <c r="L235" s="45"/>
      <c r="M235" s="45"/>
      <c r="N235" s="45"/>
      <c r="O235" s="21"/>
      <c r="P235" s="21"/>
      <c r="Q235" s="21"/>
      <c r="R235" s="25" t="str">
        <f t="shared" si="3"/>
        <v/>
      </c>
    </row>
    <row r="236" spans="1:18" ht="33.6" customHeight="1">
      <c r="A236" s="28"/>
      <c r="B236" s="48"/>
      <c r="C236" s="48"/>
      <c r="D236" s="21"/>
      <c r="E236" s="21"/>
      <c r="F236" s="21"/>
      <c r="G236" s="21"/>
      <c r="H236" s="21"/>
      <c r="I236" s="21"/>
      <c r="J236" s="45"/>
      <c r="K236" s="45"/>
      <c r="L236" s="45"/>
      <c r="M236" s="45"/>
      <c r="N236" s="45"/>
      <c r="O236" s="21"/>
      <c r="P236" s="21"/>
      <c r="Q236" s="21"/>
      <c r="R236" s="25" t="str">
        <f t="shared" si="3"/>
        <v/>
      </c>
    </row>
    <row r="237" spans="1:18" ht="33.6" customHeight="1">
      <c r="A237" s="28"/>
      <c r="B237" s="48"/>
      <c r="C237" s="48"/>
      <c r="D237" s="21"/>
      <c r="E237" s="21"/>
      <c r="F237" s="21"/>
      <c r="G237" s="21"/>
      <c r="H237" s="21"/>
      <c r="I237" s="21"/>
      <c r="J237" s="45"/>
      <c r="K237" s="45"/>
      <c r="L237" s="45"/>
      <c r="M237" s="45"/>
      <c r="N237" s="45"/>
      <c r="O237" s="21"/>
      <c r="P237" s="21"/>
      <c r="Q237" s="21"/>
      <c r="R237" s="25" t="str">
        <f t="shared" si="3"/>
        <v/>
      </c>
    </row>
    <row r="238" spans="1:18" ht="33.6" customHeight="1">
      <c r="A238" s="28"/>
      <c r="B238" s="48"/>
      <c r="C238" s="48"/>
      <c r="D238" s="21"/>
      <c r="E238" s="21"/>
      <c r="F238" s="21"/>
      <c r="G238" s="21"/>
      <c r="H238" s="21"/>
      <c r="I238" s="21"/>
      <c r="J238" s="45"/>
      <c r="K238" s="45"/>
      <c r="L238" s="45"/>
      <c r="M238" s="45"/>
      <c r="N238" s="45"/>
      <c r="O238" s="21"/>
      <c r="P238" s="21"/>
      <c r="Q238" s="21"/>
      <c r="R238" s="25" t="str">
        <f t="shared" si="3"/>
        <v/>
      </c>
    </row>
    <row r="239" spans="1:18" ht="33.6" customHeight="1">
      <c r="A239" s="28"/>
      <c r="B239" s="48"/>
      <c r="C239" s="48"/>
      <c r="D239" s="21"/>
      <c r="E239" s="21"/>
      <c r="F239" s="21"/>
      <c r="G239" s="21"/>
      <c r="H239" s="21"/>
      <c r="I239" s="21"/>
      <c r="J239" s="45"/>
      <c r="K239" s="45"/>
      <c r="L239" s="45"/>
      <c r="M239" s="45"/>
      <c r="N239" s="45"/>
      <c r="O239" s="21"/>
      <c r="P239" s="21"/>
      <c r="Q239" s="21"/>
      <c r="R239" s="25" t="str">
        <f t="shared" si="3"/>
        <v/>
      </c>
    </row>
    <row r="240" spans="1:18" ht="33.6" customHeight="1">
      <c r="A240" s="28"/>
      <c r="B240" s="48"/>
      <c r="C240" s="48"/>
      <c r="D240" s="21"/>
      <c r="E240" s="21"/>
      <c r="F240" s="21"/>
      <c r="G240" s="21"/>
      <c r="H240" s="21"/>
      <c r="I240" s="21"/>
      <c r="J240" s="45"/>
      <c r="K240" s="45"/>
      <c r="L240" s="45"/>
      <c r="M240" s="45"/>
      <c r="N240" s="45"/>
      <c r="O240" s="21"/>
      <c r="P240" s="21"/>
      <c r="Q240" s="21"/>
      <c r="R240" s="25" t="str">
        <f t="shared" si="3"/>
        <v/>
      </c>
    </row>
    <row r="241" spans="1:18" ht="33.6" customHeight="1">
      <c r="A241" s="28"/>
      <c r="B241" s="48"/>
      <c r="C241" s="48"/>
      <c r="D241" s="21"/>
      <c r="E241" s="21"/>
      <c r="F241" s="21"/>
      <c r="G241" s="21"/>
      <c r="H241" s="21"/>
      <c r="I241" s="21"/>
      <c r="J241" s="45"/>
      <c r="K241" s="45"/>
      <c r="L241" s="45"/>
      <c r="M241" s="45"/>
      <c r="N241" s="45"/>
      <c r="O241" s="21"/>
      <c r="P241" s="21"/>
      <c r="Q241" s="21"/>
      <c r="R241" s="25" t="str">
        <f t="shared" si="3"/>
        <v/>
      </c>
    </row>
    <row r="242" spans="1:18" ht="33.6" customHeight="1">
      <c r="A242" s="28"/>
      <c r="B242" s="48"/>
      <c r="C242" s="48"/>
      <c r="D242" s="21"/>
      <c r="E242" s="21"/>
      <c r="F242" s="21"/>
      <c r="G242" s="21"/>
      <c r="H242" s="21"/>
      <c r="I242" s="21"/>
      <c r="J242" s="45"/>
      <c r="K242" s="45"/>
      <c r="L242" s="45"/>
      <c r="M242" s="45"/>
      <c r="N242" s="45"/>
      <c r="O242" s="21"/>
      <c r="P242" s="21"/>
      <c r="Q242" s="21"/>
      <c r="R242" s="25" t="str">
        <f t="shared" si="3"/>
        <v/>
      </c>
    </row>
    <row r="243" spans="1:18" ht="33.6" customHeight="1">
      <c r="A243" s="28"/>
      <c r="B243" s="48"/>
      <c r="C243" s="48"/>
      <c r="D243" s="21"/>
      <c r="E243" s="21"/>
      <c r="F243" s="21"/>
      <c r="G243" s="21"/>
      <c r="H243" s="21"/>
      <c r="I243" s="21"/>
      <c r="J243" s="45"/>
      <c r="K243" s="45"/>
      <c r="L243" s="45"/>
      <c r="M243" s="45"/>
      <c r="N243" s="45"/>
      <c r="O243" s="21"/>
      <c r="P243" s="21"/>
      <c r="Q243" s="21"/>
      <c r="R243" s="25" t="str">
        <f t="shared" ref="R243:R306" si="4">IF(COUNTIF($A$17:$A$2010,$A243)&gt;1,"Possible Duplicate","")</f>
        <v/>
      </c>
    </row>
    <row r="244" spans="1:18" ht="33.6" customHeight="1">
      <c r="A244" s="28"/>
      <c r="B244" s="48"/>
      <c r="C244" s="48"/>
      <c r="D244" s="21"/>
      <c r="E244" s="21"/>
      <c r="F244" s="21"/>
      <c r="G244" s="21"/>
      <c r="H244" s="21"/>
      <c r="I244" s="21"/>
      <c r="J244" s="45"/>
      <c r="K244" s="45"/>
      <c r="L244" s="45"/>
      <c r="M244" s="45"/>
      <c r="N244" s="45"/>
      <c r="O244" s="21"/>
      <c r="P244" s="21"/>
      <c r="Q244" s="21"/>
      <c r="R244" s="25" t="str">
        <f t="shared" si="4"/>
        <v/>
      </c>
    </row>
    <row r="245" spans="1:18" ht="33.6" customHeight="1">
      <c r="A245" s="28"/>
      <c r="B245" s="48"/>
      <c r="C245" s="48"/>
      <c r="D245" s="21"/>
      <c r="E245" s="21"/>
      <c r="F245" s="21"/>
      <c r="G245" s="21"/>
      <c r="H245" s="21"/>
      <c r="I245" s="21"/>
      <c r="J245" s="45"/>
      <c r="K245" s="45"/>
      <c r="L245" s="45"/>
      <c r="M245" s="45"/>
      <c r="N245" s="45"/>
      <c r="O245" s="21"/>
      <c r="P245" s="21"/>
      <c r="Q245" s="21"/>
      <c r="R245" s="25" t="str">
        <f t="shared" si="4"/>
        <v/>
      </c>
    </row>
    <row r="246" spans="1:18" ht="33.6" customHeight="1">
      <c r="A246" s="28"/>
      <c r="B246" s="48"/>
      <c r="C246" s="48"/>
      <c r="D246" s="21"/>
      <c r="E246" s="21"/>
      <c r="F246" s="21"/>
      <c r="G246" s="21"/>
      <c r="H246" s="21"/>
      <c r="I246" s="21"/>
      <c r="J246" s="45"/>
      <c r="K246" s="45"/>
      <c r="L246" s="45"/>
      <c r="M246" s="45"/>
      <c r="N246" s="45"/>
      <c r="O246" s="21"/>
      <c r="P246" s="21"/>
      <c r="Q246" s="21"/>
      <c r="R246" s="25" t="str">
        <f t="shared" si="4"/>
        <v/>
      </c>
    </row>
    <row r="247" spans="1:18" ht="33.6" customHeight="1">
      <c r="A247" s="28"/>
      <c r="B247" s="48"/>
      <c r="C247" s="48"/>
      <c r="D247" s="21"/>
      <c r="E247" s="21"/>
      <c r="F247" s="21"/>
      <c r="G247" s="21"/>
      <c r="H247" s="21"/>
      <c r="I247" s="21"/>
      <c r="J247" s="45"/>
      <c r="K247" s="45"/>
      <c r="L247" s="45"/>
      <c r="M247" s="45"/>
      <c r="N247" s="45"/>
      <c r="O247" s="21"/>
      <c r="P247" s="21"/>
      <c r="Q247" s="21"/>
      <c r="R247" s="25" t="str">
        <f t="shared" si="4"/>
        <v/>
      </c>
    </row>
    <row r="248" spans="1:18" ht="33.6" customHeight="1">
      <c r="A248" s="28"/>
      <c r="B248" s="48"/>
      <c r="C248" s="48"/>
      <c r="D248" s="21"/>
      <c r="E248" s="21"/>
      <c r="F248" s="21"/>
      <c r="G248" s="21"/>
      <c r="H248" s="21"/>
      <c r="I248" s="21"/>
      <c r="J248" s="45"/>
      <c r="K248" s="45"/>
      <c r="L248" s="45"/>
      <c r="M248" s="45"/>
      <c r="N248" s="45"/>
      <c r="O248" s="21"/>
      <c r="P248" s="21"/>
      <c r="Q248" s="21"/>
      <c r="R248" s="25" t="str">
        <f t="shared" si="4"/>
        <v/>
      </c>
    </row>
    <row r="249" spans="1:18" ht="33.6" customHeight="1">
      <c r="A249" s="28"/>
      <c r="B249" s="48"/>
      <c r="C249" s="48"/>
      <c r="D249" s="21"/>
      <c r="E249" s="21"/>
      <c r="F249" s="21"/>
      <c r="G249" s="21"/>
      <c r="H249" s="21"/>
      <c r="I249" s="21"/>
      <c r="J249" s="45"/>
      <c r="K249" s="45"/>
      <c r="L249" s="45"/>
      <c r="M249" s="45"/>
      <c r="N249" s="45"/>
      <c r="O249" s="21"/>
      <c r="P249" s="21"/>
      <c r="Q249" s="21"/>
      <c r="R249" s="25" t="str">
        <f t="shared" si="4"/>
        <v/>
      </c>
    </row>
    <row r="250" spans="1:18" ht="33.6" customHeight="1">
      <c r="A250" s="28"/>
      <c r="B250" s="48"/>
      <c r="C250" s="48"/>
      <c r="D250" s="21"/>
      <c r="E250" s="21"/>
      <c r="F250" s="21"/>
      <c r="G250" s="21"/>
      <c r="H250" s="21"/>
      <c r="I250" s="21"/>
      <c r="J250" s="45"/>
      <c r="K250" s="45"/>
      <c r="L250" s="45"/>
      <c r="M250" s="45"/>
      <c r="N250" s="45"/>
      <c r="O250" s="21"/>
      <c r="P250" s="21"/>
      <c r="Q250" s="21"/>
      <c r="R250" s="25" t="str">
        <f t="shared" si="4"/>
        <v/>
      </c>
    </row>
    <row r="251" spans="1:18" ht="33.6" customHeight="1">
      <c r="A251" s="28"/>
      <c r="B251" s="48"/>
      <c r="C251" s="48"/>
      <c r="D251" s="21"/>
      <c r="E251" s="21"/>
      <c r="F251" s="21"/>
      <c r="G251" s="21"/>
      <c r="H251" s="21"/>
      <c r="I251" s="21"/>
      <c r="J251" s="45"/>
      <c r="K251" s="45"/>
      <c r="L251" s="45"/>
      <c r="M251" s="45"/>
      <c r="N251" s="45"/>
      <c r="O251" s="21"/>
      <c r="P251" s="21"/>
      <c r="Q251" s="21"/>
      <c r="R251" s="25" t="str">
        <f t="shared" si="4"/>
        <v/>
      </c>
    </row>
    <row r="252" spans="1:18" ht="33.6" customHeight="1">
      <c r="A252" s="28"/>
      <c r="B252" s="48"/>
      <c r="C252" s="48"/>
      <c r="D252" s="21"/>
      <c r="E252" s="21"/>
      <c r="F252" s="21"/>
      <c r="G252" s="21"/>
      <c r="H252" s="21"/>
      <c r="I252" s="21"/>
      <c r="J252" s="45"/>
      <c r="K252" s="45"/>
      <c r="L252" s="45"/>
      <c r="M252" s="45"/>
      <c r="N252" s="45"/>
      <c r="O252" s="21"/>
      <c r="P252" s="21"/>
      <c r="Q252" s="21"/>
      <c r="R252" s="25" t="str">
        <f t="shared" si="4"/>
        <v/>
      </c>
    </row>
    <row r="253" spans="1:18" ht="33.6" customHeight="1">
      <c r="A253" s="28"/>
      <c r="B253" s="48"/>
      <c r="C253" s="48"/>
      <c r="D253" s="21"/>
      <c r="E253" s="21"/>
      <c r="F253" s="21"/>
      <c r="G253" s="21"/>
      <c r="H253" s="21"/>
      <c r="I253" s="21"/>
      <c r="J253" s="45"/>
      <c r="K253" s="45"/>
      <c r="L253" s="45"/>
      <c r="M253" s="45"/>
      <c r="N253" s="45"/>
      <c r="O253" s="21"/>
      <c r="P253" s="21"/>
      <c r="Q253" s="21"/>
      <c r="R253" s="25" t="str">
        <f t="shared" si="4"/>
        <v/>
      </c>
    </row>
    <row r="254" spans="1:18" ht="33.6" customHeight="1">
      <c r="A254" s="28"/>
      <c r="B254" s="48"/>
      <c r="C254" s="48"/>
      <c r="D254" s="21"/>
      <c r="E254" s="21"/>
      <c r="F254" s="21"/>
      <c r="G254" s="21"/>
      <c r="H254" s="21"/>
      <c r="I254" s="21"/>
      <c r="J254" s="45"/>
      <c r="K254" s="45"/>
      <c r="L254" s="45"/>
      <c r="M254" s="45"/>
      <c r="N254" s="45"/>
      <c r="O254" s="21"/>
      <c r="P254" s="21"/>
      <c r="Q254" s="21"/>
      <c r="R254" s="25" t="str">
        <f t="shared" si="4"/>
        <v/>
      </c>
    </row>
    <row r="255" spans="1:18" ht="33.6" customHeight="1">
      <c r="A255" s="28"/>
      <c r="B255" s="48"/>
      <c r="C255" s="48"/>
      <c r="D255" s="21"/>
      <c r="E255" s="21"/>
      <c r="F255" s="21"/>
      <c r="G255" s="21"/>
      <c r="H255" s="21"/>
      <c r="I255" s="21"/>
      <c r="J255" s="45"/>
      <c r="K255" s="45"/>
      <c r="L255" s="45"/>
      <c r="M255" s="45"/>
      <c r="N255" s="45"/>
      <c r="O255" s="21"/>
      <c r="P255" s="21"/>
      <c r="Q255" s="21"/>
      <c r="R255" s="25" t="str">
        <f t="shared" si="4"/>
        <v/>
      </c>
    </row>
    <row r="256" spans="1:18" ht="33.6" customHeight="1">
      <c r="A256" s="28"/>
      <c r="B256" s="48"/>
      <c r="C256" s="48"/>
      <c r="D256" s="21"/>
      <c r="E256" s="21"/>
      <c r="F256" s="21"/>
      <c r="G256" s="21"/>
      <c r="H256" s="21"/>
      <c r="I256" s="21"/>
      <c r="J256" s="45"/>
      <c r="K256" s="45"/>
      <c r="L256" s="45"/>
      <c r="M256" s="45"/>
      <c r="N256" s="45"/>
      <c r="O256" s="21"/>
      <c r="P256" s="21"/>
      <c r="Q256" s="21"/>
      <c r="R256" s="25" t="str">
        <f t="shared" si="4"/>
        <v/>
      </c>
    </row>
    <row r="257" spans="1:18" ht="33.6" customHeight="1">
      <c r="A257" s="28"/>
      <c r="B257" s="48"/>
      <c r="C257" s="48"/>
      <c r="D257" s="21"/>
      <c r="E257" s="21"/>
      <c r="F257" s="21"/>
      <c r="G257" s="21"/>
      <c r="H257" s="21"/>
      <c r="I257" s="21"/>
      <c r="J257" s="45"/>
      <c r="K257" s="45"/>
      <c r="L257" s="45"/>
      <c r="M257" s="45"/>
      <c r="N257" s="45"/>
      <c r="O257" s="21"/>
      <c r="P257" s="21"/>
      <c r="Q257" s="21"/>
      <c r="R257" s="25" t="str">
        <f t="shared" si="4"/>
        <v/>
      </c>
    </row>
    <row r="258" spans="1:18" ht="33.6" customHeight="1">
      <c r="A258" s="28"/>
      <c r="B258" s="48"/>
      <c r="C258" s="48"/>
      <c r="D258" s="21"/>
      <c r="E258" s="21"/>
      <c r="F258" s="21"/>
      <c r="G258" s="21"/>
      <c r="H258" s="21"/>
      <c r="I258" s="21"/>
      <c r="J258" s="45"/>
      <c r="K258" s="45"/>
      <c r="L258" s="45"/>
      <c r="M258" s="45"/>
      <c r="N258" s="45"/>
      <c r="O258" s="21"/>
      <c r="P258" s="21"/>
      <c r="Q258" s="21"/>
      <c r="R258" s="25" t="str">
        <f t="shared" si="4"/>
        <v/>
      </c>
    </row>
    <row r="259" spans="1:18" ht="33.6" customHeight="1">
      <c r="A259" s="28"/>
      <c r="B259" s="48"/>
      <c r="C259" s="48"/>
      <c r="D259" s="21"/>
      <c r="E259" s="21"/>
      <c r="F259" s="21"/>
      <c r="G259" s="21"/>
      <c r="H259" s="21"/>
      <c r="I259" s="21"/>
      <c r="J259" s="45"/>
      <c r="K259" s="45"/>
      <c r="L259" s="45"/>
      <c r="M259" s="45"/>
      <c r="N259" s="45"/>
      <c r="O259" s="21"/>
      <c r="P259" s="21"/>
      <c r="Q259" s="21"/>
      <c r="R259" s="25" t="str">
        <f t="shared" si="4"/>
        <v/>
      </c>
    </row>
    <row r="260" spans="1:18" ht="33.6" customHeight="1">
      <c r="A260" s="28"/>
      <c r="B260" s="48"/>
      <c r="C260" s="48"/>
      <c r="D260" s="21"/>
      <c r="E260" s="21"/>
      <c r="F260" s="21"/>
      <c r="G260" s="21"/>
      <c r="H260" s="21"/>
      <c r="I260" s="21"/>
      <c r="J260" s="45"/>
      <c r="K260" s="45"/>
      <c r="L260" s="45"/>
      <c r="M260" s="45"/>
      <c r="N260" s="45"/>
      <c r="O260" s="21"/>
      <c r="P260" s="21"/>
      <c r="Q260" s="21"/>
      <c r="R260" s="25" t="str">
        <f t="shared" si="4"/>
        <v/>
      </c>
    </row>
    <row r="261" spans="1:18" ht="33.6" customHeight="1">
      <c r="A261" s="28"/>
      <c r="B261" s="48"/>
      <c r="C261" s="48"/>
      <c r="D261" s="21"/>
      <c r="E261" s="21"/>
      <c r="F261" s="21"/>
      <c r="G261" s="21"/>
      <c r="H261" s="21"/>
      <c r="I261" s="21"/>
      <c r="J261" s="45"/>
      <c r="K261" s="45"/>
      <c r="L261" s="45"/>
      <c r="M261" s="45"/>
      <c r="N261" s="45"/>
      <c r="O261" s="21"/>
      <c r="P261" s="21"/>
      <c r="Q261" s="21"/>
      <c r="R261" s="25" t="str">
        <f t="shared" si="4"/>
        <v/>
      </c>
    </row>
    <row r="262" spans="1:18" ht="33.6" customHeight="1">
      <c r="A262" s="28"/>
      <c r="B262" s="48"/>
      <c r="C262" s="48"/>
      <c r="D262" s="21"/>
      <c r="E262" s="21"/>
      <c r="F262" s="21"/>
      <c r="G262" s="21"/>
      <c r="H262" s="21"/>
      <c r="I262" s="21"/>
      <c r="J262" s="45"/>
      <c r="K262" s="45"/>
      <c r="L262" s="45"/>
      <c r="M262" s="45"/>
      <c r="N262" s="45"/>
      <c r="O262" s="21"/>
      <c r="P262" s="21"/>
      <c r="Q262" s="21"/>
      <c r="R262" s="25" t="str">
        <f t="shared" si="4"/>
        <v/>
      </c>
    </row>
    <row r="263" spans="1:18" ht="33.6" customHeight="1">
      <c r="A263" s="28"/>
      <c r="B263" s="48"/>
      <c r="C263" s="48"/>
      <c r="D263" s="21"/>
      <c r="E263" s="21"/>
      <c r="F263" s="21"/>
      <c r="G263" s="21"/>
      <c r="H263" s="21"/>
      <c r="I263" s="21"/>
      <c r="J263" s="45"/>
      <c r="K263" s="45"/>
      <c r="L263" s="45"/>
      <c r="M263" s="45"/>
      <c r="N263" s="45"/>
      <c r="O263" s="21"/>
      <c r="P263" s="21"/>
      <c r="Q263" s="21"/>
      <c r="R263" s="25" t="str">
        <f t="shared" si="4"/>
        <v/>
      </c>
    </row>
    <row r="264" spans="1:18" ht="33.6" customHeight="1">
      <c r="A264" s="28"/>
      <c r="B264" s="48"/>
      <c r="C264" s="48"/>
      <c r="D264" s="21"/>
      <c r="E264" s="21"/>
      <c r="F264" s="21"/>
      <c r="G264" s="21"/>
      <c r="H264" s="21"/>
      <c r="I264" s="21"/>
      <c r="J264" s="45"/>
      <c r="K264" s="45"/>
      <c r="L264" s="45"/>
      <c r="M264" s="45"/>
      <c r="N264" s="45"/>
      <c r="O264" s="21"/>
      <c r="P264" s="21"/>
      <c r="Q264" s="21"/>
      <c r="R264" s="25" t="str">
        <f t="shared" si="4"/>
        <v/>
      </c>
    </row>
    <row r="265" spans="1:18" ht="33.6" customHeight="1">
      <c r="A265" s="28"/>
      <c r="B265" s="48"/>
      <c r="C265" s="48"/>
      <c r="D265" s="21"/>
      <c r="E265" s="21"/>
      <c r="F265" s="21"/>
      <c r="G265" s="21"/>
      <c r="H265" s="21"/>
      <c r="I265" s="21"/>
      <c r="J265" s="45"/>
      <c r="K265" s="45"/>
      <c r="L265" s="45"/>
      <c r="M265" s="45"/>
      <c r="N265" s="45"/>
      <c r="O265" s="21"/>
      <c r="P265" s="21"/>
      <c r="Q265" s="21"/>
      <c r="R265" s="25" t="str">
        <f t="shared" si="4"/>
        <v/>
      </c>
    </row>
    <row r="266" spans="1:18" ht="33.6" customHeight="1">
      <c r="A266" s="28"/>
      <c r="B266" s="48"/>
      <c r="C266" s="48"/>
      <c r="D266" s="21"/>
      <c r="E266" s="21"/>
      <c r="F266" s="21"/>
      <c r="G266" s="21"/>
      <c r="H266" s="21"/>
      <c r="I266" s="21"/>
      <c r="J266" s="45"/>
      <c r="K266" s="45"/>
      <c r="L266" s="45"/>
      <c r="M266" s="45"/>
      <c r="N266" s="45"/>
      <c r="O266" s="21"/>
      <c r="P266" s="21"/>
      <c r="Q266" s="21"/>
      <c r="R266" s="25" t="str">
        <f t="shared" si="4"/>
        <v/>
      </c>
    </row>
    <row r="267" spans="1:18" ht="33.6" customHeight="1">
      <c r="A267" s="28"/>
      <c r="B267" s="48"/>
      <c r="C267" s="48"/>
      <c r="D267" s="21"/>
      <c r="E267" s="21"/>
      <c r="F267" s="21"/>
      <c r="G267" s="21"/>
      <c r="H267" s="21"/>
      <c r="I267" s="21"/>
      <c r="J267" s="45"/>
      <c r="K267" s="45"/>
      <c r="L267" s="45"/>
      <c r="M267" s="45"/>
      <c r="N267" s="45"/>
      <c r="O267" s="21"/>
      <c r="P267" s="21"/>
      <c r="Q267" s="21"/>
      <c r="R267" s="25" t="str">
        <f t="shared" si="4"/>
        <v/>
      </c>
    </row>
    <row r="268" spans="1:18" ht="33.6" customHeight="1">
      <c r="A268" s="28"/>
      <c r="B268" s="48"/>
      <c r="C268" s="48"/>
      <c r="D268" s="21"/>
      <c r="E268" s="21"/>
      <c r="F268" s="21"/>
      <c r="G268" s="21"/>
      <c r="H268" s="21"/>
      <c r="I268" s="21"/>
      <c r="J268" s="45"/>
      <c r="K268" s="45"/>
      <c r="L268" s="45"/>
      <c r="M268" s="45"/>
      <c r="N268" s="45"/>
      <c r="O268" s="21"/>
      <c r="P268" s="21"/>
      <c r="Q268" s="21"/>
      <c r="R268" s="25" t="str">
        <f t="shared" si="4"/>
        <v/>
      </c>
    </row>
    <row r="269" spans="1:18" ht="33.6" customHeight="1">
      <c r="A269" s="28"/>
      <c r="B269" s="48"/>
      <c r="C269" s="48"/>
      <c r="D269" s="21"/>
      <c r="E269" s="21"/>
      <c r="F269" s="21"/>
      <c r="G269" s="21"/>
      <c r="H269" s="21"/>
      <c r="I269" s="21"/>
      <c r="J269" s="45"/>
      <c r="K269" s="45"/>
      <c r="L269" s="45"/>
      <c r="M269" s="45"/>
      <c r="N269" s="45"/>
      <c r="O269" s="21"/>
      <c r="P269" s="21"/>
      <c r="Q269" s="21"/>
      <c r="R269" s="25" t="str">
        <f t="shared" si="4"/>
        <v/>
      </c>
    </row>
    <row r="270" spans="1:18" ht="33.6" customHeight="1">
      <c r="A270" s="28"/>
      <c r="B270" s="48"/>
      <c r="C270" s="48"/>
      <c r="D270" s="21"/>
      <c r="E270" s="21"/>
      <c r="F270" s="21"/>
      <c r="G270" s="21"/>
      <c r="H270" s="21"/>
      <c r="I270" s="21"/>
      <c r="J270" s="45"/>
      <c r="K270" s="45"/>
      <c r="L270" s="45"/>
      <c r="M270" s="45"/>
      <c r="N270" s="45"/>
      <c r="O270" s="21"/>
      <c r="P270" s="21"/>
      <c r="Q270" s="21"/>
      <c r="R270" s="25" t="str">
        <f t="shared" si="4"/>
        <v/>
      </c>
    </row>
    <row r="271" spans="1:18" ht="33.6" customHeight="1">
      <c r="A271" s="28"/>
      <c r="B271" s="48"/>
      <c r="C271" s="48"/>
      <c r="D271" s="21"/>
      <c r="E271" s="21"/>
      <c r="F271" s="21"/>
      <c r="G271" s="21"/>
      <c r="H271" s="21"/>
      <c r="I271" s="21"/>
      <c r="J271" s="45"/>
      <c r="K271" s="45"/>
      <c r="L271" s="45"/>
      <c r="M271" s="45"/>
      <c r="N271" s="45"/>
      <c r="O271" s="21"/>
      <c r="P271" s="21"/>
      <c r="Q271" s="21"/>
      <c r="R271" s="25" t="str">
        <f t="shared" si="4"/>
        <v/>
      </c>
    </row>
    <row r="272" spans="1:18" ht="33.6" customHeight="1">
      <c r="A272" s="28"/>
      <c r="B272" s="48"/>
      <c r="C272" s="48"/>
      <c r="D272" s="21"/>
      <c r="E272" s="21"/>
      <c r="F272" s="21"/>
      <c r="G272" s="21"/>
      <c r="H272" s="21"/>
      <c r="I272" s="21"/>
      <c r="J272" s="45"/>
      <c r="K272" s="45"/>
      <c r="L272" s="45"/>
      <c r="M272" s="45"/>
      <c r="N272" s="45"/>
      <c r="O272" s="21"/>
      <c r="P272" s="21"/>
      <c r="Q272" s="21"/>
      <c r="R272" s="25" t="str">
        <f t="shared" si="4"/>
        <v/>
      </c>
    </row>
    <row r="273" spans="1:18" ht="33.6" customHeight="1">
      <c r="A273" s="28"/>
      <c r="B273" s="48"/>
      <c r="C273" s="48"/>
      <c r="D273" s="21"/>
      <c r="E273" s="21"/>
      <c r="F273" s="21"/>
      <c r="G273" s="21"/>
      <c r="H273" s="21"/>
      <c r="I273" s="21"/>
      <c r="J273" s="45"/>
      <c r="K273" s="45"/>
      <c r="L273" s="45"/>
      <c r="M273" s="45"/>
      <c r="N273" s="45"/>
      <c r="O273" s="21"/>
      <c r="P273" s="21"/>
      <c r="Q273" s="21"/>
      <c r="R273" s="25" t="str">
        <f t="shared" si="4"/>
        <v/>
      </c>
    </row>
    <row r="274" spans="1:18" ht="33.6" customHeight="1">
      <c r="A274" s="28"/>
      <c r="B274" s="48"/>
      <c r="C274" s="48"/>
      <c r="D274" s="21"/>
      <c r="E274" s="21"/>
      <c r="F274" s="21"/>
      <c r="G274" s="21"/>
      <c r="H274" s="21"/>
      <c r="I274" s="21"/>
      <c r="J274" s="45"/>
      <c r="K274" s="45"/>
      <c r="L274" s="45"/>
      <c r="M274" s="45"/>
      <c r="N274" s="45"/>
      <c r="O274" s="21"/>
      <c r="P274" s="21"/>
      <c r="Q274" s="21"/>
      <c r="R274" s="25" t="str">
        <f t="shared" si="4"/>
        <v/>
      </c>
    </row>
    <row r="275" spans="1:18" ht="33.6" customHeight="1">
      <c r="A275" s="28"/>
      <c r="B275" s="48"/>
      <c r="C275" s="48"/>
      <c r="D275" s="21"/>
      <c r="E275" s="21"/>
      <c r="F275" s="21"/>
      <c r="G275" s="21"/>
      <c r="H275" s="21"/>
      <c r="I275" s="21"/>
      <c r="J275" s="45"/>
      <c r="K275" s="45"/>
      <c r="L275" s="45"/>
      <c r="M275" s="45"/>
      <c r="N275" s="45"/>
      <c r="O275" s="21"/>
      <c r="P275" s="21"/>
      <c r="Q275" s="21"/>
      <c r="R275" s="25" t="str">
        <f t="shared" si="4"/>
        <v/>
      </c>
    </row>
    <row r="276" spans="1:18" ht="33.6" customHeight="1">
      <c r="A276" s="28"/>
      <c r="B276" s="48"/>
      <c r="C276" s="48"/>
      <c r="D276" s="21"/>
      <c r="E276" s="21"/>
      <c r="F276" s="21"/>
      <c r="G276" s="21"/>
      <c r="H276" s="21"/>
      <c r="I276" s="21"/>
      <c r="J276" s="45"/>
      <c r="K276" s="45"/>
      <c r="L276" s="45"/>
      <c r="M276" s="45"/>
      <c r="N276" s="45"/>
      <c r="O276" s="21"/>
      <c r="P276" s="21"/>
      <c r="Q276" s="21"/>
      <c r="R276" s="25" t="str">
        <f t="shared" si="4"/>
        <v/>
      </c>
    </row>
    <row r="277" spans="1:18" ht="33.6" customHeight="1">
      <c r="A277" s="28"/>
      <c r="B277" s="48"/>
      <c r="C277" s="48"/>
      <c r="D277" s="21"/>
      <c r="E277" s="21"/>
      <c r="F277" s="21"/>
      <c r="G277" s="21"/>
      <c r="H277" s="21"/>
      <c r="I277" s="21"/>
      <c r="J277" s="45"/>
      <c r="K277" s="45"/>
      <c r="L277" s="45"/>
      <c r="M277" s="45"/>
      <c r="N277" s="45"/>
      <c r="O277" s="21"/>
      <c r="P277" s="21"/>
      <c r="Q277" s="21"/>
      <c r="R277" s="25" t="str">
        <f t="shared" si="4"/>
        <v/>
      </c>
    </row>
    <row r="278" spans="1:18" ht="33.6" customHeight="1">
      <c r="A278" s="28"/>
      <c r="B278" s="48"/>
      <c r="C278" s="48"/>
      <c r="D278" s="21"/>
      <c r="E278" s="21"/>
      <c r="F278" s="21"/>
      <c r="G278" s="21"/>
      <c r="H278" s="21"/>
      <c r="I278" s="21"/>
      <c r="J278" s="45"/>
      <c r="K278" s="45"/>
      <c r="L278" s="45"/>
      <c r="M278" s="45"/>
      <c r="N278" s="45"/>
      <c r="O278" s="21"/>
      <c r="P278" s="21"/>
      <c r="Q278" s="21"/>
      <c r="R278" s="25" t="str">
        <f t="shared" si="4"/>
        <v/>
      </c>
    </row>
    <row r="279" spans="1:18" ht="33.6" customHeight="1">
      <c r="A279" s="28"/>
      <c r="B279" s="48"/>
      <c r="C279" s="48"/>
      <c r="D279" s="21"/>
      <c r="E279" s="21"/>
      <c r="F279" s="21"/>
      <c r="G279" s="21"/>
      <c r="H279" s="21"/>
      <c r="I279" s="21"/>
      <c r="J279" s="45"/>
      <c r="K279" s="45"/>
      <c r="L279" s="45"/>
      <c r="M279" s="45"/>
      <c r="N279" s="45"/>
      <c r="O279" s="21"/>
      <c r="P279" s="21"/>
      <c r="Q279" s="21"/>
      <c r="R279" s="25" t="str">
        <f t="shared" si="4"/>
        <v/>
      </c>
    </row>
    <row r="280" spans="1:18" ht="33.6" customHeight="1">
      <c r="A280" s="28"/>
      <c r="B280" s="48"/>
      <c r="C280" s="48"/>
      <c r="D280" s="21"/>
      <c r="E280" s="21"/>
      <c r="F280" s="21"/>
      <c r="G280" s="21"/>
      <c r="H280" s="21"/>
      <c r="I280" s="21"/>
      <c r="J280" s="45"/>
      <c r="K280" s="45"/>
      <c r="L280" s="45"/>
      <c r="M280" s="45"/>
      <c r="N280" s="45"/>
      <c r="O280" s="21"/>
      <c r="P280" s="21"/>
      <c r="Q280" s="21"/>
      <c r="R280" s="25" t="str">
        <f t="shared" si="4"/>
        <v/>
      </c>
    </row>
    <row r="281" spans="1:18" ht="33.6" customHeight="1">
      <c r="A281" s="28"/>
      <c r="B281" s="48"/>
      <c r="C281" s="48"/>
      <c r="D281" s="21"/>
      <c r="E281" s="21"/>
      <c r="F281" s="21"/>
      <c r="G281" s="21"/>
      <c r="H281" s="21"/>
      <c r="I281" s="21"/>
      <c r="J281" s="45"/>
      <c r="K281" s="45"/>
      <c r="L281" s="45"/>
      <c r="M281" s="45"/>
      <c r="N281" s="45"/>
      <c r="O281" s="21"/>
      <c r="P281" s="21"/>
      <c r="Q281" s="21"/>
      <c r="R281" s="25" t="str">
        <f t="shared" si="4"/>
        <v/>
      </c>
    </row>
    <row r="282" spans="1:18" ht="33.6" customHeight="1">
      <c r="A282" s="28"/>
      <c r="B282" s="48"/>
      <c r="C282" s="48"/>
      <c r="D282" s="21"/>
      <c r="E282" s="21"/>
      <c r="F282" s="21"/>
      <c r="G282" s="21"/>
      <c r="H282" s="21"/>
      <c r="I282" s="21"/>
      <c r="J282" s="45"/>
      <c r="K282" s="45"/>
      <c r="L282" s="45"/>
      <c r="M282" s="45"/>
      <c r="N282" s="45"/>
      <c r="O282" s="21"/>
      <c r="P282" s="21"/>
      <c r="Q282" s="21"/>
      <c r="R282" s="25" t="str">
        <f t="shared" si="4"/>
        <v/>
      </c>
    </row>
    <row r="283" spans="1:18" ht="33.6" customHeight="1">
      <c r="A283" s="28"/>
      <c r="B283" s="48"/>
      <c r="C283" s="48"/>
      <c r="D283" s="21"/>
      <c r="E283" s="21"/>
      <c r="F283" s="21"/>
      <c r="G283" s="21"/>
      <c r="H283" s="21"/>
      <c r="I283" s="21"/>
      <c r="J283" s="45"/>
      <c r="K283" s="45"/>
      <c r="L283" s="45"/>
      <c r="M283" s="45"/>
      <c r="N283" s="45"/>
      <c r="O283" s="21"/>
      <c r="P283" s="21"/>
      <c r="Q283" s="21"/>
      <c r="R283" s="25" t="str">
        <f t="shared" si="4"/>
        <v/>
      </c>
    </row>
    <row r="284" spans="1:18" ht="33.6" customHeight="1">
      <c r="A284" s="28"/>
      <c r="B284" s="48"/>
      <c r="C284" s="48"/>
      <c r="D284" s="21"/>
      <c r="E284" s="21"/>
      <c r="F284" s="21"/>
      <c r="G284" s="21"/>
      <c r="H284" s="21"/>
      <c r="I284" s="21"/>
      <c r="J284" s="45"/>
      <c r="K284" s="45"/>
      <c r="L284" s="45"/>
      <c r="M284" s="45"/>
      <c r="N284" s="45"/>
      <c r="O284" s="21"/>
      <c r="P284" s="21"/>
      <c r="Q284" s="21"/>
      <c r="R284" s="25" t="str">
        <f t="shared" si="4"/>
        <v/>
      </c>
    </row>
    <row r="285" spans="1:18" ht="33.6" customHeight="1">
      <c r="A285" s="28"/>
      <c r="B285" s="48"/>
      <c r="C285" s="48"/>
      <c r="D285" s="21"/>
      <c r="E285" s="21"/>
      <c r="F285" s="21"/>
      <c r="G285" s="21"/>
      <c r="H285" s="21"/>
      <c r="I285" s="21"/>
      <c r="J285" s="45"/>
      <c r="K285" s="45"/>
      <c r="L285" s="45"/>
      <c r="M285" s="45"/>
      <c r="N285" s="45"/>
      <c r="O285" s="21"/>
      <c r="P285" s="21"/>
      <c r="Q285" s="21"/>
      <c r="R285" s="25" t="str">
        <f t="shared" si="4"/>
        <v/>
      </c>
    </row>
    <row r="286" spans="1:18" ht="33.6" customHeight="1">
      <c r="A286" s="28"/>
      <c r="B286" s="48"/>
      <c r="C286" s="48"/>
      <c r="D286" s="21"/>
      <c r="E286" s="21"/>
      <c r="F286" s="21"/>
      <c r="G286" s="21"/>
      <c r="H286" s="21"/>
      <c r="I286" s="21"/>
      <c r="J286" s="45"/>
      <c r="K286" s="45"/>
      <c r="L286" s="45"/>
      <c r="M286" s="45"/>
      <c r="N286" s="45"/>
      <c r="O286" s="21"/>
      <c r="P286" s="21"/>
      <c r="Q286" s="21"/>
      <c r="R286" s="25" t="str">
        <f t="shared" si="4"/>
        <v/>
      </c>
    </row>
    <row r="287" spans="1:18" ht="33.6" customHeight="1">
      <c r="A287" s="28"/>
      <c r="B287" s="48"/>
      <c r="C287" s="48"/>
      <c r="D287" s="21"/>
      <c r="E287" s="21"/>
      <c r="F287" s="21"/>
      <c r="G287" s="21"/>
      <c r="H287" s="21"/>
      <c r="I287" s="21"/>
      <c r="J287" s="45"/>
      <c r="K287" s="45"/>
      <c r="L287" s="45"/>
      <c r="M287" s="45"/>
      <c r="N287" s="45"/>
      <c r="O287" s="21"/>
      <c r="P287" s="21"/>
      <c r="Q287" s="21"/>
      <c r="R287" s="25" t="str">
        <f t="shared" si="4"/>
        <v/>
      </c>
    </row>
    <row r="288" spans="1:18" ht="33.6" customHeight="1">
      <c r="A288" s="28"/>
      <c r="B288" s="48"/>
      <c r="C288" s="48"/>
      <c r="D288" s="21"/>
      <c r="E288" s="21"/>
      <c r="F288" s="21"/>
      <c r="G288" s="21"/>
      <c r="H288" s="21"/>
      <c r="I288" s="21"/>
      <c r="J288" s="45"/>
      <c r="K288" s="45"/>
      <c r="L288" s="45"/>
      <c r="M288" s="45"/>
      <c r="N288" s="45"/>
      <c r="O288" s="21"/>
      <c r="P288" s="21"/>
      <c r="Q288" s="21"/>
      <c r="R288" s="25" t="str">
        <f t="shared" si="4"/>
        <v/>
      </c>
    </row>
    <row r="289" spans="1:18" ht="33.6" customHeight="1">
      <c r="A289" s="28"/>
      <c r="B289" s="48"/>
      <c r="C289" s="48"/>
      <c r="D289" s="21"/>
      <c r="E289" s="21"/>
      <c r="F289" s="21"/>
      <c r="G289" s="21"/>
      <c r="H289" s="21"/>
      <c r="I289" s="21"/>
      <c r="J289" s="45"/>
      <c r="K289" s="45"/>
      <c r="L289" s="45"/>
      <c r="M289" s="45"/>
      <c r="N289" s="45"/>
      <c r="O289" s="21"/>
      <c r="P289" s="21"/>
      <c r="Q289" s="21"/>
      <c r="R289" s="25" t="str">
        <f t="shared" si="4"/>
        <v/>
      </c>
    </row>
    <row r="290" spans="1:18" ht="33.6" customHeight="1">
      <c r="A290" s="28"/>
      <c r="B290" s="48"/>
      <c r="C290" s="48"/>
      <c r="D290" s="21"/>
      <c r="E290" s="21"/>
      <c r="F290" s="21"/>
      <c r="G290" s="21"/>
      <c r="H290" s="21"/>
      <c r="I290" s="21"/>
      <c r="J290" s="45"/>
      <c r="K290" s="45"/>
      <c r="L290" s="45"/>
      <c r="M290" s="45"/>
      <c r="N290" s="45"/>
      <c r="O290" s="21"/>
      <c r="P290" s="21"/>
      <c r="Q290" s="21"/>
      <c r="R290" s="25" t="str">
        <f t="shared" si="4"/>
        <v/>
      </c>
    </row>
    <row r="291" spans="1:18" ht="33.6" customHeight="1">
      <c r="A291" s="28"/>
      <c r="B291" s="48"/>
      <c r="C291" s="48"/>
      <c r="D291" s="21"/>
      <c r="E291" s="21"/>
      <c r="F291" s="21"/>
      <c r="G291" s="21"/>
      <c r="H291" s="21"/>
      <c r="I291" s="21"/>
      <c r="J291" s="45"/>
      <c r="K291" s="45"/>
      <c r="L291" s="45"/>
      <c r="M291" s="45"/>
      <c r="N291" s="45"/>
      <c r="O291" s="21"/>
      <c r="P291" s="21"/>
      <c r="Q291" s="21"/>
      <c r="R291" s="25" t="str">
        <f t="shared" si="4"/>
        <v/>
      </c>
    </row>
    <row r="292" spans="1:18" ht="33.6" customHeight="1">
      <c r="A292" s="28"/>
      <c r="B292" s="48"/>
      <c r="C292" s="48"/>
      <c r="D292" s="21"/>
      <c r="E292" s="21"/>
      <c r="F292" s="21"/>
      <c r="G292" s="21"/>
      <c r="H292" s="21"/>
      <c r="I292" s="21"/>
      <c r="J292" s="45"/>
      <c r="K292" s="45"/>
      <c r="L292" s="45"/>
      <c r="M292" s="45"/>
      <c r="N292" s="45"/>
      <c r="O292" s="21"/>
      <c r="P292" s="21"/>
      <c r="Q292" s="21"/>
      <c r="R292" s="25" t="str">
        <f t="shared" si="4"/>
        <v/>
      </c>
    </row>
    <row r="293" spans="1:18" ht="33.6" customHeight="1">
      <c r="A293" s="28"/>
      <c r="B293" s="48"/>
      <c r="C293" s="48"/>
      <c r="D293" s="21"/>
      <c r="E293" s="21"/>
      <c r="F293" s="21"/>
      <c r="G293" s="21"/>
      <c r="H293" s="21"/>
      <c r="I293" s="21"/>
      <c r="J293" s="45"/>
      <c r="K293" s="45"/>
      <c r="L293" s="45"/>
      <c r="M293" s="45"/>
      <c r="N293" s="45"/>
      <c r="O293" s="21"/>
      <c r="P293" s="21"/>
      <c r="Q293" s="21"/>
      <c r="R293" s="25" t="str">
        <f t="shared" si="4"/>
        <v/>
      </c>
    </row>
    <row r="294" spans="1:18" ht="33.6" customHeight="1">
      <c r="A294" s="28"/>
      <c r="B294" s="48"/>
      <c r="C294" s="48"/>
      <c r="D294" s="21"/>
      <c r="E294" s="21"/>
      <c r="F294" s="21"/>
      <c r="G294" s="21"/>
      <c r="H294" s="21"/>
      <c r="I294" s="21"/>
      <c r="J294" s="45"/>
      <c r="K294" s="45"/>
      <c r="L294" s="45"/>
      <c r="M294" s="45"/>
      <c r="N294" s="45"/>
      <c r="O294" s="21"/>
      <c r="P294" s="21"/>
      <c r="Q294" s="21"/>
      <c r="R294" s="25" t="str">
        <f t="shared" si="4"/>
        <v/>
      </c>
    </row>
    <row r="295" spans="1:18" ht="33.6" customHeight="1">
      <c r="A295" s="28"/>
      <c r="B295" s="48"/>
      <c r="C295" s="48"/>
      <c r="D295" s="21"/>
      <c r="E295" s="21"/>
      <c r="F295" s="21"/>
      <c r="G295" s="21"/>
      <c r="H295" s="21"/>
      <c r="I295" s="21"/>
      <c r="J295" s="45"/>
      <c r="K295" s="45"/>
      <c r="L295" s="45"/>
      <c r="M295" s="45"/>
      <c r="N295" s="45"/>
      <c r="O295" s="21"/>
      <c r="P295" s="21"/>
      <c r="Q295" s="21"/>
      <c r="R295" s="25" t="str">
        <f t="shared" si="4"/>
        <v/>
      </c>
    </row>
    <row r="296" spans="1:18" ht="33.6" customHeight="1">
      <c r="A296" s="28"/>
      <c r="B296" s="48"/>
      <c r="C296" s="48"/>
      <c r="D296" s="21"/>
      <c r="E296" s="21"/>
      <c r="F296" s="21"/>
      <c r="G296" s="21"/>
      <c r="H296" s="21"/>
      <c r="I296" s="21"/>
      <c r="J296" s="45"/>
      <c r="K296" s="45"/>
      <c r="L296" s="45"/>
      <c r="M296" s="45"/>
      <c r="N296" s="45"/>
      <c r="O296" s="21"/>
      <c r="P296" s="21"/>
      <c r="Q296" s="21"/>
      <c r="R296" s="25" t="str">
        <f t="shared" si="4"/>
        <v/>
      </c>
    </row>
    <row r="297" spans="1:18" ht="33.6" customHeight="1">
      <c r="A297" s="28"/>
      <c r="B297" s="48"/>
      <c r="C297" s="48"/>
      <c r="D297" s="21"/>
      <c r="E297" s="21"/>
      <c r="F297" s="21"/>
      <c r="G297" s="21"/>
      <c r="H297" s="21"/>
      <c r="I297" s="21"/>
      <c r="J297" s="45"/>
      <c r="K297" s="45"/>
      <c r="L297" s="45"/>
      <c r="M297" s="45"/>
      <c r="N297" s="45"/>
      <c r="O297" s="21"/>
      <c r="P297" s="21"/>
      <c r="Q297" s="21"/>
      <c r="R297" s="25" t="str">
        <f t="shared" si="4"/>
        <v/>
      </c>
    </row>
    <row r="298" spans="1:18" ht="33.6" customHeight="1">
      <c r="A298" s="28"/>
      <c r="B298" s="48"/>
      <c r="C298" s="48"/>
      <c r="D298" s="21"/>
      <c r="E298" s="21"/>
      <c r="F298" s="21"/>
      <c r="G298" s="21"/>
      <c r="H298" s="21"/>
      <c r="I298" s="21"/>
      <c r="J298" s="45"/>
      <c r="K298" s="45"/>
      <c r="L298" s="45"/>
      <c r="M298" s="45"/>
      <c r="N298" s="45"/>
      <c r="O298" s="21"/>
      <c r="P298" s="21"/>
      <c r="Q298" s="21"/>
      <c r="R298" s="25" t="str">
        <f t="shared" si="4"/>
        <v/>
      </c>
    </row>
    <row r="299" spans="1:18" ht="33.6" customHeight="1">
      <c r="A299" s="28"/>
      <c r="B299" s="48"/>
      <c r="C299" s="48"/>
      <c r="D299" s="21"/>
      <c r="E299" s="21"/>
      <c r="F299" s="21"/>
      <c r="G299" s="21"/>
      <c r="H299" s="21"/>
      <c r="I299" s="21"/>
      <c r="J299" s="45"/>
      <c r="K299" s="45"/>
      <c r="L299" s="45"/>
      <c r="M299" s="45"/>
      <c r="N299" s="45"/>
      <c r="O299" s="21"/>
      <c r="P299" s="21"/>
      <c r="Q299" s="21"/>
      <c r="R299" s="25" t="str">
        <f t="shared" si="4"/>
        <v/>
      </c>
    </row>
    <row r="300" spans="1:18" ht="33.6" customHeight="1">
      <c r="A300" s="28"/>
      <c r="B300" s="48"/>
      <c r="C300" s="48"/>
      <c r="D300" s="21"/>
      <c r="E300" s="21"/>
      <c r="F300" s="21"/>
      <c r="G300" s="21"/>
      <c r="H300" s="21"/>
      <c r="I300" s="21"/>
      <c r="J300" s="45"/>
      <c r="K300" s="45"/>
      <c r="L300" s="45"/>
      <c r="M300" s="45"/>
      <c r="N300" s="45"/>
      <c r="O300" s="21"/>
      <c r="P300" s="21"/>
      <c r="Q300" s="21"/>
      <c r="R300" s="25" t="str">
        <f t="shared" si="4"/>
        <v/>
      </c>
    </row>
    <row r="301" spans="1:18" ht="33.6" customHeight="1">
      <c r="A301" s="28"/>
      <c r="B301" s="48"/>
      <c r="C301" s="48"/>
      <c r="D301" s="21"/>
      <c r="E301" s="21"/>
      <c r="F301" s="21"/>
      <c r="G301" s="21"/>
      <c r="H301" s="21"/>
      <c r="I301" s="21"/>
      <c r="J301" s="45"/>
      <c r="K301" s="45"/>
      <c r="L301" s="45"/>
      <c r="M301" s="45"/>
      <c r="N301" s="45"/>
      <c r="O301" s="21"/>
      <c r="P301" s="21"/>
      <c r="Q301" s="21"/>
      <c r="R301" s="25" t="str">
        <f t="shared" si="4"/>
        <v/>
      </c>
    </row>
    <row r="302" spans="1:18" ht="33.6" customHeight="1">
      <c r="A302" s="28"/>
      <c r="B302" s="48"/>
      <c r="C302" s="48"/>
      <c r="D302" s="21"/>
      <c r="E302" s="21"/>
      <c r="F302" s="21"/>
      <c r="G302" s="21"/>
      <c r="H302" s="21"/>
      <c r="I302" s="21"/>
      <c r="J302" s="45"/>
      <c r="K302" s="45"/>
      <c r="L302" s="45"/>
      <c r="M302" s="45"/>
      <c r="N302" s="45"/>
      <c r="O302" s="21"/>
      <c r="P302" s="21"/>
      <c r="Q302" s="21"/>
      <c r="R302" s="25" t="str">
        <f t="shared" si="4"/>
        <v/>
      </c>
    </row>
    <row r="303" spans="1:18" ht="33.6" customHeight="1">
      <c r="A303" s="28"/>
      <c r="B303" s="48"/>
      <c r="C303" s="48"/>
      <c r="D303" s="21"/>
      <c r="E303" s="21"/>
      <c r="F303" s="21"/>
      <c r="G303" s="21"/>
      <c r="H303" s="21"/>
      <c r="I303" s="21"/>
      <c r="J303" s="45"/>
      <c r="K303" s="45"/>
      <c r="L303" s="45"/>
      <c r="M303" s="45"/>
      <c r="N303" s="45"/>
      <c r="O303" s="21"/>
      <c r="P303" s="21"/>
      <c r="Q303" s="21"/>
      <c r="R303" s="25" t="str">
        <f t="shared" si="4"/>
        <v/>
      </c>
    </row>
    <row r="304" spans="1:18" ht="33.6" customHeight="1">
      <c r="A304" s="28"/>
      <c r="B304" s="48"/>
      <c r="C304" s="48"/>
      <c r="D304" s="21"/>
      <c r="E304" s="21"/>
      <c r="F304" s="21"/>
      <c r="G304" s="21"/>
      <c r="H304" s="21"/>
      <c r="I304" s="21"/>
      <c r="J304" s="45"/>
      <c r="K304" s="45"/>
      <c r="L304" s="45"/>
      <c r="M304" s="45"/>
      <c r="N304" s="45"/>
      <c r="O304" s="21"/>
      <c r="P304" s="21"/>
      <c r="Q304" s="21"/>
      <c r="R304" s="25" t="str">
        <f t="shared" si="4"/>
        <v/>
      </c>
    </row>
    <row r="305" spans="1:18" ht="33.6" customHeight="1">
      <c r="A305" s="28"/>
      <c r="B305" s="48"/>
      <c r="C305" s="48"/>
      <c r="D305" s="21"/>
      <c r="E305" s="21"/>
      <c r="F305" s="21"/>
      <c r="G305" s="21"/>
      <c r="H305" s="21"/>
      <c r="I305" s="21"/>
      <c r="J305" s="45"/>
      <c r="K305" s="45"/>
      <c r="L305" s="45"/>
      <c r="M305" s="45"/>
      <c r="N305" s="45"/>
      <c r="O305" s="21"/>
      <c r="P305" s="21"/>
      <c r="Q305" s="21"/>
      <c r="R305" s="25" t="str">
        <f t="shared" si="4"/>
        <v/>
      </c>
    </row>
    <row r="306" spans="1:18" ht="33.6" customHeight="1">
      <c r="A306" s="28"/>
      <c r="B306" s="48"/>
      <c r="C306" s="48"/>
      <c r="D306" s="21"/>
      <c r="E306" s="21"/>
      <c r="F306" s="21"/>
      <c r="G306" s="21"/>
      <c r="H306" s="21"/>
      <c r="I306" s="21"/>
      <c r="J306" s="45"/>
      <c r="K306" s="45"/>
      <c r="L306" s="45"/>
      <c r="M306" s="45"/>
      <c r="N306" s="45"/>
      <c r="O306" s="21"/>
      <c r="P306" s="21"/>
      <c r="Q306" s="21"/>
      <c r="R306" s="25" t="str">
        <f t="shared" si="4"/>
        <v/>
      </c>
    </row>
    <row r="307" spans="1:18" ht="33.6" customHeight="1">
      <c r="A307" s="28"/>
      <c r="B307" s="48"/>
      <c r="C307" s="48"/>
      <c r="D307" s="21"/>
      <c r="E307" s="21"/>
      <c r="F307" s="21"/>
      <c r="G307" s="21"/>
      <c r="H307" s="21"/>
      <c r="I307" s="21"/>
      <c r="J307" s="45"/>
      <c r="K307" s="45"/>
      <c r="L307" s="45"/>
      <c r="M307" s="45"/>
      <c r="N307" s="45"/>
      <c r="O307" s="21"/>
      <c r="P307" s="21"/>
      <c r="Q307" s="21"/>
      <c r="R307" s="25" t="str">
        <f t="shared" ref="R307:R370" si="5">IF(COUNTIF($A$17:$A$2010,$A307)&gt;1,"Possible Duplicate","")</f>
        <v/>
      </c>
    </row>
    <row r="308" spans="1:18" ht="33.6" customHeight="1">
      <c r="A308" s="28"/>
      <c r="B308" s="48"/>
      <c r="C308" s="48"/>
      <c r="D308" s="21"/>
      <c r="E308" s="21"/>
      <c r="F308" s="21"/>
      <c r="G308" s="21"/>
      <c r="H308" s="21"/>
      <c r="I308" s="21"/>
      <c r="J308" s="45"/>
      <c r="K308" s="45"/>
      <c r="L308" s="45"/>
      <c r="M308" s="45"/>
      <c r="N308" s="45"/>
      <c r="O308" s="21"/>
      <c r="P308" s="21"/>
      <c r="Q308" s="21"/>
      <c r="R308" s="25" t="str">
        <f t="shared" si="5"/>
        <v/>
      </c>
    </row>
    <row r="309" spans="1:18" ht="33.6" customHeight="1">
      <c r="A309" s="28"/>
      <c r="B309" s="48"/>
      <c r="C309" s="48"/>
      <c r="D309" s="21"/>
      <c r="E309" s="21"/>
      <c r="F309" s="21"/>
      <c r="G309" s="21"/>
      <c r="H309" s="21"/>
      <c r="I309" s="21"/>
      <c r="J309" s="45"/>
      <c r="K309" s="45"/>
      <c r="L309" s="45"/>
      <c r="M309" s="45"/>
      <c r="N309" s="45"/>
      <c r="O309" s="21"/>
      <c r="P309" s="21"/>
      <c r="Q309" s="21"/>
      <c r="R309" s="25" t="str">
        <f t="shared" si="5"/>
        <v/>
      </c>
    </row>
    <row r="310" spans="1:18" ht="33.6" customHeight="1">
      <c r="A310" s="28"/>
      <c r="B310" s="48"/>
      <c r="C310" s="48"/>
      <c r="D310" s="21"/>
      <c r="E310" s="21"/>
      <c r="F310" s="21"/>
      <c r="G310" s="21"/>
      <c r="H310" s="21"/>
      <c r="I310" s="21"/>
      <c r="J310" s="45"/>
      <c r="K310" s="45"/>
      <c r="L310" s="45"/>
      <c r="M310" s="45"/>
      <c r="N310" s="45"/>
      <c r="O310" s="21"/>
      <c r="P310" s="21"/>
      <c r="Q310" s="21"/>
      <c r="R310" s="25" t="str">
        <f t="shared" si="5"/>
        <v/>
      </c>
    </row>
    <row r="311" spans="1:18" ht="33.6" customHeight="1">
      <c r="A311" s="28"/>
      <c r="B311" s="48"/>
      <c r="C311" s="48"/>
      <c r="D311" s="21"/>
      <c r="E311" s="21"/>
      <c r="F311" s="21"/>
      <c r="G311" s="21"/>
      <c r="H311" s="21"/>
      <c r="I311" s="21"/>
      <c r="J311" s="45"/>
      <c r="K311" s="45"/>
      <c r="L311" s="45"/>
      <c r="M311" s="45"/>
      <c r="N311" s="45"/>
      <c r="O311" s="21"/>
      <c r="P311" s="21"/>
      <c r="Q311" s="21"/>
      <c r="R311" s="25" t="str">
        <f t="shared" si="5"/>
        <v/>
      </c>
    </row>
    <row r="312" spans="1:18" ht="33.6" customHeight="1">
      <c r="A312" s="28"/>
      <c r="B312" s="48"/>
      <c r="C312" s="48"/>
      <c r="D312" s="21"/>
      <c r="E312" s="21"/>
      <c r="F312" s="21"/>
      <c r="G312" s="21"/>
      <c r="H312" s="21"/>
      <c r="I312" s="21"/>
      <c r="J312" s="45"/>
      <c r="K312" s="45"/>
      <c r="L312" s="45"/>
      <c r="M312" s="45"/>
      <c r="N312" s="45"/>
      <c r="O312" s="21"/>
      <c r="P312" s="21"/>
      <c r="Q312" s="21"/>
      <c r="R312" s="25" t="str">
        <f t="shared" si="5"/>
        <v/>
      </c>
    </row>
    <row r="313" spans="1:18" ht="33.6" customHeight="1">
      <c r="A313" s="28"/>
      <c r="B313" s="48"/>
      <c r="C313" s="48"/>
      <c r="D313" s="21"/>
      <c r="E313" s="21"/>
      <c r="F313" s="21"/>
      <c r="G313" s="21"/>
      <c r="H313" s="21"/>
      <c r="I313" s="21"/>
      <c r="J313" s="45"/>
      <c r="K313" s="45"/>
      <c r="L313" s="45"/>
      <c r="M313" s="45"/>
      <c r="N313" s="45"/>
      <c r="O313" s="21"/>
      <c r="P313" s="21"/>
      <c r="Q313" s="21"/>
      <c r="R313" s="25" t="str">
        <f t="shared" si="5"/>
        <v/>
      </c>
    </row>
    <row r="314" spans="1:18" ht="33.6" customHeight="1">
      <c r="A314" s="28"/>
      <c r="B314" s="48"/>
      <c r="C314" s="48"/>
      <c r="D314" s="21"/>
      <c r="E314" s="21"/>
      <c r="F314" s="21"/>
      <c r="G314" s="21"/>
      <c r="H314" s="21"/>
      <c r="I314" s="21"/>
      <c r="J314" s="45"/>
      <c r="K314" s="45"/>
      <c r="L314" s="45"/>
      <c r="M314" s="45"/>
      <c r="N314" s="45"/>
      <c r="O314" s="21"/>
      <c r="P314" s="21"/>
      <c r="Q314" s="21"/>
      <c r="R314" s="25" t="str">
        <f t="shared" si="5"/>
        <v/>
      </c>
    </row>
    <row r="315" spans="1:18" ht="33.6" customHeight="1">
      <c r="A315" s="28"/>
      <c r="B315" s="48"/>
      <c r="C315" s="48"/>
      <c r="D315" s="21"/>
      <c r="E315" s="21"/>
      <c r="F315" s="21"/>
      <c r="G315" s="21"/>
      <c r="H315" s="21"/>
      <c r="I315" s="21"/>
      <c r="J315" s="45"/>
      <c r="K315" s="45"/>
      <c r="L315" s="45"/>
      <c r="M315" s="45"/>
      <c r="N315" s="45"/>
      <c r="O315" s="21"/>
      <c r="P315" s="21"/>
      <c r="Q315" s="21"/>
      <c r="R315" s="25" t="str">
        <f t="shared" si="5"/>
        <v/>
      </c>
    </row>
    <row r="316" spans="1:18" ht="33.6" customHeight="1">
      <c r="A316" s="28"/>
      <c r="B316" s="48"/>
      <c r="C316" s="48"/>
      <c r="D316" s="21"/>
      <c r="E316" s="21"/>
      <c r="F316" s="21"/>
      <c r="G316" s="21"/>
      <c r="H316" s="21"/>
      <c r="I316" s="21"/>
      <c r="J316" s="45"/>
      <c r="K316" s="45"/>
      <c r="L316" s="45"/>
      <c r="M316" s="45"/>
      <c r="N316" s="45"/>
      <c r="O316" s="21"/>
      <c r="P316" s="21"/>
      <c r="Q316" s="21"/>
      <c r="R316" s="25" t="str">
        <f t="shared" si="5"/>
        <v/>
      </c>
    </row>
    <row r="317" spans="1:18" ht="33.6" customHeight="1">
      <c r="A317" s="28"/>
      <c r="B317" s="48"/>
      <c r="C317" s="48"/>
      <c r="D317" s="21"/>
      <c r="E317" s="21"/>
      <c r="F317" s="21"/>
      <c r="G317" s="21"/>
      <c r="H317" s="21"/>
      <c r="I317" s="21"/>
      <c r="J317" s="45"/>
      <c r="K317" s="45"/>
      <c r="L317" s="45"/>
      <c r="M317" s="45"/>
      <c r="N317" s="45"/>
      <c r="O317" s="21"/>
      <c r="P317" s="21"/>
      <c r="Q317" s="21"/>
      <c r="R317" s="25" t="str">
        <f t="shared" si="5"/>
        <v/>
      </c>
    </row>
    <row r="318" spans="1:18" ht="33.6" customHeight="1">
      <c r="A318" s="28"/>
      <c r="B318" s="48"/>
      <c r="C318" s="48"/>
      <c r="D318" s="21"/>
      <c r="E318" s="21"/>
      <c r="F318" s="21"/>
      <c r="G318" s="21"/>
      <c r="H318" s="21"/>
      <c r="I318" s="21"/>
      <c r="J318" s="45"/>
      <c r="K318" s="45"/>
      <c r="L318" s="45"/>
      <c r="M318" s="45"/>
      <c r="N318" s="45"/>
      <c r="O318" s="21"/>
      <c r="P318" s="21"/>
      <c r="Q318" s="21"/>
      <c r="R318" s="25" t="str">
        <f t="shared" si="5"/>
        <v/>
      </c>
    </row>
    <row r="319" spans="1:18" ht="33.6" customHeight="1">
      <c r="A319" s="28"/>
      <c r="B319" s="48"/>
      <c r="C319" s="48"/>
      <c r="D319" s="21"/>
      <c r="E319" s="21"/>
      <c r="F319" s="21"/>
      <c r="G319" s="21"/>
      <c r="H319" s="21"/>
      <c r="I319" s="21"/>
      <c r="J319" s="45"/>
      <c r="K319" s="45"/>
      <c r="L319" s="45"/>
      <c r="M319" s="45"/>
      <c r="N319" s="45"/>
      <c r="O319" s="21"/>
      <c r="P319" s="21"/>
      <c r="Q319" s="21"/>
      <c r="R319" s="25" t="str">
        <f t="shared" si="5"/>
        <v/>
      </c>
    </row>
    <row r="320" spans="1:18" ht="33.6" customHeight="1">
      <c r="A320" s="28"/>
      <c r="B320" s="48"/>
      <c r="C320" s="48"/>
      <c r="D320" s="21"/>
      <c r="E320" s="21"/>
      <c r="F320" s="21"/>
      <c r="G320" s="21"/>
      <c r="H320" s="21"/>
      <c r="I320" s="21"/>
      <c r="J320" s="45"/>
      <c r="K320" s="45"/>
      <c r="L320" s="45"/>
      <c r="M320" s="45"/>
      <c r="N320" s="45"/>
      <c r="O320" s="21"/>
      <c r="P320" s="21"/>
      <c r="Q320" s="21"/>
      <c r="R320" s="25" t="str">
        <f t="shared" si="5"/>
        <v/>
      </c>
    </row>
    <row r="321" spans="1:18" ht="33.6" customHeight="1">
      <c r="A321" s="28"/>
      <c r="B321" s="48"/>
      <c r="C321" s="48"/>
      <c r="D321" s="21"/>
      <c r="E321" s="21"/>
      <c r="F321" s="21"/>
      <c r="G321" s="21"/>
      <c r="H321" s="21"/>
      <c r="I321" s="21"/>
      <c r="J321" s="45"/>
      <c r="K321" s="45"/>
      <c r="L321" s="45"/>
      <c r="M321" s="45"/>
      <c r="N321" s="45"/>
      <c r="O321" s="21"/>
      <c r="P321" s="21"/>
      <c r="Q321" s="21"/>
      <c r="R321" s="25" t="str">
        <f t="shared" si="5"/>
        <v/>
      </c>
    </row>
    <row r="322" spans="1:18" ht="33.6" customHeight="1">
      <c r="A322" s="28"/>
      <c r="B322" s="48"/>
      <c r="C322" s="48"/>
      <c r="D322" s="21"/>
      <c r="E322" s="21"/>
      <c r="F322" s="21"/>
      <c r="G322" s="21"/>
      <c r="H322" s="21"/>
      <c r="I322" s="21"/>
      <c r="J322" s="45"/>
      <c r="K322" s="45"/>
      <c r="L322" s="45"/>
      <c r="M322" s="45"/>
      <c r="N322" s="45"/>
      <c r="O322" s="21"/>
      <c r="P322" s="21"/>
      <c r="Q322" s="21"/>
      <c r="R322" s="25" t="str">
        <f t="shared" si="5"/>
        <v/>
      </c>
    </row>
    <row r="323" spans="1:18" ht="33.6" customHeight="1">
      <c r="A323" s="28"/>
      <c r="B323" s="48"/>
      <c r="C323" s="48"/>
      <c r="D323" s="21"/>
      <c r="E323" s="21"/>
      <c r="F323" s="21"/>
      <c r="G323" s="21"/>
      <c r="H323" s="21"/>
      <c r="I323" s="21"/>
      <c r="J323" s="45"/>
      <c r="K323" s="45"/>
      <c r="L323" s="45"/>
      <c r="M323" s="45"/>
      <c r="N323" s="45"/>
      <c r="O323" s="21"/>
      <c r="P323" s="21"/>
      <c r="Q323" s="21"/>
      <c r="R323" s="25" t="str">
        <f t="shared" si="5"/>
        <v/>
      </c>
    </row>
    <row r="324" spans="1:18" ht="33.6" customHeight="1">
      <c r="A324" s="28"/>
      <c r="B324" s="48"/>
      <c r="C324" s="48"/>
      <c r="D324" s="21"/>
      <c r="E324" s="21"/>
      <c r="F324" s="21"/>
      <c r="G324" s="21"/>
      <c r="H324" s="21"/>
      <c r="I324" s="21"/>
      <c r="J324" s="45"/>
      <c r="K324" s="45"/>
      <c r="L324" s="45"/>
      <c r="M324" s="45"/>
      <c r="N324" s="45"/>
      <c r="O324" s="21"/>
      <c r="P324" s="21"/>
      <c r="Q324" s="21"/>
      <c r="R324" s="25" t="str">
        <f t="shared" si="5"/>
        <v/>
      </c>
    </row>
    <row r="325" spans="1:18" ht="33.6" customHeight="1">
      <c r="A325" s="28"/>
      <c r="B325" s="48"/>
      <c r="C325" s="48"/>
      <c r="D325" s="21"/>
      <c r="E325" s="21"/>
      <c r="F325" s="21"/>
      <c r="G325" s="21"/>
      <c r="H325" s="21"/>
      <c r="I325" s="21"/>
      <c r="J325" s="45"/>
      <c r="K325" s="45"/>
      <c r="L325" s="45"/>
      <c r="M325" s="45"/>
      <c r="N325" s="45"/>
      <c r="O325" s="21"/>
      <c r="P325" s="21"/>
      <c r="Q325" s="21"/>
      <c r="R325" s="25" t="str">
        <f t="shared" si="5"/>
        <v/>
      </c>
    </row>
    <row r="326" spans="1:18" ht="33.6" customHeight="1">
      <c r="A326" s="28"/>
      <c r="B326" s="48"/>
      <c r="C326" s="48"/>
      <c r="D326" s="21"/>
      <c r="E326" s="21"/>
      <c r="F326" s="21"/>
      <c r="G326" s="21"/>
      <c r="H326" s="21"/>
      <c r="I326" s="21"/>
      <c r="J326" s="45"/>
      <c r="K326" s="45"/>
      <c r="L326" s="45"/>
      <c r="M326" s="45"/>
      <c r="N326" s="45"/>
      <c r="O326" s="21"/>
      <c r="P326" s="21"/>
      <c r="Q326" s="21"/>
      <c r="R326" s="25" t="str">
        <f t="shared" si="5"/>
        <v/>
      </c>
    </row>
    <row r="327" spans="1:18" ht="33.6" customHeight="1">
      <c r="A327" s="28"/>
      <c r="B327" s="48"/>
      <c r="C327" s="48"/>
      <c r="D327" s="21"/>
      <c r="E327" s="21"/>
      <c r="F327" s="21"/>
      <c r="G327" s="21"/>
      <c r="H327" s="21"/>
      <c r="I327" s="21"/>
      <c r="J327" s="45"/>
      <c r="K327" s="45"/>
      <c r="L327" s="45"/>
      <c r="M327" s="45"/>
      <c r="N327" s="45"/>
      <c r="O327" s="21"/>
      <c r="P327" s="21"/>
      <c r="Q327" s="21"/>
      <c r="R327" s="25" t="str">
        <f t="shared" si="5"/>
        <v/>
      </c>
    </row>
    <row r="328" spans="1:18" ht="33.6" customHeight="1">
      <c r="A328" s="28"/>
      <c r="B328" s="48"/>
      <c r="C328" s="48"/>
      <c r="D328" s="21"/>
      <c r="E328" s="21"/>
      <c r="F328" s="21"/>
      <c r="G328" s="21"/>
      <c r="H328" s="21"/>
      <c r="I328" s="21"/>
      <c r="J328" s="45"/>
      <c r="K328" s="45"/>
      <c r="L328" s="45"/>
      <c r="M328" s="45"/>
      <c r="N328" s="45"/>
      <c r="O328" s="21"/>
      <c r="P328" s="21"/>
      <c r="Q328" s="21"/>
      <c r="R328" s="25" t="str">
        <f t="shared" si="5"/>
        <v/>
      </c>
    </row>
    <row r="329" spans="1:18" ht="33.6" customHeight="1">
      <c r="A329" s="28"/>
      <c r="B329" s="48"/>
      <c r="C329" s="48"/>
      <c r="D329" s="21"/>
      <c r="E329" s="21"/>
      <c r="F329" s="21"/>
      <c r="G329" s="21"/>
      <c r="H329" s="21"/>
      <c r="I329" s="21"/>
      <c r="J329" s="45"/>
      <c r="K329" s="45"/>
      <c r="L329" s="45"/>
      <c r="M329" s="45"/>
      <c r="N329" s="45"/>
      <c r="O329" s="21"/>
      <c r="P329" s="21"/>
      <c r="Q329" s="21"/>
      <c r="R329" s="25" t="str">
        <f t="shared" si="5"/>
        <v/>
      </c>
    </row>
    <row r="330" spans="1:18" ht="33.6" customHeight="1">
      <c r="A330" s="28"/>
      <c r="B330" s="48"/>
      <c r="C330" s="48"/>
      <c r="D330" s="21"/>
      <c r="E330" s="21"/>
      <c r="F330" s="21"/>
      <c r="G330" s="21"/>
      <c r="H330" s="21"/>
      <c r="I330" s="21"/>
      <c r="J330" s="45"/>
      <c r="K330" s="45"/>
      <c r="L330" s="45"/>
      <c r="M330" s="45"/>
      <c r="N330" s="45"/>
      <c r="O330" s="21"/>
      <c r="P330" s="21"/>
      <c r="Q330" s="21"/>
      <c r="R330" s="25" t="str">
        <f t="shared" si="5"/>
        <v/>
      </c>
    </row>
    <row r="331" spans="1:18" ht="33.6" customHeight="1">
      <c r="A331" s="28"/>
      <c r="B331" s="48"/>
      <c r="C331" s="48"/>
      <c r="D331" s="21"/>
      <c r="E331" s="21"/>
      <c r="F331" s="21"/>
      <c r="G331" s="21"/>
      <c r="H331" s="21"/>
      <c r="I331" s="21"/>
      <c r="J331" s="45"/>
      <c r="K331" s="45"/>
      <c r="L331" s="45"/>
      <c r="M331" s="45"/>
      <c r="N331" s="45"/>
      <c r="O331" s="21"/>
      <c r="P331" s="21"/>
      <c r="Q331" s="21"/>
      <c r="R331" s="25" t="str">
        <f t="shared" si="5"/>
        <v/>
      </c>
    </row>
    <row r="332" spans="1:18" ht="33.6" customHeight="1">
      <c r="A332" s="28"/>
      <c r="B332" s="48"/>
      <c r="C332" s="48"/>
      <c r="D332" s="21"/>
      <c r="E332" s="21"/>
      <c r="F332" s="21"/>
      <c r="G332" s="21"/>
      <c r="H332" s="21"/>
      <c r="I332" s="21"/>
      <c r="J332" s="45"/>
      <c r="K332" s="45"/>
      <c r="L332" s="45"/>
      <c r="M332" s="45"/>
      <c r="N332" s="45"/>
      <c r="O332" s="21"/>
      <c r="P332" s="21"/>
      <c r="Q332" s="21"/>
      <c r="R332" s="25" t="str">
        <f t="shared" si="5"/>
        <v/>
      </c>
    </row>
    <row r="333" spans="1:18" ht="33.6" customHeight="1">
      <c r="A333" s="28"/>
      <c r="B333" s="48"/>
      <c r="C333" s="48"/>
      <c r="D333" s="21"/>
      <c r="E333" s="21"/>
      <c r="F333" s="21"/>
      <c r="G333" s="21"/>
      <c r="H333" s="21"/>
      <c r="I333" s="21"/>
      <c r="J333" s="45"/>
      <c r="K333" s="45"/>
      <c r="L333" s="45"/>
      <c r="M333" s="45"/>
      <c r="N333" s="45"/>
      <c r="O333" s="21"/>
      <c r="P333" s="21"/>
      <c r="Q333" s="21"/>
      <c r="R333" s="25" t="str">
        <f t="shared" si="5"/>
        <v/>
      </c>
    </row>
    <row r="334" spans="1:18" ht="33.6" customHeight="1">
      <c r="A334" s="28"/>
      <c r="B334" s="48"/>
      <c r="C334" s="48"/>
      <c r="D334" s="21"/>
      <c r="E334" s="21"/>
      <c r="F334" s="21"/>
      <c r="G334" s="21"/>
      <c r="H334" s="21"/>
      <c r="I334" s="21"/>
      <c r="J334" s="45"/>
      <c r="K334" s="45"/>
      <c r="L334" s="45"/>
      <c r="M334" s="45"/>
      <c r="N334" s="45"/>
      <c r="O334" s="21"/>
      <c r="P334" s="21"/>
      <c r="Q334" s="21"/>
      <c r="R334" s="25" t="str">
        <f t="shared" si="5"/>
        <v/>
      </c>
    </row>
    <row r="335" spans="1:18" ht="33.6" customHeight="1">
      <c r="A335" s="28"/>
      <c r="B335" s="48"/>
      <c r="C335" s="48"/>
      <c r="D335" s="21"/>
      <c r="E335" s="21"/>
      <c r="F335" s="21"/>
      <c r="G335" s="21"/>
      <c r="H335" s="21"/>
      <c r="I335" s="21"/>
      <c r="J335" s="45"/>
      <c r="K335" s="45"/>
      <c r="L335" s="45"/>
      <c r="M335" s="45"/>
      <c r="N335" s="45"/>
      <c r="O335" s="21"/>
      <c r="P335" s="21"/>
      <c r="Q335" s="21"/>
      <c r="R335" s="25" t="str">
        <f t="shared" si="5"/>
        <v/>
      </c>
    </row>
    <row r="336" spans="1:18" ht="33.6" customHeight="1">
      <c r="A336" s="28"/>
      <c r="B336" s="48"/>
      <c r="C336" s="48"/>
      <c r="D336" s="21"/>
      <c r="E336" s="21"/>
      <c r="F336" s="21"/>
      <c r="G336" s="21"/>
      <c r="H336" s="21"/>
      <c r="I336" s="21"/>
      <c r="J336" s="45"/>
      <c r="K336" s="45"/>
      <c r="L336" s="45"/>
      <c r="M336" s="45"/>
      <c r="N336" s="45"/>
      <c r="O336" s="21"/>
      <c r="P336" s="21"/>
      <c r="Q336" s="21"/>
      <c r="R336" s="25" t="str">
        <f t="shared" si="5"/>
        <v/>
      </c>
    </row>
    <row r="337" spans="1:18" ht="33.6" customHeight="1">
      <c r="A337" s="28"/>
      <c r="B337" s="48"/>
      <c r="C337" s="48"/>
      <c r="D337" s="21"/>
      <c r="E337" s="21"/>
      <c r="F337" s="21"/>
      <c r="G337" s="21"/>
      <c r="H337" s="21"/>
      <c r="I337" s="21"/>
      <c r="J337" s="45"/>
      <c r="K337" s="45"/>
      <c r="L337" s="45"/>
      <c r="M337" s="45"/>
      <c r="N337" s="45"/>
      <c r="O337" s="21"/>
      <c r="P337" s="21"/>
      <c r="Q337" s="21"/>
      <c r="R337" s="25" t="str">
        <f t="shared" si="5"/>
        <v/>
      </c>
    </row>
    <row r="338" spans="1:18" ht="33.6" customHeight="1">
      <c r="A338" s="28"/>
      <c r="B338" s="48"/>
      <c r="C338" s="48"/>
      <c r="D338" s="21"/>
      <c r="E338" s="21"/>
      <c r="F338" s="21"/>
      <c r="G338" s="21"/>
      <c r="H338" s="21"/>
      <c r="I338" s="21"/>
      <c r="J338" s="45"/>
      <c r="K338" s="45"/>
      <c r="L338" s="45"/>
      <c r="M338" s="45"/>
      <c r="N338" s="45"/>
      <c r="O338" s="21"/>
      <c r="P338" s="21"/>
      <c r="Q338" s="21"/>
      <c r="R338" s="25" t="str">
        <f t="shared" si="5"/>
        <v/>
      </c>
    </row>
    <row r="339" spans="1:18" ht="33.6" customHeight="1">
      <c r="A339" s="28"/>
      <c r="B339" s="48"/>
      <c r="C339" s="48"/>
      <c r="D339" s="21"/>
      <c r="E339" s="21"/>
      <c r="F339" s="21"/>
      <c r="G339" s="21"/>
      <c r="H339" s="21"/>
      <c r="I339" s="21"/>
      <c r="J339" s="45"/>
      <c r="K339" s="45"/>
      <c r="L339" s="45"/>
      <c r="M339" s="45"/>
      <c r="N339" s="45"/>
      <c r="O339" s="21"/>
      <c r="P339" s="21"/>
      <c r="Q339" s="21"/>
      <c r="R339" s="25" t="str">
        <f t="shared" si="5"/>
        <v/>
      </c>
    </row>
    <row r="340" spans="1:18" ht="33.6" customHeight="1">
      <c r="A340" s="28"/>
      <c r="B340" s="48"/>
      <c r="C340" s="48"/>
      <c r="D340" s="21"/>
      <c r="E340" s="21"/>
      <c r="F340" s="21"/>
      <c r="G340" s="21"/>
      <c r="H340" s="21"/>
      <c r="I340" s="21"/>
      <c r="J340" s="45"/>
      <c r="K340" s="45"/>
      <c r="L340" s="45"/>
      <c r="M340" s="45"/>
      <c r="N340" s="45"/>
      <c r="O340" s="21"/>
      <c r="P340" s="21"/>
      <c r="Q340" s="21"/>
      <c r="R340" s="25" t="str">
        <f t="shared" si="5"/>
        <v/>
      </c>
    </row>
    <row r="341" spans="1:18" ht="33.6" customHeight="1">
      <c r="A341" s="28"/>
      <c r="B341" s="48"/>
      <c r="C341" s="48"/>
      <c r="D341" s="21"/>
      <c r="E341" s="21"/>
      <c r="F341" s="21"/>
      <c r="G341" s="21"/>
      <c r="H341" s="21"/>
      <c r="I341" s="21"/>
      <c r="J341" s="45"/>
      <c r="K341" s="45"/>
      <c r="L341" s="45"/>
      <c r="M341" s="45"/>
      <c r="N341" s="45"/>
      <c r="O341" s="21"/>
      <c r="P341" s="21"/>
      <c r="Q341" s="21"/>
      <c r="R341" s="25" t="str">
        <f t="shared" si="5"/>
        <v/>
      </c>
    </row>
    <row r="342" spans="1:18" ht="33.6" customHeight="1">
      <c r="A342" s="28"/>
      <c r="B342" s="48"/>
      <c r="C342" s="48"/>
      <c r="D342" s="21"/>
      <c r="E342" s="21"/>
      <c r="F342" s="21"/>
      <c r="G342" s="21"/>
      <c r="H342" s="21"/>
      <c r="I342" s="21"/>
      <c r="J342" s="45"/>
      <c r="K342" s="45"/>
      <c r="L342" s="45"/>
      <c r="M342" s="45"/>
      <c r="N342" s="45"/>
      <c r="O342" s="21"/>
      <c r="P342" s="21"/>
      <c r="Q342" s="21"/>
      <c r="R342" s="25" t="str">
        <f t="shared" si="5"/>
        <v/>
      </c>
    </row>
    <row r="343" spans="1:18" ht="33.6" customHeight="1">
      <c r="A343" s="28"/>
      <c r="B343" s="48"/>
      <c r="C343" s="48"/>
      <c r="D343" s="21"/>
      <c r="E343" s="21"/>
      <c r="F343" s="21"/>
      <c r="G343" s="21"/>
      <c r="H343" s="21"/>
      <c r="I343" s="21"/>
      <c r="J343" s="45"/>
      <c r="K343" s="45"/>
      <c r="L343" s="45"/>
      <c r="M343" s="45"/>
      <c r="N343" s="45"/>
      <c r="O343" s="21"/>
      <c r="P343" s="21"/>
      <c r="Q343" s="21"/>
      <c r="R343" s="25" t="str">
        <f t="shared" si="5"/>
        <v/>
      </c>
    </row>
    <row r="344" spans="1:18" ht="33.6" customHeight="1">
      <c r="A344" s="28"/>
      <c r="B344" s="48"/>
      <c r="C344" s="48"/>
      <c r="D344" s="21"/>
      <c r="E344" s="21"/>
      <c r="F344" s="21"/>
      <c r="G344" s="21"/>
      <c r="H344" s="21"/>
      <c r="I344" s="21"/>
      <c r="J344" s="45"/>
      <c r="K344" s="45"/>
      <c r="L344" s="45"/>
      <c r="M344" s="45"/>
      <c r="N344" s="45"/>
      <c r="O344" s="21"/>
      <c r="P344" s="21"/>
      <c r="Q344" s="21"/>
      <c r="R344" s="25" t="str">
        <f t="shared" si="5"/>
        <v/>
      </c>
    </row>
    <row r="345" spans="1:18" ht="33.6" customHeight="1">
      <c r="A345" s="28"/>
      <c r="B345" s="48"/>
      <c r="C345" s="48"/>
      <c r="D345" s="21"/>
      <c r="E345" s="21"/>
      <c r="F345" s="21"/>
      <c r="G345" s="21"/>
      <c r="H345" s="21"/>
      <c r="I345" s="21"/>
      <c r="J345" s="45"/>
      <c r="K345" s="45"/>
      <c r="L345" s="45"/>
      <c r="M345" s="45"/>
      <c r="N345" s="45"/>
      <c r="O345" s="21"/>
      <c r="P345" s="21"/>
      <c r="Q345" s="21"/>
      <c r="R345" s="25" t="str">
        <f t="shared" si="5"/>
        <v/>
      </c>
    </row>
    <row r="346" spans="1:18" ht="33.6" customHeight="1">
      <c r="A346" s="28"/>
      <c r="B346" s="48"/>
      <c r="C346" s="48"/>
      <c r="D346" s="21"/>
      <c r="E346" s="21"/>
      <c r="F346" s="21"/>
      <c r="G346" s="21"/>
      <c r="H346" s="21"/>
      <c r="I346" s="21"/>
      <c r="J346" s="45"/>
      <c r="K346" s="45"/>
      <c r="L346" s="45"/>
      <c r="M346" s="45"/>
      <c r="N346" s="45"/>
      <c r="O346" s="21"/>
      <c r="P346" s="21"/>
      <c r="Q346" s="21"/>
      <c r="R346" s="25" t="str">
        <f t="shared" si="5"/>
        <v/>
      </c>
    </row>
    <row r="347" spans="1:18" ht="33.6" customHeight="1">
      <c r="A347" s="28"/>
      <c r="B347" s="48"/>
      <c r="C347" s="48"/>
      <c r="D347" s="21"/>
      <c r="E347" s="21"/>
      <c r="F347" s="21"/>
      <c r="G347" s="21"/>
      <c r="H347" s="21"/>
      <c r="I347" s="21"/>
      <c r="J347" s="45"/>
      <c r="K347" s="45"/>
      <c r="L347" s="45"/>
      <c r="M347" s="45"/>
      <c r="N347" s="45"/>
      <c r="O347" s="21"/>
      <c r="P347" s="21"/>
      <c r="Q347" s="21"/>
      <c r="R347" s="25" t="str">
        <f t="shared" si="5"/>
        <v/>
      </c>
    </row>
    <row r="348" spans="1:18" ht="33.6" customHeight="1">
      <c r="A348" s="28"/>
      <c r="B348" s="48"/>
      <c r="C348" s="48"/>
      <c r="D348" s="21"/>
      <c r="E348" s="21"/>
      <c r="F348" s="21"/>
      <c r="G348" s="21"/>
      <c r="H348" s="21"/>
      <c r="I348" s="21"/>
      <c r="J348" s="45"/>
      <c r="K348" s="45"/>
      <c r="L348" s="45"/>
      <c r="M348" s="45"/>
      <c r="N348" s="45"/>
      <c r="O348" s="21"/>
      <c r="P348" s="21"/>
      <c r="Q348" s="21"/>
      <c r="R348" s="25" t="str">
        <f t="shared" si="5"/>
        <v/>
      </c>
    </row>
    <row r="349" spans="1:18" ht="33.6" customHeight="1">
      <c r="A349" s="28"/>
      <c r="B349" s="48"/>
      <c r="C349" s="48"/>
      <c r="D349" s="21"/>
      <c r="E349" s="21"/>
      <c r="F349" s="21"/>
      <c r="G349" s="21"/>
      <c r="H349" s="21"/>
      <c r="I349" s="21"/>
      <c r="J349" s="45"/>
      <c r="K349" s="45"/>
      <c r="L349" s="45"/>
      <c r="M349" s="45"/>
      <c r="N349" s="45"/>
      <c r="O349" s="21"/>
      <c r="P349" s="21"/>
      <c r="Q349" s="21"/>
      <c r="R349" s="25" t="str">
        <f t="shared" si="5"/>
        <v/>
      </c>
    </row>
    <row r="350" spans="1:18" ht="33.6" customHeight="1">
      <c r="A350" s="28"/>
      <c r="B350" s="48"/>
      <c r="C350" s="48"/>
      <c r="D350" s="21"/>
      <c r="E350" s="21"/>
      <c r="F350" s="21"/>
      <c r="G350" s="21"/>
      <c r="H350" s="21"/>
      <c r="I350" s="21"/>
      <c r="J350" s="45"/>
      <c r="K350" s="45"/>
      <c r="L350" s="45"/>
      <c r="M350" s="45"/>
      <c r="N350" s="45"/>
      <c r="O350" s="21"/>
      <c r="P350" s="21"/>
      <c r="Q350" s="21"/>
      <c r="R350" s="25" t="str">
        <f t="shared" si="5"/>
        <v/>
      </c>
    </row>
    <row r="351" spans="1:18" ht="33.6" customHeight="1">
      <c r="A351" s="28"/>
      <c r="B351" s="48"/>
      <c r="C351" s="48"/>
      <c r="D351" s="21"/>
      <c r="E351" s="21"/>
      <c r="F351" s="21"/>
      <c r="G351" s="21"/>
      <c r="H351" s="21"/>
      <c r="I351" s="21"/>
      <c r="J351" s="45"/>
      <c r="K351" s="45"/>
      <c r="L351" s="45"/>
      <c r="M351" s="45"/>
      <c r="N351" s="45"/>
      <c r="O351" s="21"/>
      <c r="P351" s="21"/>
      <c r="Q351" s="21"/>
      <c r="R351" s="25" t="str">
        <f t="shared" si="5"/>
        <v/>
      </c>
    </row>
    <row r="352" spans="1:18" ht="33.6" customHeight="1">
      <c r="A352" s="28"/>
      <c r="B352" s="48"/>
      <c r="C352" s="48"/>
      <c r="D352" s="21"/>
      <c r="E352" s="21"/>
      <c r="F352" s="21"/>
      <c r="G352" s="21"/>
      <c r="H352" s="21"/>
      <c r="I352" s="21"/>
      <c r="J352" s="45"/>
      <c r="K352" s="45"/>
      <c r="L352" s="45"/>
      <c r="M352" s="45"/>
      <c r="N352" s="45"/>
      <c r="O352" s="21"/>
      <c r="P352" s="21"/>
      <c r="Q352" s="21"/>
      <c r="R352" s="25" t="str">
        <f t="shared" si="5"/>
        <v/>
      </c>
    </row>
    <row r="353" spans="1:18" ht="33.6" customHeight="1">
      <c r="A353" s="28"/>
      <c r="B353" s="48"/>
      <c r="C353" s="48"/>
      <c r="D353" s="21"/>
      <c r="E353" s="21"/>
      <c r="F353" s="21"/>
      <c r="G353" s="21"/>
      <c r="H353" s="21"/>
      <c r="I353" s="21"/>
      <c r="J353" s="45"/>
      <c r="K353" s="45"/>
      <c r="L353" s="45"/>
      <c r="M353" s="45"/>
      <c r="N353" s="45"/>
      <c r="O353" s="21"/>
      <c r="P353" s="21"/>
      <c r="Q353" s="21"/>
      <c r="R353" s="25" t="str">
        <f t="shared" si="5"/>
        <v/>
      </c>
    </row>
    <row r="354" spans="1:18" ht="33.6" customHeight="1">
      <c r="A354" s="28"/>
      <c r="B354" s="48"/>
      <c r="C354" s="48"/>
      <c r="D354" s="21"/>
      <c r="E354" s="21"/>
      <c r="F354" s="21"/>
      <c r="G354" s="21"/>
      <c r="H354" s="21"/>
      <c r="I354" s="21"/>
      <c r="J354" s="45"/>
      <c r="K354" s="45"/>
      <c r="L354" s="45"/>
      <c r="M354" s="45"/>
      <c r="N354" s="45"/>
      <c r="O354" s="21"/>
      <c r="P354" s="21"/>
      <c r="Q354" s="21"/>
      <c r="R354" s="25" t="str">
        <f t="shared" si="5"/>
        <v/>
      </c>
    </row>
    <row r="355" spans="1:18" ht="33.6" customHeight="1">
      <c r="A355" s="28"/>
      <c r="B355" s="48"/>
      <c r="C355" s="48"/>
      <c r="D355" s="21"/>
      <c r="E355" s="21"/>
      <c r="F355" s="21"/>
      <c r="G355" s="21"/>
      <c r="H355" s="21"/>
      <c r="I355" s="21"/>
      <c r="J355" s="45"/>
      <c r="K355" s="45"/>
      <c r="L355" s="45"/>
      <c r="M355" s="45"/>
      <c r="N355" s="45"/>
      <c r="O355" s="21"/>
      <c r="P355" s="21"/>
      <c r="Q355" s="21"/>
      <c r="R355" s="25" t="str">
        <f t="shared" si="5"/>
        <v/>
      </c>
    </row>
    <row r="356" spans="1:18" ht="33.6" customHeight="1">
      <c r="A356" s="28"/>
      <c r="B356" s="48"/>
      <c r="C356" s="48"/>
      <c r="D356" s="21"/>
      <c r="E356" s="21"/>
      <c r="F356" s="21"/>
      <c r="G356" s="21"/>
      <c r="H356" s="21"/>
      <c r="I356" s="21"/>
      <c r="J356" s="45"/>
      <c r="K356" s="45"/>
      <c r="L356" s="45"/>
      <c r="M356" s="45"/>
      <c r="N356" s="45"/>
      <c r="O356" s="21"/>
      <c r="P356" s="21"/>
      <c r="Q356" s="21"/>
      <c r="R356" s="25" t="str">
        <f t="shared" si="5"/>
        <v/>
      </c>
    </row>
    <row r="357" spans="1:18" ht="33.6" customHeight="1">
      <c r="A357" s="28"/>
      <c r="B357" s="48"/>
      <c r="C357" s="48"/>
      <c r="D357" s="21"/>
      <c r="E357" s="21"/>
      <c r="F357" s="21"/>
      <c r="G357" s="21"/>
      <c r="H357" s="21"/>
      <c r="I357" s="21"/>
      <c r="J357" s="45"/>
      <c r="K357" s="45"/>
      <c r="L357" s="45"/>
      <c r="M357" s="45"/>
      <c r="N357" s="45"/>
      <c r="O357" s="21"/>
      <c r="P357" s="21"/>
      <c r="Q357" s="21"/>
      <c r="R357" s="25" t="str">
        <f t="shared" si="5"/>
        <v/>
      </c>
    </row>
    <row r="358" spans="1:18" ht="33.6" customHeight="1">
      <c r="A358" s="28"/>
      <c r="B358" s="48"/>
      <c r="C358" s="48"/>
      <c r="D358" s="21"/>
      <c r="E358" s="21"/>
      <c r="F358" s="21"/>
      <c r="G358" s="21"/>
      <c r="H358" s="21"/>
      <c r="I358" s="21"/>
      <c r="J358" s="45"/>
      <c r="K358" s="45"/>
      <c r="L358" s="45"/>
      <c r="M358" s="45"/>
      <c r="N358" s="45"/>
      <c r="O358" s="21"/>
      <c r="P358" s="21"/>
      <c r="Q358" s="21"/>
      <c r="R358" s="25" t="str">
        <f t="shared" si="5"/>
        <v/>
      </c>
    </row>
    <row r="359" spans="1:18" ht="33.6" customHeight="1">
      <c r="A359" s="28"/>
      <c r="B359" s="48"/>
      <c r="C359" s="48"/>
      <c r="D359" s="21"/>
      <c r="E359" s="21"/>
      <c r="F359" s="21"/>
      <c r="G359" s="21"/>
      <c r="H359" s="21"/>
      <c r="I359" s="21"/>
      <c r="J359" s="45"/>
      <c r="K359" s="45"/>
      <c r="L359" s="45"/>
      <c r="M359" s="45"/>
      <c r="N359" s="45"/>
      <c r="O359" s="21"/>
      <c r="P359" s="21"/>
      <c r="Q359" s="21"/>
      <c r="R359" s="25" t="str">
        <f t="shared" si="5"/>
        <v/>
      </c>
    </row>
    <row r="360" spans="1:18" ht="33.6" customHeight="1">
      <c r="A360" s="28"/>
      <c r="B360" s="48"/>
      <c r="C360" s="48"/>
      <c r="D360" s="21"/>
      <c r="E360" s="21"/>
      <c r="F360" s="21"/>
      <c r="G360" s="21"/>
      <c r="H360" s="21"/>
      <c r="I360" s="21"/>
      <c r="J360" s="45"/>
      <c r="K360" s="45"/>
      <c r="L360" s="45"/>
      <c r="M360" s="45"/>
      <c r="N360" s="45"/>
      <c r="O360" s="21"/>
      <c r="P360" s="21"/>
      <c r="Q360" s="21"/>
      <c r="R360" s="25" t="str">
        <f t="shared" si="5"/>
        <v/>
      </c>
    </row>
    <row r="361" spans="1:18" ht="33.6" customHeight="1">
      <c r="A361" s="28"/>
      <c r="B361" s="48"/>
      <c r="C361" s="48"/>
      <c r="D361" s="21"/>
      <c r="E361" s="21"/>
      <c r="F361" s="21"/>
      <c r="G361" s="21"/>
      <c r="H361" s="21"/>
      <c r="I361" s="21"/>
      <c r="J361" s="45"/>
      <c r="K361" s="45"/>
      <c r="L361" s="45"/>
      <c r="M361" s="45"/>
      <c r="N361" s="45"/>
      <c r="O361" s="21"/>
      <c r="P361" s="21"/>
      <c r="Q361" s="21"/>
      <c r="R361" s="25" t="str">
        <f t="shared" si="5"/>
        <v/>
      </c>
    </row>
    <row r="362" spans="1:18" ht="33.6" customHeight="1">
      <c r="A362" s="28"/>
      <c r="B362" s="48"/>
      <c r="C362" s="48"/>
      <c r="D362" s="21"/>
      <c r="E362" s="21"/>
      <c r="F362" s="21"/>
      <c r="G362" s="21"/>
      <c r="H362" s="21"/>
      <c r="I362" s="21"/>
      <c r="J362" s="45"/>
      <c r="K362" s="45"/>
      <c r="L362" s="45"/>
      <c r="M362" s="45"/>
      <c r="N362" s="45"/>
      <c r="O362" s="21"/>
      <c r="P362" s="21"/>
      <c r="Q362" s="21"/>
      <c r="R362" s="25" t="str">
        <f t="shared" si="5"/>
        <v/>
      </c>
    </row>
    <row r="363" spans="1:18" ht="33.6" customHeight="1">
      <c r="A363" s="28"/>
      <c r="B363" s="48"/>
      <c r="C363" s="48"/>
      <c r="D363" s="21"/>
      <c r="E363" s="21"/>
      <c r="F363" s="21"/>
      <c r="G363" s="21"/>
      <c r="H363" s="21"/>
      <c r="I363" s="21"/>
      <c r="J363" s="45"/>
      <c r="K363" s="45"/>
      <c r="L363" s="45"/>
      <c r="M363" s="45"/>
      <c r="N363" s="45"/>
      <c r="O363" s="21"/>
      <c r="P363" s="21"/>
      <c r="Q363" s="21"/>
      <c r="R363" s="25" t="str">
        <f t="shared" si="5"/>
        <v/>
      </c>
    </row>
    <row r="364" spans="1:18" ht="33.6" customHeight="1">
      <c r="A364" s="28"/>
      <c r="B364" s="48"/>
      <c r="C364" s="48"/>
      <c r="D364" s="21"/>
      <c r="E364" s="21"/>
      <c r="F364" s="21"/>
      <c r="G364" s="21"/>
      <c r="H364" s="21"/>
      <c r="I364" s="21"/>
      <c r="J364" s="45"/>
      <c r="K364" s="45"/>
      <c r="L364" s="45"/>
      <c r="M364" s="45"/>
      <c r="N364" s="45"/>
      <c r="O364" s="21"/>
      <c r="P364" s="21"/>
      <c r="Q364" s="21"/>
      <c r="R364" s="25" t="str">
        <f t="shared" si="5"/>
        <v/>
      </c>
    </row>
    <row r="365" spans="1:18" ht="33.6" customHeight="1">
      <c r="A365" s="28"/>
      <c r="B365" s="48"/>
      <c r="C365" s="48"/>
      <c r="D365" s="21"/>
      <c r="E365" s="21"/>
      <c r="F365" s="21"/>
      <c r="G365" s="21"/>
      <c r="H365" s="21"/>
      <c r="I365" s="21"/>
      <c r="J365" s="45"/>
      <c r="K365" s="45"/>
      <c r="L365" s="45"/>
      <c r="M365" s="45"/>
      <c r="N365" s="45"/>
      <c r="O365" s="21"/>
      <c r="P365" s="21"/>
      <c r="Q365" s="21"/>
      <c r="R365" s="25" t="str">
        <f t="shared" si="5"/>
        <v/>
      </c>
    </row>
    <row r="366" spans="1:18" ht="33.6" customHeight="1">
      <c r="A366" s="28"/>
      <c r="B366" s="48"/>
      <c r="C366" s="48"/>
      <c r="D366" s="21"/>
      <c r="E366" s="21"/>
      <c r="F366" s="21"/>
      <c r="G366" s="21"/>
      <c r="H366" s="21"/>
      <c r="I366" s="21"/>
      <c r="J366" s="45"/>
      <c r="K366" s="45"/>
      <c r="L366" s="45"/>
      <c r="M366" s="45"/>
      <c r="N366" s="45"/>
      <c r="O366" s="21"/>
      <c r="P366" s="21"/>
      <c r="Q366" s="21"/>
      <c r="R366" s="25" t="str">
        <f t="shared" si="5"/>
        <v/>
      </c>
    </row>
    <row r="367" spans="1:18" ht="33.6" customHeight="1">
      <c r="A367" s="28"/>
      <c r="B367" s="48"/>
      <c r="C367" s="48"/>
      <c r="D367" s="21"/>
      <c r="E367" s="21"/>
      <c r="F367" s="21"/>
      <c r="G367" s="21"/>
      <c r="H367" s="21"/>
      <c r="I367" s="21"/>
      <c r="J367" s="45"/>
      <c r="K367" s="45"/>
      <c r="L367" s="45"/>
      <c r="M367" s="45"/>
      <c r="N367" s="45"/>
      <c r="O367" s="21"/>
      <c r="P367" s="21"/>
      <c r="Q367" s="21"/>
      <c r="R367" s="25" t="str">
        <f t="shared" si="5"/>
        <v/>
      </c>
    </row>
    <row r="368" spans="1:18" ht="33.6" customHeight="1">
      <c r="A368" s="28"/>
      <c r="B368" s="48"/>
      <c r="C368" s="48"/>
      <c r="D368" s="21"/>
      <c r="E368" s="21"/>
      <c r="F368" s="21"/>
      <c r="G368" s="21"/>
      <c r="H368" s="21"/>
      <c r="I368" s="21"/>
      <c r="J368" s="45"/>
      <c r="K368" s="45"/>
      <c r="L368" s="45"/>
      <c r="M368" s="45"/>
      <c r="N368" s="45"/>
      <c r="O368" s="21"/>
      <c r="P368" s="21"/>
      <c r="Q368" s="21"/>
      <c r="R368" s="25" t="str">
        <f t="shared" si="5"/>
        <v/>
      </c>
    </row>
    <row r="369" spans="1:18" ht="33.6" customHeight="1">
      <c r="A369" s="28"/>
      <c r="B369" s="48"/>
      <c r="C369" s="48"/>
      <c r="D369" s="21"/>
      <c r="E369" s="21"/>
      <c r="F369" s="21"/>
      <c r="G369" s="21"/>
      <c r="H369" s="21"/>
      <c r="I369" s="21"/>
      <c r="J369" s="45"/>
      <c r="K369" s="45"/>
      <c r="L369" s="45"/>
      <c r="M369" s="45"/>
      <c r="N369" s="45"/>
      <c r="O369" s="21"/>
      <c r="P369" s="21"/>
      <c r="Q369" s="21"/>
      <c r="R369" s="25" t="str">
        <f t="shared" si="5"/>
        <v/>
      </c>
    </row>
    <row r="370" spans="1:18" ht="33.6" customHeight="1">
      <c r="A370" s="28"/>
      <c r="B370" s="48"/>
      <c r="C370" s="48"/>
      <c r="D370" s="21"/>
      <c r="E370" s="21"/>
      <c r="F370" s="21"/>
      <c r="G370" s="21"/>
      <c r="H370" s="21"/>
      <c r="I370" s="21"/>
      <c r="J370" s="45"/>
      <c r="K370" s="45"/>
      <c r="L370" s="45"/>
      <c r="M370" s="45"/>
      <c r="N370" s="45"/>
      <c r="O370" s="21"/>
      <c r="P370" s="21"/>
      <c r="Q370" s="21"/>
      <c r="R370" s="25" t="str">
        <f t="shared" si="5"/>
        <v/>
      </c>
    </row>
    <row r="371" spans="1:18" ht="33.6" customHeight="1">
      <c r="A371" s="28"/>
      <c r="B371" s="48"/>
      <c r="C371" s="48"/>
      <c r="D371" s="21"/>
      <c r="E371" s="21"/>
      <c r="F371" s="21"/>
      <c r="G371" s="21"/>
      <c r="H371" s="21"/>
      <c r="I371" s="21"/>
      <c r="J371" s="45"/>
      <c r="K371" s="45"/>
      <c r="L371" s="45"/>
      <c r="M371" s="45"/>
      <c r="N371" s="45"/>
      <c r="O371" s="21"/>
      <c r="P371" s="21"/>
      <c r="Q371" s="21"/>
      <c r="R371" s="25" t="str">
        <f t="shared" ref="R371:R434" si="6">IF(COUNTIF($A$17:$A$2010,$A371)&gt;1,"Possible Duplicate","")</f>
        <v/>
      </c>
    </row>
    <row r="372" spans="1:18" ht="33.6" customHeight="1">
      <c r="A372" s="28"/>
      <c r="B372" s="48"/>
      <c r="C372" s="48"/>
      <c r="D372" s="21"/>
      <c r="E372" s="21"/>
      <c r="F372" s="21"/>
      <c r="G372" s="21"/>
      <c r="H372" s="21"/>
      <c r="I372" s="21"/>
      <c r="J372" s="45"/>
      <c r="K372" s="45"/>
      <c r="L372" s="45"/>
      <c r="M372" s="45"/>
      <c r="N372" s="45"/>
      <c r="O372" s="21"/>
      <c r="P372" s="21"/>
      <c r="Q372" s="21"/>
      <c r="R372" s="25" t="str">
        <f t="shared" si="6"/>
        <v/>
      </c>
    </row>
    <row r="373" spans="1:18" ht="33.6" customHeight="1">
      <c r="A373" s="28"/>
      <c r="B373" s="48"/>
      <c r="C373" s="48"/>
      <c r="D373" s="21"/>
      <c r="E373" s="21"/>
      <c r="F373" s="21"/>
      <c r="G373" s="21"/>
      <c r="H373" s="21"/>
      <c r="I373" s="21"/>
      <c r="J373" s="45"/>
      <c r="K373" s="45"/>
      <c r="L373" s="45"/>
      <c r="M373" s="45"/>
      <c r="N373" s="45"/>
      <c r="O373" s="21"/>
      <c r="P373" s="21"/>
      <c r="Q373" s="21"/>
      <c r="R373" s="25" t="str">
        <f t="shared" si="6"/>
        <v/>
      </c>
    </row>
    <row r="374" spans="1:18" ht="33.6" customHeight="1">
      <c r="A374" s="28"/>
      <c r="B374" s="48"/>
      <c r="C374" s="48"/>
      <c r="D374" s="21"/>
      <c r="E374" s="21"/>
      <c r="F374" s="21"/>
      <c r="G374" s="21"/>
      <c r="H374" s="21"/>
      <c r="I374" s="21"/>
      <c r="J374" s="45"/>
      <c r="K374" s="45"/>
      <c r="L374" s="45"/>
      <c r="M374" s="45"/>
      <c r="N374" s="45"/>
      <c r="O374" s="21"/>
      <c r="P374" s="21"/>
      <c r="Q374" s="21"/>
      <c r="R374" s="25" t="str">
        <f t="shared" si="6"/>
        <v/>
      </c>
    </row>
    <row r="375" spans="1:18" ht="33.6" customHeight="1">
      <c r="A375" s="28"/>
      <c r="B375" s="48"/>
      <c r="C375" s="48"/>
      <c r="D375" s="21"/>
      <c r="E375" s="21"/>
      <c r="F375" s="21"/>
      <c r="G375" s="21"/>
      <c r="H375" s="21"/>
      <c r="I375" s="21"/>
      <c r="J375" s="45"/>
      <c r="K375" s="45"/>
      <c r="L375" s="45"/>
      <c r="M375" s="45"/>
      <c r="N375" s="45"/>
      <c r="O375" s="21"/>
      <c r="P375" s="21"/>
      <c r="Q375" s="21"/>
      <c r="R375" s="25" t="str">
        <f t="shared" si="6"/>
        <v/>
      </c>
    </row>
    <row r="376" spans="1:18" ht="33.6" customHeight="1">
      <c r="A376" s="28"/>
      <c r="B376" s="48"/>
      <c r="C376" s="48"/>
      <c r="D376" s="21"/>
      <c r="E376" s="21"/>
      <c r="F376" s="21"/>
      <c r="G376" s="21"/>
      <c r="H376" s="21"/>
      <c r="I376" s="21"/>
      <c r="J376" s="45"/>
      <c r="K376" s="45"/>
      <c r="L376" s="45"/>
      <c r="M376" s="45"/>
      <c r="N376" s="45"/>
      <c r="O376" s="21"/>
      <c r="P376" s="21"/>
      <c r="Q376" s="21"/>
      <c r="R376" s="25" t="str">
        <f t="shared" si="6"/>
        <v/>
      </c>
    </row>
    <row r="377" spans="1:18" ht="33.6" customHeight="1">
      <c r="A377" s="28"/>
      <c r="B377" s="48"/>
      <c r="C377" s="48"/>
      <c r="D377" s="21"/>
      <c r="E377" s="21"/>
      <c r="F377" s="21"/>
      <c r="G377" s="21"/>
      <c r="H377" s="21"/>
      <c r="I377" s="21"/>
      <c r="J377" s="45"/>
      <c r="K377" s="45"/>
      <c r="L377" s="45"/>
      <c r="M377" s="45"/>
      <c r="N377" s="45"/>
      <c r="O377" s="21"/>
      <c r="P377" s="21"/>
      <c r="Q377" s="21"/>
      <c r="R377" s="25" t="str">
        <f t="shared" si="6"/>
        <v/>
      </c>
    </row>
    <row r="378" spans="1:18" ht="33.6" customHeight="1">
      <c r="A378" s="28"/>
      <c r="B378" s="48"/>
      <c r="C378" s="48"/>
      <c r="D378" s="21"/>
      <c r="E378" s="21"/>
      <c r="F378" s="21"/>
      <c r="G378" s="21"/>
      <c r="H378" s="21"/>
      <c r="I378" s="21"/>
      <c r="J378" s="45"/>
      <c r="K378" s="45"/>
      <c r="L378" s="45"/>
      <c r="M378" s="45"/>
      <c r="N378" s="45"/>
      <c r="O378" s="21"/>
      <c r="P378" s="21"/>
      <c r="Q378" s="21"/>
      <c r="R378" s="25" t="str">
        <f t="shared" si="6"/>
        <v/>
      </c>
    </row>
    <row r="379" spans="1:18" ht="33.6" customHeight="1">
      <c r="A379" s="28"/>
      <c r="B379" s="48"/>
      <c r="C379" s="48"/>
      <c r="D379" s="21"/>
      <c r="E379" s="21"/>
      <c r="F379" s="21"/>
      <c r="G379" s="21"/>
      <c r="H379" s="21"/>
      <c r="I379" s="21"/>
      <c r="J379" s="45"/>
      <c r="K379" s="45"/>
      <c r="L379" s="45"/>
      <c r="M379" s="45"/>
      <c r="N379" s="45"/>
      <c r="O379" s="21"/>
      <c r="P379" s="21"/>
      <c r="Q379" s="21"/>
      <c r="R379" s="25" t="str">
        <f t="shared" si="6"/>
        <v/>
      </c>
    </row>
    <row r="380" spans="1:18" ht="33.6" customHeight="1">
      <c r="A380" s="28"/>
      <c r="B380" s="48"/>
      <c r="C380" s="48"/>
      <c r="D380" s="21"/>
      <c r="E380" s="21"/>
      <c r="F380" s="21"/>
      <c r="G380" s="21"/>
      <c r="H380" s="21"/>
      <c r="I380" s="21"/>
      <c r="J380" s="45"/>
      <c r="K380" s="45"/>
      <c r="L380" s="45"/>
      <c r="M380" s="45"/>
      <c r="N380" s="45"/>
      <c r="O380" s="21"/>
      <c r="P380" s="21"/>
      <c r="Q380" s="21"/>
      <c r="R380" s="25" t="str">
        <f t="shared" si="6"/>
        <v/>
      </c>
    </row>
    <row r="381" spans="1:18" ht="33.6" customHeight="1">
      <c r="A381" s="28"/>
      <c r="B381" s="48"/>
      <c r="C381" s="48"/>
      <c r="D381" s="21"/>
      <c r="E381" s="21"/>
      <c r="F381" s="21"/>
      <c r="G381" s="21"/>
      <c r="H381" s="21"/>
      <c r="I381" s="21"/>
      <c r="J381" s="45"/>
      <c r="K381" s="45"/>
      <c r="L381" s="45"/>
      <c r="M381" s="45"/>
      <c r="N381" s="45"/>
      <c r="O381" s="21"/>
      <c r="P381" s="21"/>
      <c r="Q381" s="21"/>
      <c r="R381" s="25" t="str">
        <f t="shared" si="6"/>
        <v/>
      </c>
    </row>
    <row r="382" spans="1:18" ht="33.6" customHeight="1">
      <c r="A382" s="28"/>
      <c r="B382" s="48"/>
      <c r="C382" s="48"/>
      <c r="D382" s="21"/>
      <c r="E382" s="21"/>
      <c r="F382" s="21"/>
      <c r="G382" s="21"/>
      <c r="H382" s="21"/>
      <c r="I382" s="21"/>
      <c r="J382" s="45"/>
      <c r="K382" s="45"/>
      <c r="L382" s="45"/>
      <c r="M382" s="45"/>
      <c r="N382" s="45"/>
      <c r="O382" s="21"/>
      <c r="P382" s="21"/>
      <c r="Q382" s="21"/>
      <c r="R382" s="25" t="str">
        <f t="shared" si="6"/>
        <v/>
      </c>
    </row>
    <row r="383" spans="1:18" ht="33.6" customHeight="1">
      <c r="A383" s="28"/>
      <c r="B383" s="48"/>
      <c r="C383" s="48"/>
      <c r="D383" s="21"/>
      <c r="E383" s="21"/>
      <c r="F383" s="21"/>
      <c r="G383" s="21"/>
      <c r="H383" s="21"/>
      <c r="I383" s="21"/>
      <c r="J383" s="45"/>
      <c r="K383" s="45"/>
      <c r="L383" s="45"/>
      <c r="M383" s="45"/>
      <c r="N383" s="45"/>
      <c r="O383" s="21"/>
      <c r="P383" s="21"/>
      <c r="Q383" s="21"/>
      <c r="R383" s="25" t="str">
        <f t="shared" si="6"/>
        <v/>
      </c>
    </row>
    <row r="384" spans="1:18" ht="33.6" customHeight="1">
      <c r="A384" s="28"/>
      <c r="B384" s="48"/>
      <c r="C384" s="48"/>
      <c r="D384" s="21"/>
      <c r="E384" s="21"/>
      <c r="F384" s="21"/>
      <c r="G384" s="21"/>
      <c r="H384" s="21"/>
      <c r="I384" s="21"/>
      <c r="J384" s="45"/>
      <c r="K384" s="45"/>
      <c r="L384" s="45"/>
      <c r="M384" s="45"/>
      <c r="N384" s="45"/>
      <c r="O384" s="21"/>
      <c r="P384" s="21"/>
      <c r="Q384" s="21"/>
      <c r="R384" s="25" t="str">
        <f t="shared" si="6"/>
        <v/>
      </c>
    </row>
    <row r="385" spans="1:18" ht="33.6" customHeight="1">
      <c r="A385" s="28"/>
      <c r="B385" s="48"/>
      <c r="C385" s="48"/>
      <c r="D385" s="21"/>
      <c r="E385" s="21"/>
      <c r="F385" s="21"/>
      <c r="G385" s="21"/>
      <c r="H385" s="21"/>
      <c r="I385" s="21"/>
      <c r="J385" s="45"/>
      <c r="K385" s="45"/>
      <c r="L385" s="45"/>
      <c r="M385" s="45"/>
      <c r="N385" s="45"/>
      <c r="O385" s="21"/>
      <c r="P385" s="21"/>
      <c r="Q385" s="21"/>
      <c r="R385" s="25" t="str">
        <f t="shared" si="6"/>
        <v/>
      </c>
    </row>
    <row r="386" spans="1:18" ht="33.6" customHeight="1">
      <c r="A386" s="28"/>
      <c r="B386" s="48"/>
      <c r="C386" s="48"/>
      <c r="D386" s="21"/>
      <c r="E386" s="21"/>
      <c r="F386" s="21"/>
      <c r="G386" s="21"/>
      <c r="H386" s="21"/>
      <c r="I386" s="21"/>
      <c r="J386" s="45"/>
      <c r="K386" s="45"/>
      <c r="L386" s="45"/>
      <c r="M386" s="45"/>
      <c r="N386" s="45"/>
      <c r="O386" s="21"/>
      <c r="P386" s="21"/>
      <c r="Q386" s="21"/>
      <c r="R386" s="25" t="str">
        <f t="shared" si="6"/>
        <v/>
      </c>
    </row>
    <row r="387" spans="1:18" ht="33.6" customHeight="1">
      <c r="A387" s="28"/>
      <c r="B387" s="48"/>
      <c r="C387" s="48"/>
      <c r="D387" s="21"/>
      <c r="E387" s="21"/>
      <c r="F387" s="21"/>
      <c r="G387" s="21"/>
      <c r="H387" s="21"/>
      <c r="I387" s="21"/>
      <c r="J387" s="45"/>
      <c r="K387" s="45"/>
      <c r="L387" s="45"/>
      <c r="M387" s="45"/>
      <c r="N387" s="45"/>
      <c r="O387" s="21"/>
      <c r="P387" s="21"/>
      <c r="Q387" s="21"/>
      <c r="R387" s="25" t="str">
        <f t="shared" si="6"/>
        <v/>
      </c>
    </row>
    <row r="388" spans="1:18" ht="33.6" customHeight="1">
      <c r="A388" s="28"/>
      <c r="B388" s="48"/>
      <c r="C388" s="48"/>
      <c r="D388" s="21"/>
      <c r="E388" s="21"/>
      <c r="F388" s="21"/>
      <c r="G388" s="21"/>
      <c r="H388" s="21"/>
      <c r="I388" s="21"/>
      <c r="J388" s="45"/>
      <c r="K388" s="45"/>
      <c r="L388" s="45"/>
      <c r="M388" s="45"/>
      <c r="N388" s="45"/>
      <c r="O388" s="21"/>
      <c r="P388" s="21"/>
      <c r="Q388" s="21"/>
      <c r="R388" s="25" t="str">
        <f t="shared" si="6"/>
        <v/>
      </c>
    </row>
    <row r="389" spans="1:18" ht="33.6" customHeight="1">
      <c r="A389" s="28"/>
      <c r="B389" s="48"/>
      <c r="C389" s="48"/>
      <c r="D389" s="21"/>
      <c r="E389" s="21"/>
      <c r="F389" s="21"/>
      <c r="G389" s="21"/>
      <c r="H389" s="21"/>
      <c r="I389" s="21"/>
      <c r="J389" s="45"/>
      <c r="K389" s="45"/>
      <c r="L389" s="45"/>
      <c r="M389" s="45"/>
      <c r="N389" s="45"/>
      <c r="O389" s="21"/>
      <c r="P389" s="21"/>
      <c r="Q389" s="21"/>
      <c r="R389" s="25" t="str">
        <f t="shared" si="6"/>
        <v/>
      </c>
    </row>
    <row r="390" spans="1:18" ht="33.6" customHeight="1">
      <c r="A390" s="28"/>
      <c r="B390" s="48"/>
      <c r="C390" s="48"/>
      <c r="D390" s="21"/>
      <c r="E390" s="21"/>
      <c r="F390" s="21"/>
      <c r="G390" s="21"/>
      <c r="H390" s="21"/>
      <c r="I390" s="21"/>
      <c r="J390" s="45"/>
      <c r="K390" s="45"/>
      <c r="L390" s="45"/>
      <c r="M390" s="45"/>
      <c r="N390" s="45"/>
      <c r="O390" s="21"/>
      <c r="P390" s="21"/>
      <c r="Q390" s="21"/>
      <c r="R390" s="25" t="str">
        <f t="shared" si="6"/>
        <v/>
      </c>
    </row>
    <row r="391" spans="1:18" ht="33.6" customHeight="1">
      <c r="A391" s="28"/>
      <c r="B391" s="48"/>
      <c r="C391" s="48"/>
      <c r="D391" s="21"/>
      <c r="E391" s="21"/>
      <c r="F391" s="21"/>
      <c r="G391" s="21"/>
      <c r="H391" s="21"/>
      <c r="I391" s="21"/>
      <c r="J391" s="45"/>
      <c r="K391" s="45"/>
      <c r="L391" s="45"/>
      <c r="M391" s="45"/>
      <c r="N391" s="45"/>
      <c r="O391" s="21"/>
      <c r="P391" s="21"/>
      <c r="Q391" s="21"/>
      <c r="R391" s="25" t="str">
        <f t="shared" si="6"/>
        <v/>
      </c>
    </row>
    <row r="392" spans="1:18" ht="33.6" customHeight="1">
      <c r="A392" s="28"/>
      <c r="B392" s="48"/>
      <c r="C392" s="48"/>
      <c r="D392" s="21"/>
      <c r="E392" s="21"/>
      <c r="F392" s="21"/>
      <c r="G392" s="21"/>
      <c r="H392" s="21"/>
      <c r="I392" s="21"/>
      <c r="J392" s="45"/>
      <c r="K392" s="45"/>
      <c r="L392" s="45"/>
      <c r="M392" s="45"/>
      <c r="N392" s="45"/>
      <c r="O392" s="21"/>
      <c r="P392" s="21"/>
      <c r="Q392" s="21"/>
      <c r="R392" s="25" t="str">
        <f t="shared" si="6"/>
        <v/>
      </c>
    </row>
    <row r="393" spans="1:18" ht="33.6" customHeight="1">
      <c r="A393" s="28"/>
      <c r="B393" s="48"/>
      <c r="C393" s="48"/>
      <c r="D393" s="21"/>
      <c r="E393" s="21"/>
      <c r="F393" s="21"/>
      <c r="G393" s="21"/>
      <c r="H393" s="21"/>
      <c r="I393" s="21"/>
      <c r="J393" s="45"/>
      <c r="K393" s="45"/>
      <c r="L393" s="45"/>
      <c r="M393" s="45"/>
      <c r="N393" s="45"/>
      <c r="O393" s="21"/>
      <c r="P393" s="21"/>
      <c r="Q393" s="21"/>
      <c r="R393" s="25" t="str">
        <f t="shared" si="6"/>
        <v/>
      </c>
    </row>
    <row r="394" spans="1:18" ht="33.6" customHeight="1">
      <c r="A394" s="28"/>
      <c r="B394" s="48"/>
      <c r="C394" s="48"/>
      <c r="D394" s="21"/>
      <c r="E394" s="21"/>
      <c r="F394" s="21"/>
      <c r="G394" s="21"/>
      <c r="H394" s="21"/>
      <c r="I394" s="21"/>
      <c r="J394" s="45"/>
      <c r="K394" s="45"/>
      <c r="L394" s="45"/>
      <c r="M394" s="45"/>
      <c r="N394" s="45"/>
      <c r="O394" s="21"/>
      <c r="P394" s="21"/>
      <c r="Q394" s="21"/>
      <c r="R394" s="25" t="str">
        <f t="shared" si="6"/>
        <v/>
      </c>
    </row>
    <row r="395" spans="1:18" ht="33.6" customHeight="1">
      <c r="A395" s="28"/>
      <c r="B395" s="48"/>
      <c r="C395" s="48"/>
      <c r="D395" s="21"/>
      <c r="E395" s="21"/>
      <c r="F395" s="21"/>
      <c r="G395" s="21"/>
      <c r="H395" s="21"/>
      <c r="I395" s="21"/>
      <c r="J395" s="45"/>
      <c r="K395" s="45"/>
      <c r="L395" s="45"/>
      <c r="M395" s="45"/>
      <c r="N395" s="45"/>
      <c r="O395" s="21"/>
      <c r="P395" s="21"/>
      <c r="Q395" s="21"/>
      <c r="R395" s="25" t="str">
        <f t="shared" si="6"/>
        <v/>
      </c>
    </row>
    <row r="396" spans="1:18" ht="33.6" customHeight="1">
      <c r="A396" s="28"/>
      <c r="B396" s="48"/>
      <c r="C396" s="48"/>
      <c r="D396" s="21"/>
      <c r="E396" s="21"/>
      <c r="F396" s="21"/>
      <c r="G396" s="21"/>
      <c r="H396" s="21"/>
      <c r="I396" s="21"/>
      <c r="J396" s="45"/>
      <c r="K396" s="45"/>
      <c r="L396" s="45"/>
      <c r="M396" s="45"/>
      <c r="N396" s="45"/>
      <c r="O396" s="21"/>
      <c r="P396" s="21"/>
      <c r="Q396" s="21"/>
      <c r="R396" s="25" t="str">
        <f t="shared" si="6"/>
        <v/>
      </c>
    </row>
    <row r="397" spans="1:18" ht="33.6" customHeight="1">
      <c r="A397" s="28"/>
      <c r="B397" s="48"/>
      <c r="C397" s="48"/>
      <c r="D397" s="21"/>
      <c r="E397" s="21"/>
      <c r="F397" s="21"/>
      <c r="G397" s="21"/>
      <c r="H397" s="21"/>
      <c r="I397" s="21"/>
      <c r="J397" s="45"/>
      <c r="K397" s="45"/>
      <c r="L397" s="45"/>
      <c r="M397" s="45"/>
      <c r="N397" s="45"/>
      <c r="O397" s="21"/>
      <c r="P397" s="21"/>
      <c r="Q397" s="21"/>
      <c r="R397" s="25" t="str">
        <f t="shared" si="6"/>
        <v/>
      </c>
    </row>
    <row r="398" spans="1:18" ht="33.6" customHeight="1">
      <c r="A398" s="28"/>
      <c r="B398" s="48"/>
      <c r="C398" s="48"/>
      <c r="D398" s="21"/>
      <c r="E398" s="21"/>
      <c r="F398" s="21"/>
      <c r="G398" s="21"/>
      <c r="H398" s="21"/>
      <c r="I398" s="21"/>
      <c r="J398" s="45"/>
      <c r="K398" s="45"/>
      <c r="L398" s="45"/>
      <c r="M398" s="45"/>
      <c r="N398" s="45"/>
      <c r="O398" s="21"/>
      <c r="P398" s="21"/>
      <c r="Q398" s="21"/>
      <c r="R398" s="25" t="str">
        <f t="shared" si="6"/>
        <v/>
      </c>
    </row>
    <row r="399" spans="1:18" ht="33.6" customHeight="1">
      <c r="A399" s="28"/>
      <c r="B399" s="48"/>
      <c r="C399" s="48"/>
      <c r="D399" s="21"/>
      <c r="E399" s="21"/>
      <c r="F399" s="21"/>
      <c r="G399" s="21"/>
      <c r="H399" s="21"/>
      <c r="I399" s="21"/>
      <c r="J399" s="45"/>
      <c r="K399" s="45"/>
      <c r="L399" s="45"/>
      <c r="M399" s="45"/>
      <c r="N399" s="45"/>
      <c r="O399" s="21"/>
      <c r="P399" s="21"/>
      <c r="Q399" s="21"/>
      <c r="R399" s="25" t="str">
        <f t="shared" si="6"/>
        <v/>
      </c>
    </row>
    <row r="400" spans="1:18" ht="33.6" customHeight="1">
      <c r="A400" s="28"/>
      <c r="B400" s="48"/>
      <c r="C400" s="48"/>
      <c r="D400" s="21"/>
      <c r="E400" s="21"/>
      <c r="F400" s="21"/>
      <c r="G400" s="21"/>
      <c r="H400" s="21"/>
      <c r="I400" s="21"/>
      <c r="J400" s="45"/>
      <c r="K400" s="45"/>
      <c r="L400" s="45"/>
      <c r="M400" s="45"/>
      <c r="N400" s="45"/>
      <c r="O400" s="21"/>
      <c r="P400" s="21"/>
      <c r="Q400" s="21"/>
      <c r="R400" s="25" t="str">
        <f t="shared" si="6"/>
        <v/>
      </c>
    </row>
    <row r="401" spans="1:18" ht="33.6" customHeight="1">
      <c r="A401" s="28"/>
      <c r="B401" s="48"/>
      <c r="C401" s="48"/>
      <c r="D401" s="21"/>
      <c r="E401" s="21"/>
      <c r="F401" s="21"/>
      <c r="G401" s="21"/>
      <c r="H401" s="21"/>
      <c r="I401" s="21"/>
      <c r="J401" s="45"/>
      <c r="K401" s="45"/>
      <c r="L401" s="45"/>
      <c r="M401" s="45"/>
      <c r="N401" s="45"/>
      <c r="O401" s="21"/>
      <c r="P401" s="21"/>
      <c r="Q401" s="21"/>
      <c r="R401" s="25" t="str">
        <f t="shared" si="6"/>
        <v/>
      </c>
    </row>
    <row r="402" spans="1:18" ht="33.6" customHeight="1">
      <c r="A402" s="28"/>
      <c r="B402" s="48"/>
      <c r="C402" s="48"/>
      <c r="D402" s="21"/>
      <c r="E402" s="21"/>
      <c r="F402" s="21"/>
      <c r="G402" s="21"/>
      <c r="H402" s="21"/>
      <c r="I402" s="21"/>
      <c r="J402" s="45"/>
      <c r="K402" s="45"/>
      <c r="L402" s="45"/>
      <c r="M402" s="45"/>
      <c r="N402" s="45"/>
      <c r="O402" s="21"/>
      <c r="P402" s="21"/>
      <c r="Q402" s="21"/>
      <c r="R402" s="25" t="str">
        <f t="shared" si="6"/>
        <v/>
      </c>
    </row>
    <row r="403" spans="1:18" ht="33.6" customHeight="1">
      <c r="A403" s="28"/>
      <c r="B403" s="48"/>
      <c r="C403" s="48"/>
      <c r="D403" s="21"/>
      <c r="E403" s="21"/>
      <c r="F403" s="21"/>
      <c r="G403" s="21"/>
      <c r="H403" s="21"/>
      <c r="I403" s="21"/>
      <c r="J403" s="45"/>
      <c r="K403" s="45"/>
      <c r="L403" s="45"/>
      <c r="M403" s="45"/>
      <c r="N403" s="45"/>
      <c r="O403" s="21"/>
      <c r="P403" s="21"/>
      <c r="Q403" s="21"/>
      <c r="R403" s="25" t="str">
        <f t="shared" si="6"/>
        <v/>
      </c>
    </row>
    <row r="404" spans="1:18" ht="33.6" customHeight="1">
      <c r="A404" s="28"/>
      <c r="B404" s="48"/>
      <c r="C404" s="48"/>
      <c r="D404" s="21"/>
      <c r="E404" s="21"/>
      <c r="F404" s="21"/>
      <c r="G404" s="21"/>
      <c r="H404" s="21"/>
      <c r="I404" s="21"/>
      <c r="J404" s="45"/>
      <c r="K404" s="45"/>
      <c r="L404" s="45"/>
      <c r="M404" s="45"/>
      <c r="N404" s="45"/>
      <c r="O404" s="21"/>
      <c r="P404" s="21"/>
      <c r="Q404" s="21"/>
      <c r="R404" s="25" t="str">
        <f t="shared" si="6"/>
        <v/>
      </c>
    </row>
    <row r="405" spans="1:18" ht="33.6" customHeight="1">
      <c r="A405" s="28"/>
      <c r="B405" s="48"/>
      <c r="C405" s="48"/>
      <c r="D405" s="21"/>
      <c r="E405" s="21"/>
      <c r="F405" s="21"/>
      <c r="G405" s="21"/>
      <c r="H405" s="21"/>
      <c r="I405" s="21"/>
      <c r="J405" s="45"/>
      <c r="K405" s="45"/>
      <c r="L405" s="45"/>
      <c r="M405" s="45"/>
      <c r="N405" s="45"/>
      <c r="O405" s="21"/>
      <c r="P405" s="21"/>
      <c r="Q405" s="21"/>
      <c r="R405" s="25" t="str">
        <f t="shared" si="6"/>
        <v/>
      </c>
    </row>
    <row r="406" spans="1:18" ht="33.6" customHeight="1">
      <c r="A406" s="28"/>
      <c r="B406" s="48"/>
      <c r="C406" s="48"/>
      <c r="D406" s="21"/>
      <c r="E406" s="21"/>
      <c r="F406" s="21"/>
      <c r="G406" s="21"/>
      <c r="H406" s="21"/>
      <c r="I406" s="21"/>
      <c r="J406" s="45"/>
      <c r="K406" s="45"/>
      <c r="L406" s="45"/>
      <c r="M406" s="45"/>
      <c r="N406" s="45"/>
      <c r="O406" s="21"/>
      <c r="P406" s="21"/>
      <c r="Q406" s="21"/>
      <c r="R406" s="25" t="str">
        <f t="shared" si="6"/>
        <v/>
      </c>
    </row>
    <row r="407" spans="1:18" ht="33.6" customHeight="1">
      <c r="A407" s="28"/>
      <c r="B407" s="48"/>
      <c r="C407" s="48"/>
      <c r="D407" s="21"/>
      <c r="E407" s="21"/>
      <c r="F407" s="21"/>
      <c r="G407" s="21"/>
      <c r="H407" s="21"/>
      <c r="I407" s="21"/>
      <c r="J407" s="45"/>
      <c r="K407" s="45"/>
      <c r="L407" s="45"/>
      <c r="M407" s="45"/>
      <c r="N407" s="45"/>
      <c r="O407" s="21"/>
      <c r="P407" s="21"/>
      <c r="Q407" s="21"/>
      <c r="R407" s="25" t="str">
        <f t="shared" si="6"/>
        <v/>
      </c>
    </row>
    <row r="408" spans="1:18" ht="33.6" customHeight="1">
      <c r="A408" s="28"/>
      <c r="B408" s="48"/>
      <c r="C408" s="48"/>
      <c r="D408" s="21"/>
      <c r="E408" s="21"/>
      <c r="F408" s="21"/>
      <c r="G408" s="21"/>
      <c r="H408" s="21"/>
      <c r="I408" s="21"/>
      <c r="J408" s="45"/>
      <c r="K408" s="45"/>
      <c r="L408" s="45"/>
      <c r="M408" s="45"/>
      <c r="N408" s="45"/>
      <c r="O408" s="21"/>
      <c r="P408" s="21"/>
      <c r="Q408" s="21"/>
      <c r="R408" s="25" t="str">
        <f t="shared" si="6"/>
        <v/>
      </c>
    </row>
    <row r="409" spans="1:18" ht="33.6" customHeight="1">
      <c r="A409" s="28"/>
      <c r="B409" s="48"/>
      <c r="C409" s="48"/>
      <c r="D409" s="21"/>
      <c r="E409" s="21"/>
      <c r="F409" s="21"/>
      <c r="G409" s="21"/>
      <c r="H409" s="21"/>
      <c r="I409" s="21"/>
      <c r="J409" s="45"/>
      <c r="K409" s="45"/>
      <c r="L409" s="45"/>
      <c r="M409" s="45"/>
      <c r="N409" s="45"/>
      <c r="O409" s="21"/>
      <c r="P409" s="21"/>
      <c r="Q409" s="21"/>
      <c r="R409" s="25" t="str">
        <f t="shared" si="6"/>
        <v/>
      </c>
    </row>
    <row r="410" spans="1:18" ht="33.6" customHeight="1">
      <c r="A410" s="28"/>
      <c r="B410" s="48"/>
      <c r="C410" s="48"/>
      <c r="D410" s="21"/>
      <c r="E410" s="21"/>
      <c r="F410" s="21"/>
      <c r="G410" s="21"/>
      <c r="H410" s="21"/>
      <c r="I410" s="21"/>
      <c r="J410" s="45"/>
      <c r="K410" s="45"/>
      <c r="L410" s="45"/>
      <c r="M410" s="45"/>
      <c r="N410" s="45"/>
      <c r="O410" s="21"/>
      <c r="P410" s="21"/>
      <c r="Q410" s="21"/>
      <c r="R410" s="25" t="str">
        <f t="shared" si="6"/>
        <v/>
      </c>
    </row>
    <row r="411" spans="1:18" ht="33.6" customHeight="1">
      <c r="A411" s="28"/>
      <c r="B411" s="48"/>
      <c r="C411" s="48"/>
      <c r="D411" s="21"/>
      <c r="E411" s="21"/>
      <c r="F411" s="21"/>
      <c r="G411" s="21"/>
      <c r="H411" s="21"/>
      <c r="I411" s="21"/>
      <c r="J411" s="45"/>
      <c r="K411" s="45"/>
      <c r="L411" s="45"/>
      <c r="M411" s="45"/>
      <c r="N411" s="45"/>
      <c r="O411" s="21"/>
      <c r="P411" s="21"/>
      <c r="Q411" s="21"/>
      <c r="R411" s="25" t="str">
        <f t="shared" si="6"/>
        <v/>
      </c>
    </row>
    <row r="412" spans="1:18" ht="33.6" customHeight="1">
      <c r="A412" s="28"/>
      <c r="B412" s="48"/>
      <c r="C412" s="48"/>
      <c r="D412" s="21"/>
      <c r="E412" s="21"/>
      <c r="F412" s="21"/>
      <c r="G412" s="21"/>
      <c r="H412" s="21"/>
      <c r="I412" s="21"/>
      <c r="J412" s="45"/>
      <c r="K412" s="45"/>
      <c r="L412" s="45"/>
      <c r="M412" s="45"/>
      <c r="N412" s="45"/>
      <c r="O412" s="21"/>
      <c r="P412" s="21"/>
      <c r="Q412" s="21"/>
      <c r="R412" s="25" t="str">
        <f t="shared" si="6"/>
        <v/>
      </c>
    </row>
    <row r="413" spans="1:18" ht="33.6" customHeight="1">
      <c r="A413" s="28"/>
      <c r="B413" s="48"/>
      <c r="C413" s="48"/>
      <c r="D413" s="21"/>
      <c r="E413" s="21"/>
      <c r="F413" s="21"/>
      <c r="G413" s="21"/>
      <c r="H413" s="21"/>
      <c r="I413" s="21"/>
      <c r="J413" s="45"/>
      <c r="K413" s="45"/>
      <c r="L413" s="45"/>
      <c r="M413" s="45"/>
      <c r="N413" s="45"/>
      <c r="O413" s="21"/>
      <c r="P413" s="21"/>
      <c r="Q413" s="21"/>
      <c r="R413" s="25" t="str">
        <f t="shared" si="6"/>
        <v/>
      </c>
    </row>
    <row r="414" spans="1:18" ht="33.6" customHeight="1">
      <c r="A414" s="28"/>
      <c r="B414" s="48"/>
      <c r="C414" s="48"/>
      <c r="D414" s="21"/>
      <c r="E414" s="21"/>
      <c r="F414" s="21"/>
      <c r="G414" s="21"/>
      <c r="H414" s="21"/>
      <c r="I414" s="21"/>
      <c r="J414" s="45"/>
      <c r="K414" s="45"/>
      <c r="L414" s="45"/>
      <c r="M414" s="45"/>
      <c r="N414" s="45"/>
      <c r="O414" s="21"/>
      <c r="P414" s="21"/>
      <c r="Q414" s="21"/>
      <c r="R414" s="25" t="str">
        <f t="shared" si="6"/>
        <v/>
      </c>
    </row>
    <row r="415" spans="1:18" ht="33.6" customHeight="1">
      <c r="A415" s="28"/>
      <c r="B415" s="48"/>
      <c r="C415" s="48"/>
      <c r="D415" s="21"/>
      <c r="E415" s="21"/>
      <c r="F415" s="21"/>
      <c r="G415" s="21"/>
      <c r="H415" s="21"/>
      <c r="I415" s="21"/>
      <c r="J415" s="45"/>
      <c r="K415" s="45"/>
      <c r="L415" s="45"/>
      <c r="M415" s="45"/>
      <c r="N415" s="45"/>
      <c r="O415" s="21"/>
      <c r="P415" s="21"/>
      <c r="Q415" s="21"/>
      <c r="R415" s="25" t="str">
        <f t="shared" si="6"/>
        <v/>
      </c>
    </row>
    <row r="416" spans="1:18" ht="33.6" customHeight="1">
      <c r="A416" s="28"/>
      <c r="B416" s="48"/>
      <c r="C416" s="48"/>
      <c r="D416" s="21"/>
      <c r="E416" s="21"/>
      <c r="F416" s="21"/>
      <c r="G416" s="21"/>
      <c r="H416" s="21"/>
      <c r="I416" s="21"/>
      <c r="J416" s="45"/>
      <c r="K416" s="45"/>
      <c r="L416" s="45"/>
      <c r="M416" s="45"/>
      <c r="N416" s="45"/>
      <c r="O416" s="21"/>
      <c r="P416" s="21"/>
      <c r="Q416" s="21"/>
      <c r="R416" s="25" t="str">
        <f t="shared" si="6"/>
        <v/>
      </c>
    </row>
    <row r="417" spans="1:18" ht="33.6" customHeight="1">
      <c r="A417" s="28"/>
      <c r="B417" s="48"/>
      <c r="C417" s="48"/>
      <c r="D417" s="21"/>
      <c r="E417" s="21"/>
      <c r="F417" s="21"/>
      <c r="G417" s="21"/>
      <c r="H417" s="21"/>
      <c r="I417" s="21"/>
      <c r="J417" s="45"/>
      <c r="K417" s="45"/>
      <c r="L417" s="45"/>
      <c r="M417" s="45"/>
      <c r="N417" s="45"/>
      <c r="O417" s="21"/>
      <c r="P417" s="21"/>
      <c r="Q417" s="21"/>
      <c r="R417" s="25" t="str">
        <f t="shared" si="6"/>
        <v/>
      </c>
    </row>
    <row r="418" spans="1:18" ht="33.6" customHeight="1">
      <c r="A418" s="28"/>
      <c r="B418" s="48"/>
      <c r="C418" s="48"/>
      <c r="D418" s="21"/>
      <c r="E418" s="21"/>
      <c r="F418" s="21"/>
      <c r="G418" s="21"/>
      <c r="H418" s="21"/>
      <c r="I418" s="21"/>
      <c r="J418" s="45"/>
      <c r="K418" s="45"/>
      <c r="L418" s="45"/>
      <c r="M418" s="45"/>
      <c r="N418" s="45"/>
      <c r="O418" s="21"/>
      <c r="P418" s="21"/>
      <c r="Q418" s="21"/>
      <c r="R418" s="25" t="str">
        <f t="shared" si="6"/>
        <v/>
      </c>
    </row>
    <row r="419" spans="1:18" ht="33.6" customHeight="1">
      <c r="A419" s="28"/>
      <c r="B419" s="48"/>
      <c r="C419" s="48"/>
      <c r="D419" s="21"/>
      <c r="E419" s="21"/>
      <c r="F419" s="21"/>
      <c r="G419" s="21"/>
      <c r="H419" s="21"/>
      <c r="I419" s="21"/>
      <c r="J419" s="45"/>
      <c r="K419" s="45"/>
      <c r="L419" s="45"/>
      <c r="M419" s="45"/>
      <c r="N419" s="45"/>
      <c r="O419" s="21"/>
      <c r="P419" s="21"/>
      <c r="Q419" s="21"/>
      <c r="R419" s="25" t="str">
        <f t="shared" si="6"/>
        <v/>
      </c>
    </row>
    <row r="420" spans="1:18" ht="33.6" customHeight="1">
      <c r="A420" s="28"/>
      <c r="B420" s="48"/>
      <c r="C420" s="48"/>
      <c r="D420" s="21"/>
      <c r="E420" s="21"/>
      <c r="F420" s="21"/>
      <c r="G420" s="21"/>
      <c r="H420" s="21"/>
      <c r="I420" s="21"/>
      <c r="J420" s="45"/>
      <c r="K420" s="45"/>
      <c r="L420" s="45"/>
      <c r="M420" s="45"/>
      <c r="N420" s="45"/>
      <c r="O420" s="21"/>
      <c r="P420" s="21"/>
      <c r="Q420" s="21"/>
      <c r="R420" s="25" t="str">
        <f t="shared" si="6"/>
        <v/>
      </c>
    </row>
    <row r="421" spans="1:18" ht="33.6" customHeight="1">
      <c r="A421" s="28"/>
      <c r="B421" s="48"/>
      <c r="C421" s="48"/>
      <c r="D421" s="21"/>
      <c r="E421" s="21"/>
      <c r="F421" s="21"/>
      <c r="G421" s="21"/>
      <c r="H421" s="21"/>
      <c r="I421" s="21"/>
      <c r="J421" s="45"/>
      <c r="K421" s="45"/>
      <c r="L421" s="45"/>
      <c r="M421" s="45"/>
      <c r="N421" s="45"/>
      <c r="O421" s="21"/>
      <c r="P421" s="21"/>
      <c r="Q421" s="21"/>
      <c r="R421" s="25" t="str">
        <f t="shared" si="6"/>
        <v/>
      </c>
    </row>
    <row r="422" spans="1:18" ht="33.6" customHeight="1">
      <c r="A422" s="28"/>
      <c r="B422" s="48"/>
      <c r="C422" s="48"/>
      <c r="D422" s="21"/>
      <c r="E422" s="21"/>
      <c r="F422" s="21"/>
      <c r="G422" s="21"/>
      <c r="H422" s="21"/>
      <c r="I422" s="21"/>
      <c r="J422" s="45"/>
      <c r="K422" s="45"/>
      <c r="L422" s="45"/>
      <c r="M422" s="45"/>
      <c r="N422" s="45"/>
      <c r="O422" s="21"/>
      <c r="P422" s="21"/>
      <c r="Q422" s="21"/>
      <c r="R422" s="25" t="str">
        <f t="shared" si="6"/>
        <v/>
      </c>
    </row>
    <row r="423" spans="1:18" ht="33.6" customHeight="1">
      <c r="A423" s="28"/>
      <c r="B423" s="48"/>
      <c r="C423" s="48"/>
      <c r="D423" s="21"/>
      <c r="E423" s="21"/>
      <c r="F423" s="21"/>
      <c r="G423" s="21"/>
      <c r="H423" s="21"/>
      <c r="I423" s="21"/>
      <c r="J423" s="45"/>
      <c r="K423" s="45"/>
      <c r="L423" s="45"/>
      <c r="M423" s="45"/>
      <c r="N423" s="45"/>
      <c r="O423" s="21"/>
      <c r="P423" s="21"/>
      <c r="Q423" s="21"/>
      <c r="R423" s="25" t="str">
        <f t="shared" si="6"/>
        <v/>
      </c>
    </row>
    <row r="424" spans="1:18" ht="33.6" customHeight="1">
      <c r="A424" s="28"/>
      <c r="B424" s="48"/>
      <c r="C424" s="48"/>
      <c r="D424" s="21"/>
      <c r="E424" s="21"/>
      <c r="F424" s="21"/>
      <c r="G424" s="21"/>
      <c r="H424" s="21"/>
      <c r="I424" s="21"/>
      <c r="J424" s="45"/>
      <c r="K424" s="45"/>
      <c r="L424" s="45"/>
      <c r="M424" s="45"/>
      <c r="N424" s="45"/>
      <c r="O424" s="21"/>
      <c r="P424" s="21"/>
      <c r="Q424" s="21"/>
      <c r="R424" s="25" t="str">
        <f t="shared" si="6"/>
        <v/>
      </c>
    </row>
    <row r="425" spans="1:18" ht="33.6" customHeight="1">
      <c r="A425" s="28"/>
      <c r="B425" s="48"/>
      <c r="C425" s="48"/>
      <c r="D425" s="21"/>
      <c r="E425" s="21"/>
      <c r="F425" s="21"/>
      <c r="G425" s="21"/>
      <c r="H425" s="21"/>
      <c r="I425" s="21"/>
      <c r="J425" s="45"/>
      <c r="K425" s="45"/>
      <c r="L425" s="45"/>
      <c r="M425" s="45"/>
      <c r="N425" s="45"/>
      <c r="O425" s="21"/>
      <c r="P425" s="21"/>
      <c r="Q425" s="21"/>
      <c r="R425" s="25" t="str">
        <f t="shared" si="6"/>
        <v/>
      </c>
    </row>
    <row r="426" spans="1:18" ht="33.6" customHeight="1">
      <c r="A426" s="28"/>
      <c r="B426" s="48"/>
      <c r="C426" s="48"/>
      <c r="D426" s="21"/>
      <c r="E426" s="21"/>
      <c r="F426" s="21"/>
      <c r="G426" s="21"/>
      <c r="H426" s="21"/>
      <c r="I426" s="21"/>
      <c r="J426" s="45"/>
      <c r="K426" s="45"/>
      <c r="L426" s="45"/>
      <c r="M426" s="45"/>
      <c r="N426" s="45"/>
      <c r="O426" s="21"/>
      <c r="P426" s="21"/>
      <c r="Q426" s="21"/>
      <c r="R426" s="25" t="str">
        <f t="shared" si="6"/>
        <v/>
      </c>
    </row>
    <row r="427" spans="1:18" ht="33.6" customHeight="1">
      <c r="A427" s="28"/>
      <c r="B427" s="48"/>
      <c r="C427" s="48"/>
      <c r="D427" s="21"/>
      <c r="E427" s="21"/>
      <c r="F427" s="21"/>
      <c r="G427" s="21"/>
      <c r="H427" s="21"/>
      <c r="I427" s="21"/>
      <c r="J427" s="45"/>
      <c r="K427" s="45"/>
      <c r="L427" s="45"/>
      <c r="M427" s="45"/>
      <c r="N427" s="45"/>
      <c r="O427" s="21"/>
      <c r="P427" s="21"/>
      <c r="Q427" s="21"/>
      <c r="R427" s="25" t="str">
        <f t="shared" si="6"/>
        <v/>
      </c>
    </row>
    <row r="428" spans="1:18" ht="33.6" customHeight="1">
      <c r="A428" s="28"/>
      <c r="B428" s="48"/>
      <c r="C428" s="48"/>
      <c r="D428" s="21"/>
      <c r="E428" s="21"/>
      <c r="F428" s="21"/>
      <c r="G428" s="21"/>
      <c r="H428" s="21"/>
      <c r="I428" s="21"/>
      <c r="J428" s="45"/>
      <c r="K428" s="45"/>
      <c r="L428" s="45"/>
      <c r="M428" s="45"/>
      <c r="N428" s="45"/>
      <c r="O428" s="21"/>
      <c r="P428" s="21"/>
      <c r="Q428" s="21"/>
      <c r="R428" s="25" t="str">
        <f t="shared" si="6"/>
        <v/>
      </c>
    </row>
    <row r="429" spans="1:18" ht="33.6" customHeight="1">
      <c r="A429" s="28"/>
      <c r="B429" s="48"/>
      <c r="C429" s="48"/>
      <c r="D429" s="21"/>
      <c r="E429" s="21"/>
      <c r="F429" s="21"/>
      <c r="G429" s="21"/>
      <c r="H429" s="21"/>
      <c r="I429" s="21"/>
      <c r="J429" s="45"/>
      <c r="K429" s="45"/>
      <c r="L429" s="45"/>
      <c r="M429" s="45"/>
      <c r="N429" s="45"/>
      <c r="O429" s="21"/>
      <c r="P429" s="21"/>
      <c r="Q429" s="21"/>
      <c r="R429" s="25" t="str">
        <f t="shared" si="6"/>
        <v/>
      </c>
    </row>
    <row r="430" spans="1:18" ht="33.6" customHeight="1">
      <c r="A430" s="28"/>
      <c r="B430" s="48"/>
      <c r="C430" s="48"/>
      <c r="D430" s="21"/>
      <c r="E430" s="21"/>
      <c r="F430" s="21"/>
      <c r="G430" s="21"/>
      <c r="H430" s="21"/>
      <c r="I430" s="21"/>
      <c r="J430" s="45"/>
      <c r="K430" s="45"/>
      <c r="L430" s="45"/>
      <c r="M430" s="45"/>
      <c r="N430" s="45"/>
      <c r="O430" s="21"/>
      <c r="P430" s="21"/>
      <c r="Q430" s="21"/>
      <c r="R430" s="25" t="str">
        <f t="shared" si="6"/>
        <v/>
      </c>
    </row>
    <row r="431" spans="1:18" ht="33.6" customHeight="1">
      <c r="A431" s="28"/>
      <c r="B431" s="48"/>
      <c r="C431" s="48"/>
      <c r="D431" s="21"/>
      <c r="E431" s="21"/>
      <c r="F431" s="21"/>
      <c r="G431" s="21"/>
      <c r="H431" s="21"/>
      <c r="I431" s="21"/>
      <c r="J431" s="45"/>
      <c r="K431" s="45"/>
      <c r="L431" s="45"/>
      <c r="M431" s="45"/>
      <c r="N431" s="45"/>
      <c r="O431" s="21"/>
      <c r="P431" s="21"/>
      <c r="Q431" s="21"/>
      <c r="R431" s="25" t="str">
        <f t="shared" si="6"/>
        <v/>
      </c>
    </row>
    <row r="432" spans="1:18" ht="33.6" customHeight="1">
      <c r="A432" s="28"/>
      <c r="B432" s="48"/>
      <c r="C432" s="48"/>
      <c r="D432" s="21"/>
      <c r="E432" s="21"/>
      <c r="F432" s="21"/>
      <c r="G432" s="21"/>
      <c r="H432" s="21"/>
      <c r="I432" s="21"/>
      <c r="J432" s="45"/>
      <c r="K432" s="45"/>
      <c r="L432" s="45"/>
      <c r="M432" s="45"/>
      <c r="N432" s="45"/>
      <c r="O432" s="21"/>
      <c r="P432" s="21"/>
      <c r="Q432" s="21"/>
      <c r="R432" s="25" t="str">
        <f t="shared" si="6"/>
        <v/>
      </c>
    </row>
    <row r="433" spans="1:18" ht="33.6" customHeight="1">
      <c r="A433" s="28"/>
      <c r="B433" s="48"/>
      <c r="C433" s="48"/>
      <c r="D433" s="21"/>
      <c r="E433" s="21"/>
      <c r="F433" s="21"/>
      <c r="G433" s="21"/>
      <c r="H433" s="21"/>
      <c r="I433" s="21"/>
      <c r="J433" s="45"/>
      <c r="K433" s="45"/>
      <c r="L433" s="45"/>
      <c r="M433" s="45"/>
      <c r="N433" s="45"/>
      <c r="O433" s="21"/>
      <c r="P433" s="21"/>
      <c r="Q433" s="21"/>
      <c r="R433" s="25" t="str">
        <f t="shared" si="6"/>
        <v/>
      </c>
    </row>
    <row r="434" spans="1:18" ht="33.6" customHeight="1">
      <c r="A434" s="28"/>
      <c r="B434" s="48"/>
      <c r="C434" s="48"/>
      <c r="D434" s="21"/>
      <c r="E434" s="21"/>
      <c r="F434" s="21"/>
      <c r="G434" s="21"/>
      <c r="H434" s="21"/>
      <c r="I434" s="21"/>
      <c r="J434" s="45"/>
      <c r="K434" s="45"/>
      <c r="L434" s="45"/>
      <c r="M434" s="45"/>
      <c r="N434" s="45"/>
      <c r="O434" s="21"/>
      <c r="P434" s="21"/>
      <c r="Q434" s="21"/>
      <c r="R434" s="25" t="str">
        <f t="shared" si="6"/>
        <v/>
      </c>
    </row>
    <row r="435" spans="1:18" ht="33.6" customHeight="1">
      <c r="A435" s="28"/>
      <c r="B435" s="48"/>
      <c r="C435" s="48"/>
      <c r="D435" s="21"/>
      <c r="E435" s="21"/>
      <c r="F435" s="21"/>
      <c r="G435" s="21"/>
      <c r="H435" s="21"/>
      <c r="I435" s="21"/>
      <c r="J435" s="45"/>
      <c r="K435" s="45"/>
      <c r="L435" s="45"/>
      <c r="M435" s="45"/>
      <c r="N435" s="45"/>
      <c r="O435" s="21"/>
      <c r="P435" s="21"/>
      <c r="Q435" s="21"/>
      <c r="R435" s="25" t="str">
        <f t="shared" ref="R435:R498" si="7">IF(COUNTIF($A$17:$A$2010,$A435)&gt;1,"Possible Duplicate","")</f>
        <v/>
      </c>
    </row>
    <row r="436" spans="1:18" ht="33.6" customHeight="1">
      <c r="A436" s="28"/>
      <c r="B436" s="48"/>
      <c r="C436" s="48"/>
      <c r="D436" s="21"/>
      <c r="E436" s="21"/>
      <c r="F436" s="21"/>
      <c r="G436" s="21"/>
      <c r="H436" s="21"/>
      <c r="I436" s="21"/>
      <c r="J436" s="45"/>
      <c r="K436" s="45"/>
      <c r="L436" s="45"/>
      <c r="M436" s="45"/>
      <c r="N436" s="45"/>
      <c r="O436" s="21"/>
      <c r="P436" s="21"/>
      <c r="Q436" s="21"/>
      <c r="R436" s="25" t="str">
        <f t="shared" si="7"/>
        <v/>
      </c>
    </row>
    <row r="437" spans="1:18" ht="33.6" customHeight="1">
      <c r="A437" s="28"/>
      <c r="B437" s="48"/>
      <c r="C437" s="48"/>
      <c r="D437" s="21"/>
      <c r="E437" s="21"/>
      <c r="F437" s="21"/>
      <c r="G437" s="21"/>
      <c r="H437" s="21"/>
      <c r="I437" s="21"/>
      <c r="J437" s="45"/>
      <c r="K437" s="45"/>
      <c r="L437" s="45"/>
      <c r="M437" s="45"/>
      <c r="N437" s="45"/>
      <c r="O437" s="21"/>
      <c r="P437" s="21"/>
      <c r="Q437" s="21"/>
      <c r="R437" s="25" t="str">
        <f t="shared" si="7"/>
        <v/>
      </c>
    </row>
    <row r="438" spans="1:18" ht="33.6" customHeight="1">
      <c r="A438" s="28"/>
      <c r="B438" s="48"/>
      <c r="C438" s="48"/>
      <c r="D438" s="21"/>
      <c r="E438" s="21"/>
      <c r="F438" s="21"/>
      <c r="G438" s="21"/>
      <c r="H438" s="21"/>
      <c r="I438" s="21"/>
      <c r="J438" s="45"/>
      <c r="K438" s="45"/>
      <c r="L438" s="45"/>
      <c r="M438" s="45"/>
      <c r="N438" s="45"/>
      <c r="O438" s="21"/>
      <c r="P438" s="21"/>
      <c r="Q438" s="21"/>
      <c r="R438" s="25" t="str">
        <f t="shared" si="7"/>
        <v/>
      </c>
    </row>
    <row r="439" spans="1:18" ht="33.6" customHeight="1">
      <c r="A439" s="28"/>
      <c r="B439" s="48"/>
      <c r="C439" s="48"/>
      <c r="D439" s="21"/>
      <c r="E439" s="21"/>
      <c r="F439" s="21"/>
      <c r="G439" s="21"/>
      <c r="H439" s="21"/>
      <c r="I439" s="21"/>
      <c r="J439" s="45"/>
      <c r="K439" s="45"/>
      <c r="L439" s="45"/>
      <c r="M439" s="45"/>
      <c r="N439" s="45"/>
      <c r="O439" s="21"/>
      <c r="P439" s="21"/>
      <c r="Q439" s="21"/>
      <c r="R439" s="25" t="str">
        <f t="shared" si="7"/>
        <v/>
      </c>
    </row>
    <row r="440" spans="1:18" ht="33.6" customHeight="1">
      <c r="A440" s="28"/>
      <c r="B440" s="48"/>
      <c r="C440" s="48"/>
      <c r="D440" s="21"/>
      <c r="E440" s="21"/>
      <c r="F440" s="21"/>
      <c r="G440" s="21"/>
      <c r="H440" s="21"/>
      <c r="I440" s="21"/>
      <c r="J440" s="45"/>
      <c r="K440" s="45"/>
      <c r="L440" s="45"/>
      <c r="M440" s="45"/>
      <c r="N440" s="45"/>
      <c r="O440" s="21"/>
      <c r="P440" s="21"/>
      <c r="Q440" s="21"/>
      <c r="R440" s="25" t="str">
        <f t="shared" si="7"/>
        <v/>
      </c>
    </row>
    <row r="441" spans="1:18" ht="33.6" customHeight="1">
      <c r="A441" s="28"/>
      <c r="B441" s="48"/>
      <c r="C441" s="48"/>
      <c r="D441" s="21"/>
      <c r="E441" s="21"/>
      <c r="F441" s="21"/>
      <c r="G441" s="21"/>
      <c r="H441" s="21"/>
      <c r="I441" s="21"/>
      <c r="J441" s="45"/>
      <c r="K441" s="45"/>
      <c r="L441" s="45"/>
      <c r="M441" s="45"/>
      <c r="N441" s="45"/>
      <c r="O441" s="21"/>
      <c r="P441" s="21"/>
      <c r="Q441" s="21"/>
      <c r="R441" s="25" t="str">
        <f t="shared" si="7"/>
        <v/>
      </c>
    </row>
    <row r="442" spans="1:18" ht="33.6" customHeight="1">
      <c r="A442" s="28"/>
      <c r="B442" s="48"/>
      <c r="C442" s="48"/>
      <c r="D442" s="21"/>
      <c r="E442" s="21"/>
      <c r="F442" s="21"/>
      <c r="G442" s="21"/>
      <c r="H442" s="21"/>
      <c r="I442" s="21"/>
      <c r="J442" s="45"/>
      <c r="K442" s="45"/>
      <c r="L442" s="45"/>
      <c r="M442" s="45"/>
      <c r="N442" s="45"/>
      <c r="O442" s="21"/>
      <c r="P442" s="21"/>
      <c r="Q442" s="21"/>
      <c r="R442" s="25" t="str">
        <f t="shared" si="7"/>
        <v/>
      </c>
    </row>
    <row r="443" spans="1:18" ht="33.6" customHeight="1">
      <c r="A443" s="28"/>
      <c r="B443" s="48"/>
      <c r="C443" s="48"/>
      <c r="D443" s="21"/>
      <c r="E443" s="21"/>
      <c r="F443" s="21"/>
      <c r="G443" s="21"/>
      <c r="H443" s="21"/>
      <c r="I443" s="21"/>
      <c r="J443" s="45"/>
      <c r="K443" s="45"/>
      <c r="L443" s="45"/>
      <c r="M443" s="45"/>
      <c r="N443" s="45"/>
      <c r="O443" s="21"/>
      <c r="P443" s="21"/>
      <c r="Q443" s="21"/>
      <c r="R443" s="25" t="str">
        <f t="shared" si="7"/>
        <v/>
      </c>
    </row>
    <row r="444" spans="1:18" ht="33.6" customHeight="1">
      <c r="A444" s="28"/>
      <c r="B444" s="48"/>
      <c r="C444" s="48"/>
      <c r="D444" s="21"/>
      <c r="E444" s="21"/>
      <c r="F444" s="21"/>
      <c r="G444" s="21"/>
      <c r="H444" s="21"/>
      <c r="I444" s="21"/>
      <c r="J444" s="45"/>
      <c r="K444" s="45"/>
      <c r="L444" s="45"/>
      <c r="M444" s="45"/>
      <c r="N444" s="45"/>
      <c r="O444" s="21"/>
      <c r="P444" s="21"/>
      <c r="Q444" s="21"/>
      <c r="R444" s="25" t="str">
        <f t="shared" si="7"/>
        <v/>
      </c>
    </row>
    <row r="445" spans="1:18" ht="33.6" customHeight="1">
      <c r="A445" s="28"/>
      <c r="B445" s="48"/>
      <c r="C445" s="48"/>
      <c r="D445" s="21"/>
      <c r="E445" s="21"/>
      <c r="F445" s="21"/>
      <c r="G445" s="21"/>
      <c r="H445" s="21"/>
      <c r="I445" s="21"/>
      <c r="J445" s="45"/>
      <c r="K445" s="45"/>
      <c r="L445" s="45"/>
      <c r="M445" s="45"/>
      <c r="N445" s="45"/>
      <c r="O445" s="21"/>
      <c r="P445" s="21"/>
      <c r="Q445" s="21"/>
      <c r="R445" s="25" t="str">
        <f t="shared" si="7"/>
        <v/>
      </c>
    </row>
    <row r="446" spans="1:18" ht="33.6" customHeight="1">
      <c r="A446" s="28"/>
      <c r="B446" s="48"/>
      <c r="C446" s="48"/>
      <c r="D446" s="21"/>
      <c r="E446" s="21"/>
      <c r="F446" s="21"/>
      <c r="G446" s="21"/>
      <c r="H446" s="21"/>
      <c r="I446" s="21"/>
      <c r="J446" s="45"/>
      <c r="K446" s="45"/>
      <c r="L446" s="45"/>
      <c r="M446" s="45"/>
      <c r="N446" s="45"/>
      <c r="O446" s="21"/>
      <c r="P446" s="21"/>
      <c r="Q446" s="21"/>
      <c r="R446" s="25" t="str">
        <f t="shared" si="7"/>
        <v/>
      </c>
    </row>
    <row r="447" spans="1:18" ht="33.6" customHeight="1">
      <c r="A447" s="28"/>
      <c r="B447" s="48"/>
      <c r="C447" s="48"/>
      <c r="D447" s="21"/>
      <c r="E447" s="21"/>
      <c r="F447" s="21"/>
      <c r="G447" s="21"/>
      <c r="H447" s="21"/>
      <c r="I447" s="21"/>
      <c r="J447" s="45"/>
      <c r="K447" s="45"/>
      <c r="L447" s="45"/>
      <c r="M447" s="45"/>
      <c r="N447" s="45"/>
      <c r="O447" s="21"/>
      <c r="P447" s="21"/>
      <c r="Q447" s="21"/>
      <c r="R447" s="25" t="str">
        <f t="shared" si="7"/>
        <v/>
      </c>
    </row>
    <row r="448" spans="1:18" ht="33.6" customHeight="1">
      <c r="A448" s="28"/>
      <c r="B448" s="48"/>
      <c r="C448" s="48"/>
      <c r="D448" s="21"/>
      <c r="E448" s="21"/>
      <c r="F448" s="21"/>
      <c r="G448" s="21"/>
      <c r="H448" s="21"/>
      <c r="I448" s="21"/>
      <c r="J448" s="45"/>
      <c r="K448" s="45"/>
      <c r="L448" s="45"/>
      <c r="M448" s="45"/>
      <c r="N448" s="45"/>
      <c r="O448" s="21"/>
      <c r="P448" s="21"/>
      <c r="Q448" s="21"/>
      <c r="R448" s="25" t="str">
        <f t="shared" si="7"/>
        <v/>
      </c>
    </row>
    <row r="449" spans="1:18" ht="33.6" customHeight="1">
      <c r="A449" s="28"/>
      <c r="B449" s="48"/>
      <c r="C449" s="48"/>
      <c r="D449" s="21"/>
      <c r="E449" s="21"/>
      <c r="F449" s="21"/>
      <c r="G449" s="21"/>
      <c r="H449" s="21"/>
      <c r="I449" s="21"/>
      <c r="J449" s="45"/>
      <c r="K449" s="45"/>
      <c r="L449" s="45"/>
      <c r="M449" s="45"/>
      <c r="N449" s="45"/>
      <c r="O449" s="21"/>
      <c r="P449" s="21"/>
      <c r="Q449" s="21"/>
      <c r="R449" s="25" t="str">
        <f t="shared" si="7"/>
        <v/>
      </c>
    </row>
    <row r="450" spans="1:18" ht="33.6" customHeight="1">
      <c r="A450" s="28"/>
      <c r="B450" s="48"/>
      <c r="C450" s="48"/>
      <c r="D450" s="21"/>
      <c r="E450" s="21"/>
      <c r="F450" s="21"/>
      <c r="G450" s="21"/>
      <c r="H450" s="21"/>
      <c r="I450" s="21"/>
      <c r="J450" s="45"/>
      <c r="K450" s="45"/>
      <c r="L450" s="45"/>
      <c r="M450" s="45"/>
      <c r="N450" s="45"/>
      <c r="O450" s="21"/>
      <c r="P450" s="21"/>
      <c r="Q450" s="21"/>
      <c r="R450" s="25" t="str">
        <f t="shared" si="7"/>
        <v/>
      </c>
    </row>
    <row r="451" spans="1:18" ht="33.6" customHeight="1">
      <c r="A451" s="28"/>
      <c r="B451" s="48"/>
      <c r="C451" s="48"/>
      <c r="D451" s="21"/>
      <c r="E451" s="21"/>
      <c r="F451" s="21"/>
      <c r="G451" s="21"/>
      <c r="H451" s="21"/>
      <c r="I451" s="21"/>
      <c r="J451" s="45"/>
      <c r="K451" s="45"/>
      <c r="L451" s="45"/>
      <c r="M451" s="45"/>
      <c r="N451" s="45"/>
      <c r="O451" s="21"/>
      <c r="P451" s="21"/>
      <c r="Q451" s="21"/>
      <c r="R451" s="25" t="str">
        <f t="shared" si="7"/>
        <v/>
      </c>
    </row>
    <row r="452" spans="1:18" ht="33.6" customHeight="1">
      <c r="A452" s="28"/>
      <c r="B452" s="48"/>
      <c r="C452" s="48"/>
      <c r="D452" s="21"/>
      <c r="E452" s="21"/>
      <c r="F452" s="21"/>
      <c r="G452" s="21"/>
      <c r="H452" s="21"/>
      <c r="I452" s="21"/>
      <c r="J452" s="45"/>
      <c r="K452" s="45"/>
      <c r="L452" s="45"/>
      <c r="M452" s="45"/>
      <c r="N452" s="45"/>
      <c r="O452" s="21"/>
      <c r="P452" s="21"/>
      <c r="Q452" s="21"/>
      <c r="R452" s="25" t="str">
        <f t="shared" si="7"/>
        <v/>
      </c>
    </row>
    <row r="453" spans="1:18" ht="33.6" customHeight="1">
      <c r="A453" s="28"/>
      <c r="B453" s="48"/>
      <c r="C453" s="48"/>
      <c r="D453" s="21"/>
      <c r="E453" s="21"/>
      <c r="F453" s="21"/>
      <c r="G453" s="21"/>
      <c r="H453" s="21"/>
      <c r="I453" s="21"/>
      <c r="J453" s="45"/>
      <c r="K453" s="45"/>
      <c r="L453" s="45"/>
      <c r="M453" s="45"/>
      <c r="N453" s="45"/>
      <c r="O453" s="21"/>
      <c r="P453" s="21"/>
      <c r="Q453" s="21"/>
      <c r="R453" s="25" t="str">
        <f t="shared" si="7"/>
        <v/>
      </c>
    </row>
    <row r="454" spans="1:18" ht="33.6" customHeight="1">
      <c r="A454" s="28"/>
      <c r="B454" s="48"/>
      <c r="C454" s="48"/>
      <c r="D454" s="21"/>
      <c r="E454" s="21"/>
      <c r="F454" s="21"/>
      <c r="G454" s="21"/>
      <c r="H454" s="21"/>
      <c r="I454" s="21"/>
      <c r="J454" s="45"/>
      <c r="K454" s="45"/>
      <c r="L454" s="45"/>
      <c r="M454" s="45"/>
      <c r="N454" s="45"/>
      <c r="O454" s="21"/>
      <c r="P454" s="21"/>
      <c r="Q454" s="21"/>
      <c r="R454" s="25" t="str">
        <f t="shared" si="7"/>
        <v/>
      </c>
    </row>
    <row r="455" spans="1:18" ht="33.6" customHeight="1">
      <c r="A455" s="28"/>
      <c r="B455" s="48"/>
      <c r="C455" s="48"/>
      <c r="D455" s="21"/>
      <c r="E455" s="21"/>
      <c r="F455" s="21"/>
      <c r="G455" s="21"/>
      <c r="H455" s="21"/>
      <c r="I455" s="21"/>
      <c r="J455" s="45"/>
      <c r="K455" s="45"/>
      <c r="L455" s="45"/>
      <c r="M455" s="45"/>
      <c r="N455" s="45"/>
      <c r="O455" s="21"/>
      <c r="P455" s="21"/>
      <c r="Q455" s="21"/>
      <c r="R455" s="25" t="str">
        <f t="shared" si="7"/>
        <v/>
      </c>
    </row>
    <row r="456" spans="1:18" ht="33.6" customHeight="1">
      <c r="A456" s="28"/>
      <c r="B456" s="48"/>
      <c r="C456" s="48"/>
      <c r="D456" s="21"/>
      <c r="E456" s="21"/>
      <c r="F456" s="21"/>
      <c r="G456" s="21"/>
      <c r="H456" s="21"/>
      <c r="I456" s="21"/>
      <c r="J456" s="45"/>
      <c r="K456" s="45"/>
      <c r="L456" s="45"/>
      <c r="M456" s="45"/>
      <c r="N456" s="45"/>
      <c r="O456" s="21"/>
      <c r="P456" s="21"/>
      <c r="Q456" s="21"/>
      <c r="R456" s="25" t="str">
        <f t="shared" si="7"/>
        <v/>
      </c>
    </row>
    <row r="457" spans="1:18" ht="33.6" customHeight="1">
      <c r="A457" s="28"/>
      <c r="B457" s="48"/>
      <c r="C457" s="48"/>
      <c r="D457" s="21"/>
      <c r="E457" s="21"/>
      <c r="F457" s="21"/>
      <c r="G457" s="21"/>
      <c r="H457" s="21"/>
      <c r="I457" s="21"/>
      <c r="J457" s="45"/>
      <c r="K457" s="45"/>
      <c r="L457" s="45"/>
      <c r="M457" s="45"/>
      <c r="N457" s="45"/>
      <c r="O457" s="21"/>
      <c r="P457" s="21"/>
      <c r="Q457" s="21"/>
      <c r="R457" s="25" t="str">
        <f t="shared" si="7"/>
        <v/>
      </c>
    </row>
    <row r="458" spans="1:18" ht="33.6" customHeight="1">
      <c r="A458" s="28"/>
      <c r="B458" s="48"/>
      <c r="C458" s="48"/>
      <c r="D458" s="21"/>
      <c r="E458" s="21"/>
      <c r="F458" s="21"/>
      <c r="G458" s="21"/>
      <c r="H458" s="21"/>
      <c r="I458" s="21"/>
      <c r="J458" s="45"/>
      <c r="K458" s="45"/>
      <c r="L458" s="45"/>
      <c r="M458" s="45"/>
      <c r="N458" s="45"/>
      <c r="O458" s="21"/>
      <c r="P458" s="21"/>
      <c r="Q458" s="21"/>
      <c r="R458" s="25" t="str">
        <f t="shared" si="7"/>
        <v/>
      </c>
    </row>
    <row r="459" spans="1:18" ht="33.6" customHeight="1">
      <c r="A459" s="28"/>
      <c r="B459" s="48"/>
      <c r="C459" s="48"/>
      <c r="D459" s="21"/>
      <c r="E459" s="21"/>
      <c r="F459" s="21"/>
      <c r="G459" s="21"/>
      <c r="H459" s="21"/>
      <c r="I459" s="21"/>
      <c r="J459" s="45"/>
      <c r="K459" s="45"/>
      <c r="L459" s="45"/>
      <c r="M459" s="45"/>
      <c r="N459" s="45"/>
      <c r="O459" s="21"/>
      <c r="P459" s="21"/>
      <c r="Q459" s="21"/>
      <c r="R459" s="25" t="str">
        <f t="shared" si="7"/>
        <v/>
      </c>
    </row>
    <row r="460" spans="1:18" ht="33.6" customHeight="1">
      <c r="A460" s="28"/>
      <c r="B460" s="48"/>
      <c r="C460" s="48"/>
      <c r="D460" s="21"/>
      <c r="E460" s="21"/>
      <c r="F460" s="21"/>
      <c r="G460" s="21"/>
      <c r="H460" s="21"/>
      <c r="I460" s="21"/>
      <c r="J460" s="45"/>
      <c r="K460" s="45"/>
      <c r="L460" s="45"/>
      <c r="M460" s="45"/>
      <c r="N460" s="45"/>
      <c r="O460" s="21"/>
      <c r="P460" s="21"/>
      <c r="Q460" s="21"/>
      <c r="R460" s="25" t="str">
        <f t="shared" si="7"/>
        <v/>
      </c>
    </row>
    <row r="461" spans="1:18" ht="33.6" customHeight="1">
      <c r="A461" s="28"/>
      <c r="B461" s="48"/>
      <c r="C461" s="48"/>
      <c r="D461" s="21"/>
      <c r="E461" s="21"/>
      <c r="F461" s="21"/>
      <c r="G461" s="21"/>
      <c r="H461" s="21"/>
      <c r="I461" s="21"/>
      <c r="J461" s="45"/>
      <c r="K461" s="45"/>
      <c r="L461" s="45"/>
      <c r="M461" s="45"/>
      <c r="N461" s="45"/>
      <c r="O461" s="21"/>
      <c r="P461" s="21"/>
      <c r="Q461" s="21"/>
      <c r="R461" s="25" t="str">
        <f t="shared" si="7"/>
        <v/>
      </c>
    </row>
    <row r="462" spans="1:18" ht="33.6" customHeight="1">
      <c r="A462" s="28"/>
      <c r="B462" s="48"/>
      <c r="C462" s="48"/>
      <c r="D462" s="21"/>
      <c r="E462" s="21"/>
      <c r="F462" s="21"/>
      <c r="G462" s="21"/>
      <c r="H462" s="21"/>
      <c r="I462" s="21"/>
      <c r="J462" s="45"/>
      <c r="K462" s="45"/>
      <c r="L462" s="45"/>
      <c r="M462" s="45"/>
      <c r="N462" s="45"/>
      <c r="O462" s="21"/>
      <c r="P462" s="21"/>
      <c r="Q462" s="21"/>
      <c r="R462" s="25" t="str">
        <f t="shared" si="7"/>
        <v/>
      </c>
    </row>
    <row r="463" spans="1:18" ht="33.6" customHeight="1">
      <c r="A463" s="28"/>
      <c r="B463" s="48"/>
      <c r="C463" s="48"/>
      <c r="D463" s="21"/>
      <c r="E463" s="21"/>
      <c r="F463" s="21"/>
      <c r="G463" s="21"/>
      <c r="H463" s="21"/>
      <c r="I463" s="21"/>
      <c r="J463" s="45"/>
      <c r="K463" s="45"/>
      <c r="L463" s="45"/>
      <c r="M463" s="45"/>
      <c r="N463" s="45"/>
      <c r="O463" s="21"/>
      <c r="P463" s="21"/>
      <c r="Q463" s="21"/>
      <c r="R463" s="25" t="str">
        <f t="shared" si="7"/>
        <v/>
      </c>
    </row>
    <row r="464" spans="1:18" ht="33.6" customHeight="1">
      <c r="A464" s="28"/>
      <c r="B464" s="48"/>
      <c r="C464" s="48"/>
      <c r="D464" s="21"/>
      <c r="E464" s="21"/>
      <c r="F464" s="21"/>
      <c r="G464" s="21"/>
      <c r="H464" s="21"/>
      <c r="I464" s="21"/>
      <c r="J464" s="45"/>
      <c r="K464" s="45"/>
      <c r="L464" s="45"/>
      <c r="M464" s="45"/>
      <c r="N464" s="45"/>
      <c r="O464" s="21"/>
      <c r="P464" s="21"/>
      <c r="Q464" s="21"/>
      <c r="R464" s="25" t="str">
        <f t="shared" si="7"/>
        <v/>
      </c>
    </row>
    <row r="465" spans="1:18" ht="33.6" customHeight="1">
      <c r="A465" s="28"/>
      <c r="B465" s="48"/>
      <c r="C465" s="48"/>
      <c r="D465" s="21"/>
      <c r="E465" s="21"/>
      <c r="F465" s="21"/>
      <c r="G465" s="21"/>
      <c r="H465" s="21"/>
      <c r="I465" s="21"/>
      <c r="J465" s="45"/>
      <c r="K465" s="45"/>
      <c r="L465" s="45"/>
      <c r="M465" s="45"/>
      <c r="N465" s="45"/>
      <c r="O465" s="21"/>
      <c r="P465" s="21"/>
      <c r="Q465" s="21"/>
      <c r="R465" s="25" t="str">
        <f t="shared" si="7"/>
        <v/>
      </c>
    </row>
    <row r="466" spans="1:18" ht="33.6" customHeight="1">
      <c r="A466" s="28"/>
      <c r="B466" s="48"/>
      <c r="C466" s="48"/>
      <c r="D466" s="21"/>
      <c r="E466" s="21"/>
      <c r="F466" s="21"/>
      <c r="G466" s="21"/>
      <c r="H466" s="21"/>
      <c r="I466" s="21"/>
      <c r="J466" s="45"/>
      <c r="K466" s="45"/>
      <c r="L466" s="45"/>
      <c r="M466" s="45"/>
      <c r="N466" s="45"/>
      <c r="O466" s="21"/>
      <c r="P466" s="21"/>
      <c r="Q466" s="21"/>
      <c r="R466" s="25" t="str">
        <f t="shared" si="7"/>
        <v/>
      </c>
    </row>
    <row r="467" spans="1:18" ht="33.6" customHeight="1">
      <c r="A467" s="28"/>
      <c r="B467" s="48"/>
      <c r="C467" s="48"/>
      <c r="D467" s="21"/>
      <c r="E467" s="21"/>
      <c r="F467" s="21"/>
      <c r="G467" s="21"/>
      <c r="H467" s="21"/>
      <c r="I467" s="21"/>
      <c r="J467" s="45"/>
      <c r="K467" s="45"/>
      <c r="L467" s="45"/>
      <c r="M467" s="45"/>
      <c r="N467" s="45"/>
      <c r="O467" s="21"/>
      <c r="P467" s="21"/>
      <c r="Q467" s="21"/>
      <c r="R467" s="25" t="str">
        <f t="shared" si="7"/>
        <v/>
      </c>
    </row>
    <row r="468" spans="1:18" ht="33.6" customHeight="1">
      <c r="A468" s="28"/>
      <c r="B468" s="48"/>
      <c r="C468" s="48"/>
      <c r="D468" s="21"/>
      <c r="E468" s="21"/>
      <c r="F468" s="21"/>
      <c r="G468" s="21"/>
      <c r="H468" s="21"/>
      <c r="I468" s="21"/>
      <c r="J468" s="45"/>
      <c r="K468" s="45"/>
      <c r="L468" s="45"/>
      <c r="M468" s="45"/>
      <c r="N468" s="45"/>
      <c r="O468" s="21"/>
      <c r="P468" s="21"/>
      <c r="Q468" s="21"/>
      <c r="R468" s="25" t="str">
        <f t="shared" si="7"/>
        <v/>
      </c>
    </row>
    <row r="469" spans="1:18" ht="33.6" customHeight="1">
      <c r="A469" s="28"/>
      <c r="B469" s="48"/>
      <c r="C469" s="48"/>
      <c r="D469" s="21"/>
      <c r="E469" s="21"/>
      <c r="F469" s="21"/>
      <c r="G469" s="21"/>
      <c r="H469" s="21"/>
      <c r="I469" s="21"/>
      <c r="J469" s="45"/>
      <c r="K469" s="45"/>
      <c r="L469" s="45"/>
      <c r="M469" s="45"/>
      <c r="N469" s="45"/>
      <c r="O469" s="21"/>
      <c r="P469" s="21"/>
      <c r="Q469" s="21"/>
      <c r="R469" s="25" t="str">
        <f t="shared" si="7"/>
        <v/>
      </c>
    </row>
    <row r="470" spans="1:18" ht="33.6" customHeight="1">
      <c r="A470" s="28"/>
      <c r="B470" s="48"/>
      <c r="C470" s="48"/>
      <c r="D470" s="21"/>
      <c r="E470" s="21"/>
      <c r="F470" s="21"/>
      <c r="G470" s="21"/>
      <c r="H470" s="21"/>
      <c r="I470" s="21"/>
      <c r="J470" s="45"/>
      <c r="K470" s="45"/>
      <c r="L470" s="45"/>
      <c r="M470" s="45"/>
      <c r="N470" s="45"/>
      <c r="O470" s="21"/>
      <c r="P470" s="21"/>
      <c r="Q470" s="21"/>
      <c r="R470" s="25" t="str">
        <f t="shared" si="7"/>
        <v/>
      </c>
    </row>
    <row r="471" spans="1:18" ht="33.6" customHeight="1">
      <c r="A471" s="28"/>
      <c r="B471" s="48"/>
      <c r="C471" s="48"/>
      <c r="D471" s="21"/>
      <c r="E471" s="21"/>
      <c r="F471" s="21"/>
      <c r="G471" s="21"/>
      <c r="H471" s="21"/>
      <c r="I471" s="21"/>
      <c r="J471" s="45"/>
      <c r="K471" s="45"/>
      <c r="L471" s="45"/>
      <c r="M471" s="45"/>
      <c r="N471" s="45"/>
      <c r="O471" s="21"/>
      <c r="P471" s="21"/>
      <c r="Q471" s="21"/>
      <c r="R471" s="25" t="str">
        <f t="shared" si="7"/>
        <v/>
      </c>
    </row>
    <row r="472" spans="1:18" ht="33.6" customHeight="1">
      <c r="A472" s="28"/>
      <c r="B472" s="48"/>
      <c r="C472" s="48"/>
      <c r="D472" s="21"/>
      <c r="E472" s="21"/>
      <c r="F472" s="21"/>
      <c r="G472" s="21"/>
      <c r="H472" s="21"/>
      <c r="I472" s="21"/>
      <c r="J472" s="45"/>
      <c r="K472" s="45"/>
      <c r="L472" s="45"/>
      <c r="M472" s="45"/>
      <c r="N472" s="45"/>
      <c r="O472" s="21"/>
      <c r="P472" s="21"/>
      <c r="Q472" s="21"/>
      <c r="R472" s="25" t="str">
        <f t="shared" si="7"/>
        <v/>
      </c>
    </row>
    <row r="473" spans="1:18" ht="33.6" customHeight="1">
      <c r="A473" s="28"/>
      <c r="B473" s="48"/>
      <c r="C473" s="48"/>
      <c r="D473" s="21"/>
      <c r="E473" s="21"/>
      <c r="F473" s="21"/>
      <c r="G473" s="21"/>
      <c r="H473" s="21"/>
      <c r="I473" s="21"/>
      <c r="J473" s="45"/>
      <c r="K473" s="45"/>
      <c r="L473" s="45"/>
      <c r="M473" s="45"/>
      <c r="N473" s="45"/>
      <c r="O473" s="21"/>
      <c r="P473" s="21"/>
      <c r="Q473" s="21"/>
      <c r="R473" s="25" t="str">
        <f t="shared" si="7"/>
        <v/>
      </c>
    </row>
    <row r="474" spans="1:18" ht="33.6" customHeight="1">
      <c r="A474" s="28"/>
      <c r="B474" s="48"/>
      <c r="C474" s="48"/>
      <c r="D474" s="21"/>
      <c r="E474" s="21"/>
      <c r="F474" s="21"/>
      <c r="G474" s="21"/>
      <c r="H474" s="21"/>
      <c r="I474" s="21"/>
      <c r="J474" s="45"/>
      <c r="K474" s="45"/>
      <c r="L474" s="45"/>
      <c r="M474" s="45"/>
      <c r="N474" s="45"/>
      <c r="O474" s="21"/>
      <c r="P474" s="21"/>
      <c r="Q474" s="21"/>
      <c r="R474" s="25" t="str">
        <f t="shared" si="7"/>
        <v/>
      </c>
    </row>
    <row r="475" spans="1:18" ht="33.6" customHeight="1">
      <c r="A475" s="28"/>
      <c r="B475" s="48"/>
      <c r="C475" s="48"/>
      <c r="D475" s="21"/>
      <c r="E475" s="21"/>
      <c r="F475" s="21"/>
      <c r="G475" s="21"/>
      <c r="H475" s="21"/>
      <c r="I475" s="21"/>
      <c r="J475" s="45"/>
      <c r="K475" s="45"/>
      <c r="L475" s="45"/>
      <c r="M475" s="45"/>
      <c r="N475" s="45"/>
      <c r="O475" s="21"/>
      <c r="P475" s="21"/>
      <c r="Q475" s="21"/>
      <c r="R475" s="25" t="str">
        <f t="shared" si="7"/>
        <v/>
      </c>
    </row>
    <row r="476" spans="1:18" ht="33.6" customHeight="1">
      <c r="A476" s="28"/>
      <c r="B476" s="48"/>
      <c r="C476" s="48"/>
      <c r="D476" s="21"/>
      <c r="E476" s="21"/>
      <c r="F476" s="21"/>
      <c r="G476" s="21"/>
      <c r="H476" s="21"/>
      <c r="I476" s="21"/>
      <c r="J476" s="45"/>
      <c r="K476" s="45"/>
      <c r="L476" s="45"/>
      <c r="M476" s="45"/>
      <c r="N476" s="45"/>
      <c r="O476" s="21"/>
      <c r="P476" s="21"/>
      <c r="Q476" s="21"/>
      <c r="R476" s="25" t="str">
        <f t="shared" si="7"/>
        <v/>
      </c>
    </row>
    <row r="477" spans="1:18" ht="33.6" customHeight="1">
      <c r="A477" s="28"/>
      <c r="B477" s="48"/>
      <c r="C477" s="48"/>
      <c r="D477" s="21"/>
      <c r="E477" s="21"/>
      <c r="F477" s="21"/>
      <c r="G477" s="21"/>
      <c r="H477" s="21"/>
      <c r="I477" s="21"/>
      <c r="J477" s="45"/>
      <c r="K477" s="45"/>
      <c r="L477" s="45"/>
      <c r="M477" s="45"/>
      <c r="N477" s="45"/>
      <c r="O477" s="21"/>
      <c r="P477" s="21"/>
      <c r="Q477" s="21"/>
      <c r="R477" s="25" t="str">
        <f t="shared" si="7"/>
        <v/>
      </c>
    </row>
    <row r="478" spans="1:18" ht="33.6" customHeight="1">
      <c r="A478" s="28"/>
      <c r="B478" s="48"/>
      <c r="C478" s="48"/>
      <c r="D478" s="21"/>
      <c r="E478" s="21"/>
      <c r="F478" s="21"/>
      <c r="G478" s="21"/>
      <c r="H478" s="21"/>
      <c r="I478" s="21"/>
      <c r="J478" s="45"/>
      <c r="K478" s="45"/>
      <c r="L478" s="45"/>
      <c r="M478" s="45"/>
      <c r="N478" s="45"/>
      <c r="O478" s="21"/>
      <c r="P478" s="21"/>
      <c r="Q478" s="21"/>
      <c r="R478" s="25" t="str">
        <f t="shared" si="7"/>
        <v/>
      </c>
    </row>
    <row r="479" spans="1:18" ht="33.6" customHeight="1">
      <c r="A479" s="28"/>
      <c r="B479" s="48"/>
      <c r="C479" s="48"/>
      <c r="D479" s="21"/>
      <c r="E479" s="21"/>
      <c r="F479" s="21"/>
      <c r="G479" s="21"/>
      <c r="H479" s="21"/>
      <c r="I479" s="21"/>
      <c r="J479" s="45"/>
      <c r="K479" s="45"/>
      <c r="L479" s="45"/>
      <c r="M479" s="45"/>
      <c r="N479" s="45"/>
      <c r="O479" s="21"/>
      <c r="P479" s="21"/>
      <c r="Q479" s="21"/>
      <c r="R479" s="25" t="str">
        <f t="shared" si="7"/>
        <v/>
      </c>
    </row>
    <row r="480" spans="1:18" ht="33.6" customHeight="1">
      <c r="A480" s="28"/>
      <c r="B480" s="48"/>
      <c r="C480" s="48"/>
      <c r="D480" s="21"/>
      <c r="E480" s="21"/>
      <c r="F480" s="21"/>
      <c r="G480" s="21"/>
      <c r="H480" s="21"/>
      <c r="I480" s="21"/>
      <c r="J480" s="45"/>
      <c r="K480" s="45"/>
      <c r="L480" s="45"/>
      <c r="M480" s="45"/>
      <c r="N480" s="45"/>
      <c r="O480" s="21"/>
      <c r="P480" s="21"/>
      <c r="Q480" s="21"/>
      <c r="R480" s="25" t="str">
        <f t="shared" si="7"/>
        <v/>
      </c>
    </row>
    <row r="481" spans="1:18" ht="33.6" customHeight="1">
      <c r="A481" s="28"/>
      <c r="B481" s="48"/>
      <c r="C481" s="48"/>
      <c r="D481" s="21"/>
      <c r="E481" s="21"/>
      <c r="F481" s="21"/>
      <c r="G481" s="21"/>
      <c r="H481" s="21"/>
      <c r="I481" s="21"/>
      <c r="J481" s="45"/>
      <c r="K481" s="45"/>
      <c r="L481" s="45"/>
      <c r="M481" s="45"/>
      <c r="N481" s="45"/>
      <c r="O481" s="21"/>
      <c r="P481" s="21"/>
      <c r="Q481" s="21"/>
      <c r="R481" s="25" t="str">
        <f t="shared" si="7"/>
        <v/>
      </c>
    </row>
    <row r="482" spans="1:18" ht="33.6" customHeight="1">
      <c r="A482" s="28"/>
      <c r="B482" s="48"/>
      <c r="C482" s="48"/>
      <c r="D482" s="21"/>
      <c r="E482" s="21"/>
      <c r="F482" s="21"/>
      <c r="G482" s="21"/>
      <c r="H482" s="21"/>
      <c r="I482" s="21"/>
      <c r="J482" s="45"/>
      <c r="K482" s="45"/>
      <c r="L482" s="45"/>
      <c r="M482" s="45"/>
      <c r="N482" s="45"/>
      <c r="O482" s="21"/>
      <c r="P482" s="21"/>
      <c r="Q482" s="21"/>
      <c r="R482" s="25" t="str">
        <f t="shared" si="7"/>
        <v/>
      </c>
    </row>
    <row r="483" spans="1:18" ht="33.6" customHeight="1">
      <c r="A483" s="28"/>
      <c r="B483" s="48"/>
      <c r="C483" s="48"/>
      <c r="D483" s="21"/>
      <c r="E483" s="21"/>
      <c r="F483" s="21"/>
      <c r="G483" s="21"/>
      <c r="H483" s="21"/>
      <c r="I483" s="21"/>
      <c r="J483" s="45"/>
      <c r="K483" s="45"/>
      <c r="L483" s="45"/>
      <c r="M483" s="45"/>
      <c r="N483" s="45"/>
      <c r="O483" s="21"/>
      <c r="P483" s="21"/>
      <c r="Q483" s="21"/>
      <c r="R483" s="25" t="str">
        <f t="shared" si="7"/>
        <v/>
      </c>
    </row>
    <row r="484" spans="1:18" ht="33.6" customHeight="1">
      <c r="A484" s="28"/>
      <c r="B484" s="48"/>
      <c r="C484" s="48"/>
      <c r="D484" s="21"/>
      <c r="E484" s="21"/>
      <c r="F484" s="21"/>
      <c r="G484" s="21"/>
      <c r="H484" s="21"/>
      <c r="I484" s="21"/>
      <c r="J484" s="45"/>
      <c r="K484" s="45"/>
      <c r="L484" s="45"/>
      <c r="M484" s="45"/>
      <c r="N484" s="45"/>
      <c r="O484" s="21"/>
      <c r="P484" s="21"/>
      <c r="Q484" s="21"/>
      <c r="R484" s="25" t="str">
        <f t="shared" si="7"/>
        <v/>
      </c>
    </row>
    <row r="485" spans="1:18" ht="33.6" customHeight="1">
      <c r="A485" s="28"/>
      <c r="B485" s="48"/>
      <c r="C485" s="48"/>
      <c r="D485" s="21"/>
      <c r="E485" s="21"/>
      <c r="F485" s="21"/>
      <c r="G485" s="21"/>
      <c r="H485" s="21"/>
      <c r="I485" s="21"/>
      <c r="J485" s="45"/>
      <c r="K485" s="45"/>
      <c r="L485" s="45"/>
      <c r="M485" s="45"/>
      <c r="N485" s="45"/>
      <c r="O485" s="21"/>
      <c r="P485" s="21"/>
      <c r="Q485" s="21"/>
      <c r="R485" s="25" t="str">
        <f t="shared" si="7"/>
        <v/>
      </c>
    </row>
    <row r="486" spans="1:18" ht="33.6" customHeight="1">
      <c r="A486" s="28"/>
      <c r="B486" s="48"/>
      <c r="C486" s="48"/>
      <c r="D486" s="21"/>
      <c r="E486" s="21"/>
      <c r="F486" s="21"/>
      <c r="G486" s="21"/>
      <c r="H486" s="21"/>
      <c r="I486" s="21"/>
      <c r="J486" s="45"/>
      <c r="K486" s="45"/>
      <c r="L486" s="45"/>
      <c r="M486" s="45"/>
      <c r="N486" s="45"/>
      <c r="O486" s="21"/>
      <c r="P486" s="21"/>
      <c r="Q486" s="21"/>
      <c r="R486" s="25" t="str">
        <f t="shared" si="7"/>
        <v/>
      </c>
    </row>
    <row r="487" spans="1:18" ht="33.6" customHeight="1">
      <c r="A487" s="28"/>
      <c r="B487" s="48"/>
      <c r="C487" s="48"/>
      <c r="D487" s="21"/>
      <c r="E487" s="21"/>
      <c r="F487" s="21"/>
      <c r="G487" s="21"/>
      <c r="H487" s="21"/>
      <c r="I487" s="21"/>
      <c r="J487" s="45"/>
      <c r="K487" s="45"/>
      <c r="L487" s="45"/>
      <c r="M487" s="45"/>
      <c r="N487" s="45"/>
      <c r="O487" s="21"/>
      <c r="P487" s="21"/>
      <c r="Q487" s="21"/>
      <c r="R487" s="25" t="str">
        <f t="shared" si="7"/>
        <v/>
      </c>
    </row>
    <row r="488" spans="1:18" ht="33.6" customHeight="1">
      <c r="A488" s="28"/>
      <c r="B488" s="48"/>
      <c r="C488" s="48"/>
      <c r="D488" s="21"/>
      <c r="E488" s="21"/>
      <c r="F488" s="21"/>
      <c r="G488" s="21"/>
      <c r="H488" s="21"/>
      <c r="I488" s="21"/>
      <c r="J488" s="45"/>
      <c r="K488" s="45"/>
      <c r="L488" s="45"/>
      <c r="M488" s="45"/>
      <c r="N488" s="45"/>
      <c r="O488" s="21"/>
      <c r="P488" s="21"/>
      <c r="Q488" s="21"/>
      <c r="R488" s="25" t="str">
        <f t="shared" si="7"/>
        <v/>
      </c>
    </row>
    <row r="489" spans="1:18" ht="33.6" customHeight="1">
      <c r="A489" s="28"/>
      <c r="B489" s="48"/>
      <c r="C489" s="48"/>
      <c r="D489" s="21"/>
      <c r="E489" s="21"/>
      <c r="F489" s="21"/>
      <c r="G489" s="21"/>
      <c r="H489" s="21"/>
      <c r="I489" s="21"/>
      <c r="J489" s="45"/>
      <c r="K489" s="45"/>
      <c r="L489" s="45"/>
      <c r="M489" s="45"/>
      <c r="N489" s="45"/>
      <c r="O489" s="21"/>
      <c r="P489" s="21"/>
      <c r="Q489" s="21"/>
      <c r="R489" s="25" t="str">
        <f t="shared" si="7"/>
        <v/>
      </c>
    </row>
    <row r="490" spans="1:18" ht="33.6" customHeight="1">
      <c r="A490" s="28"/>
      <c r="B490" s="48"/>
      <c r="C490" s="48"/>
      <c r="D490" s="21"/>
      <c r="E490" s="21"/>
      <c r="F490" s="21"/>
      <c r="G490" s="21"/>
      <c r="H490" s="21"/>
      <c r="I490" s="21"/>
      <c r="J490" s="45"/>
      <c r="K490" s="45"/>
      <c r="L490" s="45"/>
      <c r="M490" s="45"/>
      <c r="N490" s="45"/>
      <c r="O490" s="21"/>
      <c r="P490" s="21"/>
      <c r="Q490" s="21"/>
      <c r="R490" s="25" t="str">
        <f t="shared" si="7"/>
        <v/>
      </c>
    </row>
    <row r="491" spans="1:18" ht="33.6" customHeight="1">
      <c r="A491" s="28"/>
      <c r="B491" s="48"/>
      <c r="C491" s="48"/>
      <c r="D491" s="21"/>
      <c r="E491" s="21"/>
      <c r="F491" s="21"/>
      <c r="G491" s="21"/>
      <c r="H491" s="21"/>
      <c r="I491" s="21"/>
      <c r="J491" s="45"/>
      <c r="K491" s="45"/>
      <c r="L491" s="45"/>
      <c r="M491" s="45"/>
      <c r="N491" s="45"/>
      <c r="O491" s="21"/>
      <c r="P491" s="21"/>
      <c r="Q491" s="21"/>
      <c r="R491" s="25" t="str">
        <f t="shared" si="7"/>
        <v/>
      </c>
    </row>
    <row r="492" spans="1:18" ht="33.6" customHeight="1">
      <c r="A492" s="28"/>
      <c r="B492" s="48"/>
      <c r="C492" s="48"/>
      <c r="D492" s="21"/>
      <c r="E492" s="21"/>
      <c r="F492" s="21"/>
      <c r="G492" s="21"/>
      <c r="H492" s="21"/>
      <c r="I492" s="21"/>
      <c r="J492" s="45"/>
      <c r="K492" s="45"/>
      <c r="L492" s="45"/>
      <c r="M492" s="45"/>
      <c r="N492" s="45"/>
      <c r="O492" s="21"/>
      <c r="P492" s="21"/>
      <c r="Q492" s="21"/>
      <c r="R492" s="25" t="str">
        <f t="shared" si="7"/>
        <v/>
      </c>
    </row>
    <row r="493" spans="1:18" ht="33.6" customHeight="1">
      <c r="A493" s="28"/>
      <c r="B493" s="48"/>
      <c r="C493" s="48"/>
      <c r="D493" s="21"/>
      <c r="E493" s="21"/>
      <c r="F493" s="21"/>
      <c r="G493" s="21"/>
      <c r="H493" s="21"/>
      <c r="I493" s="21"/>
      <c r="J493" s="45"/>
      <c r="K493" s="45"/>
      <c r="L493" s="45"/>
      <c r="M493" s="45"/>
      <c r="N493" s="45"/>
      <c r="O493" s="21"/>
      <c r="P493" s="21"/>
      <c r="Q493" s="21"/>
      <c r="R493" s="25" t="str">
        <f t="shared" si="7"/>
        <v/>
      </c>
    </row>
    <row r="494" spans="1:18" ht="33.6" customHeight="1">
      <c r="A494" s="28"/>
      <c r="B494" s="48"/>
      <c r="C494" s="48"/>
      <c r="D494" s="21"/>
      <c r="E494" s="21"/>
      <c r="F494" s="21"/>
      <c r="G494" s="21"/>
      <c r="H494" s="21"/>
      <c r="I494" s="21"/>
      <c r="J494" s="45"/>
      <c r="K494" s="45"/>
      <c r="L494" s="45"/>
      <c r="M494" s="45"/>
      <c r="N494" s="45"/>
      <c r="O494" s="21"/>
      <c r="P494" s="21"/>
      <c r="Q494" s="21"/>
      <c r="R494" s="25" t="str">
        <f t="shared" si="7"/>
        <v/>
      </c>
    </row>
    <row r="495" spans="1:18" ht="33.6" customHeight="1">
      <c r="A495" s="28"/>
      <c r="B495" s="48"/>
      <c r="C495" s="48"/>
      <c r="D495" s="21"/>
      <c r="E495" s="21"/>
      <c r="F495" s="21"/>
      <c r="G495" s="21"/>
      <c r="H495" s="21"/>
      <c r="I495" s="21"/>
      <c r="J495" s="45"/>
      <c r="K495" s="45"/>
      <c r="L495" s="45"/>
      <c r="M495" s="45"/>
      <c r="N495" s="45"/>
      <c r="O495" s="21"/>
      <c r="P495" s="21"/>
      <c r="Q495" s="21"/>
      <c r="R495" s="25" t="str">
        <f t="shared" si="7"/>
        <v/>
      </c>
    </row>
    <row r="496" spans="1:18" ht="33.6" customHeight="1">
      <c r="A496" s="28"/>
      <c r="B496" s="48"/>
      <c r="C496" s="48"/>
      <c r="D496" s="21"/>
      <c r="E496" s="21"/>
      <c r="F496" s="21"/>
      <c r="G496" s="21"/>
      <c r="H496" s="21"/>
      <c r="I496" s="21"/>
      <c r="J496" s="45"/>
      <c r="K496" s="45"/>
      <c r="L496" s="45"/>
      <c r="M496" s="45"/>
      <c r="N496" s="45"/>
      <c r="O496" s="21"/>
      <c r="P496" s="21"/>
      <c r="Q496" s="21"/>
      <c r="R496" s="25" t="str">
        <f t="shared" si="7"/>
        <v/>
      </c>
    </row>
    <row r="497" spans="1:18" ht="33.6" customHeight="1">
      <c r="A497" s="28"/>
      <c r="B497" s="48"/>
      <c r="C497" s="48"/>
      <c r="D497" s="21"/>
      <c r="E497" s="21"/>
      <c r="F497" s="21"/>
      <c r="G497" s="21"/>
      <c r="H497" s="21"/>
      <c r="I497" s="21"/>
      <c r="J497" s="45"/>
      <c r="K497" s="45"/>
      <c r="L497" s="45"/>
      <c r="M497" s="45"/>
      <c r="N497" s="45"/>
      <c r="O497" s="21"/>
      <c r="P497" s="21"/>
      <c r="Q497" s="21"/>
      <c r="R497" s="25" t="str">
        <f t="shared" si="7"/>
        <v/>
      </c>
    </row>
    <row r="498" spans="1:18" ht="33.6" customHeight="1">
      <c r="A498" s="28"/>
      <c r="B498" s="48"/>
      <c r="C498" s="48"/>
      <c r="D498" s="21"/>
      <c r="E498" s="21"/>
      <c r="F498" s="21"/>
      <c r="G498" s="21"/>
      <c r="H498" s="21"/>
      <c r="I498" s="21"/>
      <c r="J498" s="45"/>
      <c r="K498" s="45"/>
      <c r="L498" s="45"/>
      <c r="M498" s="45"/>
      <c r="N498" s="45"/>
      <c r="O498" s="21"/>
      <c r="P498" s="21"/>
      <c r="Q498" s="21"/>
      <c r="R498" s="25" t="str">
        <f t="shared" si="7"/>
        <v/>
      </c>
    </row>
    <row r="499" spans="1:18" ht="33.6" customHeight="1">
      <c r="A499" s="28"/>
      <c r="B499" s="48"/>
      <c r="C499" s="48"/>
      <c r="D499" s="21"/>
      <c r="E499" s="21"/>
      <c r="F499" s="21"/>
      <c r="G499" s="21"/>
      <c r="H499" s="21"/>
      <c r="I499" s="21"/>
      <c r="J499" s="45"/>
      <c r="K499" s="45"/>
      <c r="L499" s="45"/>
      <c r="M499" s="45"/>
      <c r="N499" s="45"/>
      <c r="O499" s="21"/>
      <c r="P499" s="21"/>
      <c r="Q499" s="21"/>
      <c r="R499" s="25" t="str">
        <f t="shared" ref="R499:R562" si="8">IF(COUNTIF($A$17:$A$2010,$A499)&gt;1,"Possible Duplicate","")</f>
        <v/>
      </c>
    </row>
    <row r="500" spans="1:18" ht="33.6" customHeight="1">
      <c r="A500" s="28"/>
      <c r="B500" s="48"/>
      <c r="C500" s="48"/>
      <c r="D500" s="21"/>
      <c r="E500" s="21"/>
      <c r="F500" s="21"/>
      <c r="G500" s="21"/>
      <c r="H500" s="21"/>
      <c r="I500" s="21"/>
      <c r="J500" s="45"/>
      <c r="K500" s="45"/>
      <c r="L500" s="45"/>
      <c r="M500" s="45"/>
      <c r="N500" s="45"/>
      <c r="O500" s="21"/>
      <c r="P500" s="21"/>
      <c r="Q500" s="21"/>
      <c r="R500" s="25" t="str">
        <f t="shared" si="8"/>
        <v/>
      </c>
    </row>
    <row r="501" spans="1:18" ht="33.6" customHeight="1">
      <c r="A501" s="28"/>
      <c r="B501" s="48"/>
      <c r="C501" s="48"/>
      <c r="D501" s="21"/>
      <c r="E501" s="21"/>
      <c r="F501" s="21"/>
      <c r="G501" s="21"/>
      <c r="H501" s="21"/>
      <c r="I501" s="21"/>
      <c r="J501" s="45"/>
      <c r="K501" s="45"/>
      <c r="L501" s="45"/>
      <c r="M501" s="45"/>
      <c r="N501" s="45"/>
      <c r="O501" s="21"/>
      <c r="P501" s="21"/>
      <c r="Q501" s="21"/>
      <c r="R501" s="25" t="str">
        <f t="shared" si="8"/>
        <v/>
      </c>
    </row>
    <row r="502" spans="1:18" ht="33.6" customHeight="1">
      <c r="A502" s="28"/>
      <c r="B502" s="48"/>
      <c r="C502" s="48"/>
      <c r="D502" s="21"/>
      <c r="E502" s="21"/>
      <c r="F502" s="21"/>
      <c r="G502" s="21"/>
      <c r="H502" s="21"/>
      <c r="I502" s="21"/>
      <c r="J502" s="45"/>
      <c r="K502" s="45"/>
      <c r="L502" s="45"/>
      <c r="M502" s="45"/>
      <c r="N502" s="45"/>
      <c r="O502" s="21"/>
      <c r="P502" s="21"/>
      <c r="Q502" s="21"/>
      <c r="R502" s="25" t="str">
        <f t="shared" si="8"/>
        <v/>
      </c>
    </row>
    <row r="503" spans="1:18" ht="33.6" customHeight="1">
      <c r="A503" s="28"/>
      <c r="B503" s="48"/>
      <c r="C503" s="48"/>
      <c r="D503" s="21"/>
      <c r="E503" s="21"/>
      <c r="F503" s="21"/>
      <c r="G503" s="21"/>
      <c r="H503" s="21"/>
      <c r="I503" s="21"/>
      <c r="J503" s="45"/>
      <c r="K503" s="45"/>
      <c r="L503" s="45"/>
      <c r="M503" s="45"/>
      <c r="N503" s="45"/>
      <c r="O503" s="21"/>
      <c r="P503" s="21"/>
      <c r="Q503" s="21"/>
      <c r="R503" s="25" t="str">
        <f t="shared" si="8"/>
        <v/>
      </c>
    </row>
    <row r="504" spans="1:18" ht="33.6" customHeight="1">
      <c r="A504" s="28"/>
      <c r="B504" s="48"/>
      <c r="C504" s="48"/>
      <c r="D504" s="21"/>
      <c r="E504" s="21"/>
      <c r="F504" s="21"/>
      <c r="G504" s="21"/>
      <c r="H504" s="21"/>
      <c r="I504" s="21"/>
      <c r="J504" s="45"/>
      <c r="K504" s="45"/>
      <c r="L504" s="45"/>
      <c r="M504" s="45"/>
      <c r="N504" s="45"/>
      <c r="O504" s="21"/>
      <c r="P504" s="21"/>
      <c r="Q504" s="21"/>
      <c r="R504" s="25" t="str">
        <f t="shared" si="8"/>
        <v/>
      </c>
    </row>
    <row r="505" spans="1:18" ht="33.6" customHeight="1">
      <c r="A505" s="28"/>
      <c r="B505" s="48"/>
      <c r="C505" s="48"/>
      <c r="D505" s="21"/>
      <c r="E505" s="21"/>
      <c r="F505" s="21"/>
      <c r="G505" s="21"/>
      <c r="H505" s="21"/>
      <c r="I505" s="21"/>
      <c r="J505" s="45"/>
      <c r="K505" s="45"/>
      <c r="L505" s="45"/>
      <c r="M505" s="45"/>
      <c r="N505" s="45"/>
      <c r="O505" s="21"/>
      <c r="P505" s="21"/>
      <c r="Q505" s="21"/>
      <c r="R505" s="25" t="str">
        <f t="shared" si="8"/>
        <v/>
      </c>
    </row>
    <row r="506" spans="1:18" ht="33.6" customHeight="1">
      <c r="A506" s="28"/>
      <c r="B506" s="48"/>
      <c r="C506" s="48"/>
      <c r="D506" s="21"/>
      <c r="E506" s="21"/>
      <c r="F506" s="21"/>
      <c r="G506" s="21"/>
      <c r="H506" s="21"/>
      <c r="I506" s="21"/>
      <c r="J506" s="45"/>
      <c r="K506" s="45"/>
      <c r="L506" s="45"/>
      <c r="M506" s="45"/>
      <c r="N506" s="45"/>
      <c r="O506" s="21"/>
      <c r="P506" s="21"/>
      <c r="Q506" s="21"/>
      <c r="R506" s="25" t="str">
        <f t="shared" si="8"/>
        <v/>
      </c>
    </row>
    <row r="507" spans="1:18" ht="33.6" customHeight="1">
      <c r="A507" s="28"/>
      <c r="B507" s="48"/>
      <c r="C507" s="48"/>
      <c r="D507" s="21"/>
      <c r="E507" s="21"/>
      <c r="F507" s="21"/>
      <c r="G507" s="21"/>
      <c r="H507" s="21"/>
      <c r="I507" s="21"/>
      <c r="J507" s="45"/>
      <c r="K507" s="45"/>
      <c r="L507" s="45"/>
      <c r="M507" s="45"/>
      <c r="N507" s="45"/>
      <c r="O507" s="21"/>
      <c r="P507" s="21"/>
      <c r="Q507" s="21"/>
      <c r="R507" s="25" t="str">
        <f t="shared" si="8"/>
        <v/>
      </c>
    </row>
    <row r="508" spans="1:18" ht="33.6" customHeight="1">
      <c r="A508" s="28"/>
      <c r="B508" s="48"/>
      <c r="C508" s="48"/>
      <c r="D508" s="21"/>
      <c r="E508" s="21"/>
      <c r="F508" s="21"/>
      <c r="G508" s="21"/>
      <c r="H508" s="21"/>
      <c r="I508" s="21"/>
      <c r="J508" s="45"/>
      <c r="K508" s="45"/>
      <c r="L508" s="45"/>
      <c r="M508" s="45"/>
      <c r="N508" s="45"/>
      <c r="O508" s="21"/>
      <c r="P508" s="21"/>
      <c r="Q508" s="21"/>
      <c r="R508" s="25" t="str">
        <f t="shared" si="8"/>
        <v/>
      </c>
    </row>
    <row r="509" spans="1:18" ht="33.6" customHeight="1">
      <c r="A509" s="28"/>
      <c r="B509" s="48"/>
      <c r="C509" s="48"/>
      <c r="D509" s="21"/>
      <c r="E509" s="21"/>
      <c r="F509" s="21"/>
      <c r="G509" s="21"/>
      <c r="H509" s="21"/>
      <c r="I509" s="21"/>
      <c r="J509" s="45"/>
      <c r="K509" s="45"/>
      <c r="L509" s="45"/>
      <c r="M509" s="45"/>
      <c r="N509" s="45"/>
      <c r="O509" s="21"/>
      <c r="P509" s="21"/>
      <c r="Q509" s="21"/>
      <c r="R509" s="25" t="str">
        <f t="shared" si="8"/>
        <v/>
      </c>
    </row>
    <row r="510" spans="1:18" ht="33.6" customHeight="1">
      <c r="A510" s="28"/>
      <c r="B510" s="48"/>
      <c r="C510" s="48"/>
      <c r="D510" s="21"/>
      <c r="E510" s="21"/>
      <c r="F510" s="21"/>
      <c r="G510" s="21"/>
      <c r="H510" s="21"/>
      <c r="I510" s="21"/>
      <c r="J510" s="45"/>
      <c r="K510" s="45"/>
      <c r="L510" s="45"/>
      <c r="M510" s="45"/>
      <c r="N510" s="45"/>
      <c r="O510" s="21"/>
      <c r="P510" s="21"/>
      <c r="Q510" s="21"/>
      <c r="R510" s="25" t="str">
        <f t="shared" si="8"/>
        <v/>
      </c>
    </row>
    <row r="511" spans="1:18" ht="33.6" customHeight="1">
      <c r="A511" s="28"/>
      <c r="B511" s="48"/>
      <c r="C511" s="48"/>
      <c r="D511" s="21"/>
      <c r="E511" s="21"/>
      <c r="F511" s="21"/>
      <c r="G511" s="21"/>
      <c r="H511" s="21"/>
      <c r="I511" s="21"/>
      <c r="J511" s="45"/>
      <c r="K511" s="45"/>
      <c r="L511" s="45"/>
      <c r="M511" s="45"/>
      <c r="N511" s="45"/>
      <c r="O511" s="21"/>
      <c r="P511" s="21"/>
      <c r="Q511" s="21"/>
      <c r="R511" s="25" t="str">
        <f t="shared" si="8"/>
        <v/>
      </c>
    </row>
    <row r="512" spans="1:18" ht="33.6" customHeight="1">
      <c r="A512" s="28"/>
      <c r="B512" s="48"/>
      <c r="C512" s="48"/>
      <c r="D512" s="21"/>
      <c r="E512" s="21"/>
      <c r="F512" s="21"/>
      <c r="G512" s="21"/>
      <c r="H512" s="21"/>
      <c r="I512" s="21"/>
      <c r="J512" s="45"/>
      <c r="K512" s="45"/>
      <c r="L512" s="45"/>
      <c r="M512" s="45"/>
      <c r="N512" s="45"/>
      <c r="O512" s="21"/>
      <c r="P512" s="21"/>
      <c r="Q512" s="21"/>
      <c r="R512" s="25" t="str">
        <f t="shared" si="8"/>
        <v/>
      </c>
    </row>
    <row r="513" spans="1:18" ht="33.6" customHeight="1">
      <c r="A513" s="28"/>
      <c r="B513" s="48"/>
      <c r="C513" s="48"/>
      <c r="D513" s="21"/>
      <c r="E513" s="21"/>
      <c r="F513" s="21"/>
      <c r="G513" s="21"/>
      <c r="H513" s="21"/>
      <c r="I513" s="21"/>
      <c r="J513" s="45"/>
      <c r="K513" s="45"/>
      <c r="L513" s="45"/>
      <c r="M513" s="45"/>
      <c r="N513" s="45"/>
      <c r="O513" s="21"/>
      <c r="P513" s="21"/>
      <c r="Q513" s="21"/>
      <c r="R513" s="25" t="str">
        <f t="shared" si="8"/>
        <v/>
      </c>
    </row>
    <row r="514" spans="1:18" ht="33.6" customHeight="1">
      <c r="A514" s="28"/>
      <c r="B514" s="48"/>
      <c r="C514" s="48"/>
      <c r="D514" s="21"/>
      <c r="E514" s="21"/>
      <c r="F514" s="21"/>
      <c r="G514" s="21"/>
      <c r="H514" s="21"/>
      <c r="I514" s="21"/>
      <c r="J514" s="45"/>
      <c r="K514" s="45"/>
      <c r="L514" s="45"/>
      <c r="M514" s="45"/>
      <c r="N514" s="45"/>
      <c r="O514" s="21"/>
      <c r="P514" s="21"/>
      <c r="Q514" s="21"/>
      <c r="R514" s="25" t="str">
        <f t="shared" si="8"/>
        <v/>
      </c>
    </row>
    <row r="515" spans="1:18" ht="33.6" customHeight="1">
      <c r="A515" s="28"/>
      <c r="B515" s="48"/>
      <c r="C515" s="48"/>
      <c r="D515" s="21"/>
      <c r="E515" s="21"/>
      <c r="F515" s="21"/>
      <c r="G515" s="21"/>
      <c r="H515" s="21"/>
      <c r="I515" s="21"/>
      <c r="J515" s="45"/>
      <c r="K515" s="45"/>
      <c r="L515" s="45"/>
      <c r="M515" s="45"/>
      <c r="N515" s="45"/>
      <c r="O515" s="21"/>
      <c r="P515" s="21"/>
      <c r="Q515" s="21"/>
      <c r="R515" s="25" t="str">
        <f t="shared" si="8"/>
        <v/>
      </c>
    </row>
    <row r="516" spans="1:18" ht="33.6" customHeight="1">
      <c r="A516" s="28"/>
      <c r="B516" s="48"/>
      <c r="C516" s="48"/>
      <c r="D516" s="21"/>
      <c r="E516" s="21"/>
      <c r="F516" s="21"/>
      <c r="G516" s="21"/>
      <c r="H516" s="21"/>
      <c r="I516" s="21"/>
      <c r="J516" s="45"/>
      <c r="K516" s="45"/>
      <c r="L516" s="45"/>
      <c r="M516" s="45"/>
      <c r="N516" s="45"/>
      <c r="O516" s="21"/>
      <c r="P516" s="21"/>
      <c r="Q516" s="21"/>
      <c r="R516" s="25" t="str">
        <f t="shared" si="8"/>
        <v/>
      </c>
    </row>
    <row r="517" spans="1:18" ht="33.6" customHeight="1">
      <c r="A517" s="28"/>
      <c r="B517" s="48"/>
      <c r="C517" s="48"/>
      <c r="D517" s="21"/>
      <c r="E517" s="21"/>
      <c r="F517" s="21"/>
      <c r="G517" s="21"/>
      <c r="H517" s="21"/>
      <c r="I517" s="21"/>
      <c r="J517" s="45"/>
      <c r="K517" s="45"/>
      <c r="L517" s="45"/>
      <c r="M517" s="45"/>
      <c r="N517" s="45"/>
      <c r="O517" s="21"/>
      <c r="P517" s="21"/>
      <c r="Q517" s="21"/>
      <c r="R517" s="25" t="str">
        <f t="shared" si="8"/>
        <v/>
      </c>
    </row>
    <row r="518" spans="1:18" ht="33.6" customHeight="1">
      <c r="A518" s="28"/>
      <c r="B518" s="48"/>
      <c r="C518" s="48"/>
      <c r="D518" s="21"/>
      <c r="E518" s="21"/>
      <c r="F518" s="21"/>
      <c r="G518" s="21"/>
      <c r="H518" s="21"/>
      <c r="I518" s="21"/>
      <c r="J518" s="45"/>
      <c r="K518" s="45"/>
      <c r="L518" s="45"/>
      <c r="M518" s="45"/>
      <c r="N518" s="45"/>
      <c r="O518" s="21"/>
      <c r="P518" s="21"/>
      <c r="Q518" s="21"/>
      <c r="R518" s="25" t="str">
        <f t="shared" si="8"/>
        <v/>
      </c>
    </row>
    <row r="519" spans="1:18" ht="33.6" customHeight="1">
      <c r="A519" s="28"/>
      <c r="B519" s="48"/>
      <c r="C519" s="48"/>
      <c r="D519" s="21"/>
      <c r="E519" s="21"/>
      <c r="F519" s="21"/>
      <c r="G519" s="21"/>
      <c r="H519" s="21"/>
      <c r="I519" s="21"/>
      <c r="J519" s="45"/>
      <c r="K519" s="45"/>
      <c r="L519" s="45"/>
      <c r="M519" s="45"/>
      <c r="N519" s="45"/>
      <c r="O519" s="21"/>
      <c r="P519" s="21"/>
      <c r="Q519" s="21"/>
      <c r="R519" s="25" t="str">
        <f t="shared" si="8"/>
        <v/>
      </c>
    </row>
    <row r="520" spans="1:18" ht="33.6" customHeight="1">
      <c r="A520" s="28"/>
      <c r="B520" s="48"/>
      <c r="C520" s="48"/>
      <c r="D520" s="21"/>
      <c r="E520" s="21"/>
      <c r="F520" s="21"/>
      <c r="G520" s="21"/>
      <c r="H520" s="21"/>
      <c r="I520" s="21"/>
      <c r="J520" s="45"/>
      <c r="K520" s="45"/>
      <c r="L520" s="45"/>
      <c r="M520" s="45"/>
      <c r="N520" s="45"/>
      <c r="O520" s="21"/>
      <c r="P520" s="21"/>
      <c r="Q520" s="21"/>
      <c r="R520" s="25" t="str">
        <f t="shared" si="8"/>
        <v/>
      </c>
    </row>
    <row r="521" spans="1:18" ht="33.6" customHeight="1">
      <c r="A521" s="28"/>
      <c r="B521" s="48"/>
      <c r="C521" s="48"/>
      <c r="D521" s="21"/>
      <c r="E521" s="21"/>
      <c r="F521" s="21"/>
      <c r="G521" s="21"/>
      <c r="H521" s="21"/>
      <c r="I521" s="21"/>
      <c r="J521" s="45"/>
      <c r="K521" s="45"/>
      <c r="L521" s="45"/>
      <c r="M521" s="45"/>
      <c r="N521" s="45"/>
      <c r="O521" s="21"/>
      <c r="P521" s="21"/>
      <c r="Q521" s="21"/>
      <c r="R521" s="25" t="str">
        <f t="shared" si="8"/>
        <v/>
      </c>
    </row>
    <row r="522" spans="1:18" ht="33.6" customHeight="1">
      <c r="A522" s="28"/>
      <c r="B522" s="48"/>
      <c r="C522" s="48"/>
      <c r="D522" s="21"/>
      <c r="E522" s="21"/>
      <c r="F522" s="21"/>
      <c r="G522" s="21"/>
      <c r="H522" s="21"/>
      <c r="I522" s="21"/>
      <c r="J522" s="45"/>
      <c r="K522" s="45"/>
      <c r="L522" s="45"/>
      <c r="M522" s="45"/>
      <c r="N522" s="45"/>
      <c r="O522" s="21"/>
      <c r="P522" s="21"/>
      <c r="Q522" s="21"/>
      <c r="R522" s="25" t="str">
        <f t="shared" si="8"/>
        <v/>
      </c>
    </row>
    <row r="523" spans="1:18" ht="33.6" customHeight="1">
      <c r="A523" s="28"/>
      <c r="B523" s="48"/>
      <c r="C523" s="48"/>
      <c r="D523" s="21"/>
      <c r="E523" s="21"/>
      <c r="F523" s="21"/>
      <c r="G523" s="21"/>
      <c r="H523" s="21"/>
      <c r="I523" s="21"/>
      <c r="J523" s="45"/>
      <c r="K523" s="45"/>
      <c r="L523" s="45"/>
      <c r="M523" s="45"/>
      <c r="N523" s="45"/>
      <c r="O523" s="21"/>
      <c r="P523" s="21"/>
      <c r="Q523" s="21"/>
      <c r="R523" s="25" t="str">
        <f t="shared" si="8"/>
        <v/>
      </c>
    </row>
    <row r="524" spans="1:18" ht="33.6" customHeight="1">
      <c r="A524" s="28"/>
      <c r="B524" s="48"/>
      <c r="C524" s="48"/>
      <c r="D524" s="21"/>
      <c r="E524" s="21"/>
      <c r="F524" s="21"/>
      <c r="G524" s="21"/>
      <c r="H524" s="21"/>
      <c r="I524" s="21"/>
      <c r="J524" s="45"/>
      <c r="K524" s="45"/>
      <c r="L524" s="45"/>
      <c r="M524" s="45"/>
      <c r="N524" s="45"/>
      <c r="O524" s="21"/>
      <c r="P524" s="21"/>
      <c r="Q524" s="21"/>
      <c r="R524" s="25" t="str">
        <f t="shared" si="8"/>
        <v/>
      </c>
    </row>
    <row r="525" spans="1:18" ht="33.6" customHeight="1">
      <c r="A525" s="28"/>
      <c r="B525" s="48"/>
      <c r="C525" s="48"/>
      <c r="D525" s="21"/>
      <c r="E525" s="21"/>
      <c r="F525" s="21"/>
      <c r="G525" s="21"/>
      <c r="H525" s="21"/>
      <c r="I525" s="21"/>
      <c r="J525" s="45"/>
      <c r="K525" s="45"/>
      <c r="L525" s="45"/>
      <c r="M525" s="45"/>
      <c r="N525" s="45"/>
      <c r="O525" s="21"/>
      <c r="P525" s="21"/>
      <c r="Q525" s="21"/>
      <c r="R525" s="25" t="str">
        <f t="shared" si="8"/>
        <v/>
      </c>
    </row>
    <row r="526" spans="1:18" ht="33.6" customHeight="1">
      <c r="A526" s="28"/>
      <c r="B526" s="48"/>
      <c r="C526" s="48"/>
      <c r="D526" s="21"/>
      <c r="E526" s="21"/>
      <c r="F526" s="21"/>
      <c r="G526" s="21"/>
      <c r="H526" s="21"/>
      <c r="I526" s="21"/>
      <c r="J526" s="45"/>
      <c r="K526" s="45"/>
      <c r="L526" s="45"/>
      <c r="M526" s="45"/>
      <c r="N526" s="45"/>
      <c r="O526" s="21"/>
      <c r="P526" s="21"/>
      <c r="Q526" s="21"/>
      <c r="R526" s="25" t="str">
        <f t="shared" si="8"/>
        <v/>
      </c>
    </row>
    <row r="527" spans="1:18" ht="33.6" customHeight="1">
      <c r="A527" s="28"/>
      <c r="B527" s="48"/>
      <c r="C527" s="48"/>
      <c r="D527" s="21"/>
      <c r="E527" s="21"/>
      <c r="F527" s="21"/>
      <c r="G527" s="21"/>
      <c r="H527" s="21"/>
      <c r="I527" s="21"/>
      <c r="J527" s="45"/>
      <c r="K527" s="45"/>
      <c r="L527" s="45"/>
      <c r="M527" s="45"/>
      <c r="N527" s="45"/>
      <c r="O527" s="21"/>
      <c r="P527" s="21"/>
      <c r="Q527" s="21"/>
      <c r="R527" s="25" t="str">
        <f t="shared" si="8"/>
        <v/>
      </c>
    </row>
    <row r="528" spans="1:18" ht="33.6" customHeight="1">
      <c r="A528" s="28"/>
      <c r="B528" s="48"/>
      <c r="C528" s="48"/>
      <c r="D528" s="21"/>
      <c r="E528" s="21"/>
      <c r="F528" s="21"/>
      <c r="G528" s="21"/>
      <c r="H528" s="21"/>
      <c r="I528" s="21"/>
      <c r="J528" s="45"/>
      <c r="K528" s="45"/>
      <c r="L528" s="45"/>
      <c r="M528" s="45"/>
      <c r="N528" s="45"/>
      <c r="O528" s="21"/>
      <c r="P528" s="21"/>
      <c r="Q528" s="21"/>
      <c r="R528" s="25" t="str">
        <f t="shared" si="8"/>
        <v/>
      </c>
    </row>
    <row r="529" spans="1:18" ht="33.6" customHeight="1">
      <c r="A529" s="28"/>
      <c r="B529" s="48"/>
      <c r="C529" s="48"/>
      <c r="D529" s="21"/>
      <c r="E529" s="21"/>
      <c r="F529" s="21"/>
      <c r="G529" s="21"/>
      <c r="H529" s="21"/>
      <c r="I529" s="21"/>
      <c r="J529" s="45"/>
      <c r="K529" s="45"/>
      <c r="L529" s="45"/>
      <c r="M529" s="45"/>
      <c r="N529" s="45"/>
      <c r="O529" s="21"/>
      <c r="P529" s="21"/>
      <c r="Q529" s="21"/>
      <c r="R529" s="25" t="str">
        <f t="shared" si="8"/>
        <v/>
      </c>
    </row>
    <row r="530" spans="1:18" ht="33.6" customHeight="1">
      <c r="A530" s="28"/>
      <c r="B530" s="48"/>
      <c r="C530" s="48"/>
      <c r="D530" s="21"/>
      <c r="E530" s="21"/>
      <c r="F530" s="21"/>
      <c r="G530" s="21"/>
      <c r="H530" s="21"/>
      <c r="I530" s="21"/>
      <c r="J530" s="45"/>
      <c r="K530" s="45"/>
      <c r="L530" s="45"/>
      <c r="M530" s="45"/>
      <c r="N530" s="45"/>
      <c r="O530" s="21"/>
      <c r="P530" s="21"/>
      <c r="Q530" s="21"/>
      <c r="R530" s="25" t="str">
        <f t="shared" si="8"/>
        <v/>
      </c>
    </row>
    <row r="531" spans="1:18" ht="33.6" customHeight="1">
      <c r="A531" s="28"/>
      <c r="B531" s="48"/>
      <c r="C531" s="48"/>
      <c r="D531" s="21"/>
      <c r="E531" s="21"/>
      <c r="F531" s="21"/>
      <c r="G531" s="21"/>
      <c r="H531" s="21"/>
      <c r="I531" s="21"/>
      <c r="J531" s="45"/>
      <c r="K531" s="45"/>
      <c r="L531" s="45"/>
      <c r="M531" s="45"/>
      <c r="N531" s="45"/>
      <c r="O531" s="21"/>
      <c r="P531" s="21"/>
      <c r="Q531" s="21"/>
      <c r="R531" s="25" t="str">
        <f t="shared" si="8"/>
        <v/>
      </c>
    </row>
    <row r="532" spans="1:18" ht="33.6" customHeight="1">
      <c r="A532" s="28"/>
      <c r="B532" s="48"/>
      <c r="C532" s="48"/>
      <c r="D532" s="21"/>
      <c r="E532" s="21"/>
      <c r="F532" s="21"/>
      <c r="G532" s="21"/>
      <c r="H532" s="21"/>
      <c r="I532" s="21"/>
      <c r="J532" s="45"/>
      <c r="K532" s="45"/>
      <c r="L532" s="45"/>
      <c r="M532" s="45"/>
      <c r="N532" s="45"/>
      <c r="O532" s="21"/>
      <c r="P532" s="21"/>
      <c r="Q532" s="21"/>
      <c r="R532" s="25" t="str">
        <f t="shared" si="8"/>
        <v/>
      </c>
    </row>
    <row r="533" spans="1:18" ht="33.6" customHeight="1">
      <c r="A533" s="28"/>
      <c r="B533" s="48"/>
      <c r="C533" s="48"/>
      <c r="D533" s="21"/>
      <c r="E533" s="21"/>
      <c r="F533" s="21"/>
      <c r="G533" s="21"/>
      <c r="H533" s="21"/>
      <c r="I533" s="21"/>
      <c r="J533" s="45"/>
      <c r="K533" s="45"/>
      <c r="L533" s="45"/>
      <c r="M533" s="45"/>
      <c r="N533" s="45"/>
      <c r="O533" s="21"/>
      <c r="P533" s="21"/>
      <c r="Q533" s="21"/>
      <c r="R533" s="25" t="str">
        <f t="shared" si="8"/>
        <v/>
      </c>
    </row>
    <row r="534" spans="1:18" ht="33.6" customHeight="1">
      <c r="A534" s="28"/>
      <c r="B534" s="48"/>
      <c r="C534" s="48"/>
      <c r="D534" s="21"/>
      <c r="E534" s="21"/>
      <c r="F534" s="21"/>
      <c r="G534" s="21"/>
      <c r="H534" s="21"/>
      <c r="I534" s="21"/>
      <c r="J534" s="45"/>
      <c r="K534" s="45"/>
      <c r="L534" s="45"/>
      <c r="M534" s="45"/>
      <c r="N534" s="45"/>
      <c r="O534" s="21"/>
      <c r="P534" s="21"/>
      <c r="Q534" s="21"/>
      <c r="R534" s="25" t="str">
        <f t="shared" si="8"/>
        <v/>
      </c>
    </row>
    <row r="535" spans="1:18" ht="33.6" customHeight="1">
      <c r="A535" s="28"/>
      <c r="B535" s="48"/>
      <c r="C535" s="48"/>
      <c r="D535" s="21"/>
      <c r="E535" s="21"/>
      <c r="F535" s="21"/>
      <c r="G535" s="21"/>
      <c r="H535" s="21"/>
      <c r="I535" s="21"/>
      <c r="J535" s="45"/>
      <c r="K535" s="45"/>
      <c r="L535" s="45"/>
      <c r="M535" s="45"/>
      <c r="N535" s="45"/>
      <c r="O535" s="21"/>
      <c r="P535" s="21"/>
      <c r="Q535" s="21"/>
      <c r="R535" s="25" t="str">
        <f t="shared" si="8"/>
        <v/>
      </c>
    </row>
    <row r="536" spans="1:18" ht="33.6" customHeight="1">
      <c r="A536" s="28"/>
      <c r="B536" s="48"/>
      <c r="C536" s="48"/>
      <c r="D536" s="21"/>
      <c r="E536" s="21"/>
      <c r="F536" s="21"/>
      <c r="G536" s="21"/>
      <c r="H536" s="21"/>
      <c r="I536" s="21"/>
      <c r="J536" s="45"/>
      <c r="K536" s="45"/>
      <c r="L536" s="45"/>
      <c r="M536" s="45"/>
      <c r="N536" s="45"/>
      <c r="O536" s="21"/>
      <c r="P536" s="21"/>
      <c r="Q536" s="21"/>
      <c r="R536" s="25" t="str">
        <f t="shared" si="8"/>
        <v/>
      </c>
    </row>
    <row r="537" spans="1:18" ht="33.6" customHeight="1">
      <c r="A537" s="28"/>
      <c r="B537" s="48"/>
      <c r="C537" s="48"/>
      <c r="D537" s="21"/>
      <c r="E537" s="21"/>
      <c r="F537" s="21"/>
      <c r="G537" s="21"/>
      <c r="H537" s="21"/>
      <c r="I537" s="21"/>
      <c r="J537" s="45"/>
      <c r="K537" s="45"/>
      <c r="L537" s="45"/>
      <c r="M537" s="45"/>
      <c r="N537" s="45"/>
      <c r="O537" s="21"/>
      <c r="P537" s="21"/>
      <c r="Q537" s="21"/>
      <c r="R537" s="25" t="str">
        <f t="shared" si="8"/>
        <v/>
      </c>
    </row>
    <row r="538" spans="1:18" ht="33.6" customHeight="1">
      <c r="A538" s="28"/>
      <c r="B538" s="48"/>
      <c r="C538" s="48"/>
      <c r="D538" s="21"/>
      <c r="E538" s="21"/>
      <c r="F538" s="21"/>
      <c r="G538" s="21"/>
      <c r="H538" s="21"/>
      <c r="I538" s="21"/>
      <c r="J538" s="45"/>
      <c r="K538" s="45"/>
      <c r="L538" s="45"/>
      <c r="M538" s="45"/>
      <c r="N538" s="45"/>
      <c r="O538" s="21"/>
      <c r="P538" s="21"/>
      <c r="Q538" s="21"/>
      <c r="R538" s="25" t="str">
        <f t="shared" si="8"/>
        <v/>
      </c>
    </row>
    <row r="539" spans="1:18" ht="33.6" customHeight="1">
      <c r="A539" s="28"/>
      <c r="B539" s="48"/>
      <c r="C539" s="48"/>
      <c r="D539" s="21"/>
      <c r="E539" s="21"/>
      <c r="F539" s="21"/>
      <c r="G539" s="21"/>
      <c r="H539" s="21"/>
      <c r="I539" s="21"/>
      <c r="J539" s="45"/>
      <c r="K539" s="45"/>
      <c r="L539" s="45"/>
      <c r="M539" s="45"/>
      <c r="N539" s="45"/>
      <c r="O539" s="21"/>
      <c r="P539" s="21"/>
      <c r="Q539" s="21"/>
      <c r="R539" s="25" t="str">
        <f t="shared" si="8"/>
        <v/>
      </c>
    </row>
    <row r="540" spans="1:18" ht="33.6" customHeight="1">
      <c r="A540" s="28"/>
      <c r="B540" s="48"/>
      <c r="C540" s="48"/>
      <c r="D540" s="21"/>
      <c r="E540" s="21"/>
      <c r="F540" s="21"/>
      <c r="G540" s="21"/>
      <c r="H540" s="21"/>
      <c r="I540" s="21"/>
      <c r="J540" s="45"/>
      <c r="K540" s="45"/>
      <c r="L540" s="45"/>
      <c r="M540" s="45"/>
      <c r="N540" s="45"/>
      <c r="O540" s="21"/>
      <c r="P540" s="21"/>
      <c r="Q540" s="21"/>
      <c r="R540" s="25" t="str">
        <f t="shared" si="8"/>
        <v/>
      </c>
    </row>
    <row r="541" spans="1:18" ht="33.6" customHeight="1">
      <c r="A541" s="28"/>
      <c r="B541" s="48"/>
      <c r="C541" s="48"/>
      <c r="D541" s="21"/>
      <c r="E541" s="21"/>
      <c r="F541" s="21"/>
      <c r="G541" s="21"/>
      <c r="H541" s="21"/>
      <c r="I541" s="21"/>
      <c r="J541" s="45"/>
      <c r="K541" s="45"/>
      <c r="L541" s="45"/>
      <c r="M541" s="45"/>
      <c r="N541" s="45"/>
      <c r="O541" s="21"/>
      <c r="P541" s="21"/>
      <c r="Q541" s="21"/>
      <c r="R541" s="25" t="str">
        <f t="shared" si="8"/>
        <v/>
      </c>
    </row>
    <row r="542" spans="1:18" ht="33.6" customHeight="1">
      <c r="A542" s="28"/>
      <c r="B542" s="48"/>
      <c r="C542" s="48"/>
      <c r="D542" s="21"/>
      <c r="E542" s="21"/>
      <c r="F542" s="21"/>
      <c r="G542" s="21"/>
      <c r="H542" s="21"/>
      <c r="I542" s="21"/>
      <c r="J542" s="45"/>
      <c r="K542" s="45"/>
      <c r="L542" s="45"/>
      <c r="M542" s="45"/>
      <c r="N542" s="45"/>
      <c r="O542" s="21"/>
      <c r="P542" s="21"/>
      <c r="Q542" s="21"/>
      <c r="R542" s="25" t="str">
        <f t="shared" si="8"/>
        <v/>
      </c>
    </row>
    <row r="543" spans="1:18" ht="33.6" customHeight="1">
      <c r="A543" s="28"/>
      <c r="B543" s="48"/>
      <c r="C543" s="48"/>
      <c r="D543" s="21"/>
      <c r="E543" s="21"/>
      <c r="F543" s="21"/>
      <c r="G543" s="21"/>
      <c r="H543" s="21"/>
      <c r="I543" s="21"/>
      <c r="J543" s="45"/>
      <c r="K543" s="45"/>
      <c r="L543" s="45"/>
      <c r="M543" s="45"/>
      <c r="N543" s="45"/>
      <c r="O543" s="21"/>
      <c r="P543" s="21"/>
      <c r="Q543" s="21"/>
      <c r="R543" s="25" t="str">
        <f t="shared" si="8"/>
        <v/>
      </c>
    </row>
    <row r="544" spans="1:18" ht="33.6" customHeight="1">
      <c r="A544" s="28"/>
      <c r="B544" s="48"/>
      <c r="C544" s="48"/>
      <c r="D544" s="21"/>
      <c r="E544" s="21"/>
      <c r="F544" s="21"/>
      <c r="G544" s="21"/>
      <c r="H544" s="21"/>
      <c r="I544" s="21"/>
      <c r="J544" s="45"/>
      <c r="K544" s="45"/>
      <c r="L544" s="45"/>
      <c r="M544" s="45"/>
      <c r="N544" s="45"/>
      <c r="O544" s="21"/>
      <c r="P544" s="21"/>
      <c r="Q544" s="21"/>
      <c r="R544" s="25" t="str">
        <f t="shared" si="8"/>
        <v/>
      </c>
    </row>
    <row r="545" spans="1:18" ht="33.6" customHeight="1">
      <c r="A545" s="28"/>
      <c r="B545" s="48"/>
      <c r="C545" s="48"/>
      <c r="D545" s="21"/>
      <c r="E545" s="21"/>
      <c r="F545" s="21"/>
      <c r="G545" s="21"/>
      <c r="H545" s="21"/>
      <c r="I545" s="21"/>
      <c r="J545" s="45"/>
      <c r="K545" s="45"/>
      <c r="L545" s="45"/>
      <c r="M545" s="45"/>
      <c r="N545" s="45"/>
      <c r="O545" s="21"/>
      <c r="P545" s="21"/>
      <c r="Q545" s="21"/>
      <c r="R545" s="25" t="str">
        <f t="shared" si="8"/>
        <v/>
      </c>
    </row>
    <row r="546" spans="1:18" ht="33.6" customHeight="1">
      <c r="A546" s="28"/>
      <c r="B546" s="48"/>
      <c r="C546" s="48"/>
      <c r="D546" s="21"/>
      <c r="E546" s="21"/>
      <c r="F546" s="21"/>
      <c r="G546" s="21"/>
      <c r="H546" s="21"/>
      <c r="I546" s="21"/>
      <c r="J546" s="45"/>
      <c r="K546" s="45"/>
      <c r="L546" s="45"/>
      <c r="M546" s="45"/>
      <c r="N546" s="45"/>
      <c r="O546" s="21"/>
      <c r="P546" s="21"/>
      <c r="Q546" s="21"/>
      <c r="R546" s="25" t="str">
        <f t="shared" si="8"/>
        <v/>
      </c>
    </row>
    <row r="547" spans="1:18" ht="33.6" customHeight="1">
      <c r="A547" s="28"/>
      <c r="B547" s="48"/>
      <c r="C547" s="48"/>
      <c r="D547" s="21"/>
      <c r="E547" s="21"/>
      <c r="F547" s="21"/>
      <c r="G547" s="21"/>
      <c r="H547" s="21"/>
      <c r="I547" s="21"/>
      <c r="J547" s="45"/>
      <c r="K547" s="45"/>
      <c r="L547" s="45"/>
      <c r="M547" s="45"/>
      <c r="N547" s="45"/>
      <c r="O547" s="21"/>
      <c r="P547" s="21"/>
      <c r="Q547" s="21"/>
      <c r="R547" s="25" t="str">
        <f t="shared" si="8"/>
        <v/>
      </c>
    </row>
    <row r="548" spans="1:18" ht="33.6" customHeight="1">
      <c r="A548" s="28"/>
      <c r="B548" s="48"/>
      <c r="C548" s="48"/>
      <c r="D548" s="21"/>
      <c r="E548" s="21"/>
      <c r="F548" s="21"/>
      <c r="G548" s="21"/>
      <c r="H548" s="21"/>
      <c r="I548" s="21"/>
      <c r="J548" s="45"/>
      <c r="K548" s="45"/>
      <c r="L548" s="45"/>
      <c r="M548" s="45"/>
      <c r="N548" s="45"/>
      <c r="O548" s="21"/>
      <c r="P548" s="21"/>
      <c r="Q548" s="21"/>
      <c r="R548" s="25" t="str">
        <f t="shared" si="8"/>
        <v/>
      </c>
    </row>
    <row r="549" spans="1:18" ht="33.6" customHeight="1">
      <c r="A549" s="28"/>
      <c r="B549" s="48"/>
      <c r="C549" s="48"/>
      <c r="D549" s="21"/>
      <c r="E549" s="21"/>
      <c r="F549" s="21"/>
      <c r="G549" s="21"/>
      <c r="H549" s="21"/>
      <c r="I549" s="21"/>
      <c r="J549" s="45"/>
      <c r="K549" s="45"/>
      <c r="L549" s="45"/>
      <c r="M549" s="45"/>
      <c r="N549" s="45"/>
      <c r="O549" s="21"/>
      <c r="P549" s="21"/>
      <c r="Q549" s="21"/>
      <c r="R549" s="25" t="str">
        <f t="shared" si="8"/>
        <v/>
      </c>
    </row>
    <row r="550" spans="1:18" ht="33.6" customHeight="1">
      <c r="A550" s="28"/>
      <c r="B550" s="48"/>
      <c r="C550" s="48"/>
      <c r="D550" s="21"/>
      <c r="E550" s="21"/>
      <c r="F550" s="21"/>
      <c r="G550" s="21"/>
      <c r="H550" s="21"/>
      <c r="I550" s="21"/>
      <c r="J550" s="45"/>
      <c r="K550" s="45"/>
      <c r="L550" s="45"/>
      <c r="M550" s="45"/>
      <c r="N550" s="45"/>
      <c r="O550" s="21"/>
      <c r="P550" s="21"/>
      <c r="Q550" s="21"/>
      <c r="R550" s="25" t="str">
        <f t="shared" si="8"/>
        <v/>
      </c>
    </row>
    <row r="551" spans="1:18" ht="33.6" customHeight="1">
      <c r="A551" s="28"/>
      <c r="B551" s="48"/>
      <c r="C551" s="48"/>
      <c r="D551" s="21"/>
      <c r="E551" s="21"/>
      <c r="F551" s="21"/>
      <c r="G551" s="21"/>
      <c r="H551" s="21"/>
      <c r="I551" s="21"/>
      <c r="J551" s="45"/>
      <c r="K551" s="45"/>
      <c r="L551" s="45"/>
      <c r="M551" s="45"/>
      <c r="N551" s="45"/>
      <c r="O551" s="21"/>
      <c r="P551" s="21"/>
      <c r="Q551" s="21"/>
      <c r="R551" s="25" t="str">
        <f t="shared" si="8"/>
        <v/>
      </c>
    </row>
    <row r="552" spans="1:18" ht="33.6" customHeight="1">
      <c r="A552" s="28"/>
      <c r="B552" s="48"/>
      <c r="C552" s="48"/>
      <c r="D552" s="21"/>
      <c r="E552" s="21"/>
      <c r="F552" s="21"/>
      <c r="G552" s="21"/>
      <c r="H552" s="21"/>
      <c r="I552" s="21"/>
      <c r="J552" s="45"/>
      <c r="K552" s="45"/>
      <c r="L552" s="45"/>
      <c r="M552" s="45"/>
      <c r="N552" s="45"/>
      <c r="O552" s="21"/>
      <c r="P552" s="21"/>
      <c r="Q552" s="21"/>
      <c r="R552" s="25" t="str">
        <f t="shared" si="8"/>
        <v/>
      </c>
    </row>
    <row r="553" spans="1:18" ht="33.6" customHeight="1">
      <c r="A553" s="28"/>
      <c r="B553" s="48"/>
      <c r="C553" s="48"/>
      <c r="D553" s="21"/>
      <c r="E553" s="21"/>
      <c r="F553" s="21"/>
      <c r="G553" s="21"/>
      <c r="H553" s="21"/>
      <c r="I553" s="21"/>
      <c r="J553" s="45"/>
      <c r="K553" s="45"/>
      <c r="L553" s="45"/>
      <c r="M553" s="45"/>
      <c r="N553" s="45"/>
      <c r="O553" s="21"/>
      <c r="P553" s="21"/>
      <c r="Q553" s="21"/>
      <c r="R553" s="25" t="str">
        <f t="shared" si="8"/>
        <v/>
      </c>
    </row>
    <row r="554" spans="1:18" ht="33.6" customHeight="1">
      <c r="A554" s="28"/>
      <c r="B554" s="48"/>
      <c r="C554" s="48"/>
      <c r="D554" s="21"/>
      <c r="E554" s="21"/>
      <c r="F554" s="21"/>
      <c r="G554" s="21"/>
      <c r="H554" s="21"/>
      <c r="I554" s="21"/>
      <c r="J554" s="45"/>
      <c r="K554" s="45"/>
      <c r="L554" s="45"/>
      <c r="M554" s="45"/>
      <c r="N554" s="45"/>
      <c r="O554" s="21"/>
      <c r="P554" s="21"/>
      <c r="Q554" s="21"/>
      <c r="R554" s="25" t="str">
        <f t="shared" si="8"/>
        <v/>
      </c>
    </row>
    <row r="555" spans="1:18" ht="33.6" customHeight="1">
      <c r="A555" s="28"/>
      <c r="B555" s="48"/>
      <c r="C555" s="48"/>
      <c r="D555" s="21"/>
      <c r="E555" s="21"/>
      <c r="F555" s="21"/>
      <c r="G555" s="21"/>
      <c r="H555" s="21"/>
      <c r="I555" s="21"/>
      <c r="J555" s="45"/>
      <c r="K555" s="45"/>
      <c r="L555" s="45"/>
      <c r="M555" s="45"/>
      <c r="N555" s="45"/>
      <c r="O555" s="21"/>
      <c r="P555" s="21"/>
      <c r="Q555" s="21"/>
      <c r="R555" s="25" t="str">
        <f t="shared" si="8"/>
        <v/>
      </c>
    </row>
    <row r="556" spans="1:18" ht="33.6" customHeight="1">
      <c r="A556" s="28"/>
      <c r="B556" s="48"/>
      <c r="C556" s="48"/>
      <c r="D556" s="21"/>
      <c r="E556" s="21"/>
      <c r="F556" s="21"/>
      <c r="G556" s="21"/>
      <c r="H556" s="21"/>
      <c r="I556" s="21"/>
      <c r="J556" s="45"/>
      <c r="K556" s="45"/>
      <c r="L556" s="45"/>
      <c r="M556" s="45"/>
      <c r="N556" s="45"/>
      <c r="O556" s="21"/>
      <c r="P556" s="21"/>
      <c r="Q556" s="21"/>
      <c r="R556" s="25" t="str">
        <f t="shared" si="8"/>
        <v/>
      </c>
    </row>
    <row r="557" spans="1:18" ht="33.6" customHeight="1">
      <c r="A557" s="28"/>
      <c r="B557" s="48"/>
      <c r="C557" s="48"/>
      <c r="D557" s="21"/>
      <c r="E557" s="21"/>
      <c r="F557" s="21"/>
      <c r="G557" s="21"/>
      <c r="H557" s="21"/>
      <c r="I557" s="21"/>
      <c r="J557" s="45"/>
      <c r="K557" s="45"/>
      <c r="L557" s="45"/>
      <c r="M557" s="45"/>
      <c r="N557" s="45"/>
      <c r="O557" s="21"/>
      <c r="P557" s="21"/>
      <c r="Q557" s="21"/>
      <c r="R557" s="25" t="str">
        <f t="shared" si="8"/>
        <v/>
      </c>
    </row>
    <row r="558" spans="1:18" ht="33.6" customHeight="1">
      <c r="A558" s="28"/>
      <c r="B558" s="48"/>
      <c r="C558" s="48"/>
      <c r="D558" s="21"/>
      <c r="E558" s="21"/>
      <c r="F558" s="21"/>
      <c r="G558" s="21"/>
      <c r="H558" s="21"/>
      <c r="I558" s="21"/>
      <c r="J558" s="45"/>
      <c r="K558" s="45"/>
      <c r="L558" s="45"/>
      <c r="M558" s="45"/>
      <c r="N558" s="45"/>
      <c r="O558" s="21"/>
      <c r="P558" s="21"/>
      <c r="Q558" s="21"/>
      <c r="R558" s="25" t="str">
        <f t="shared" si="8"/>
        <v/>
      </c>
    </row>
    <row r="559" spans="1:18" ht="33.6" customHeight="1">
      <c r="A559" s="28"/>
      <c r="B559" s="48"/>
      <c r="C559" s="48"/>
      <c r="D559" s="21"/>
      <c r="E559" s="21"/>
      <c r="F559" s="21"/>
      <c r="G559" s="21"/>
      <c r="H559" s="21"/>
      <c r="I559" s="21"/>
      <c r="J559" s="45"/>
      <c r="K559" s="45"/>
      <c r="L559" s="45"/>
      <c r="M559" s="45"/>
      <c r="N559" s="45"/>
      <c r="O559" s="21"/>
      <c r="P559" s="21"/>
      <c r="Q559" s="21"/>
      <c r="R559" s="25" t="str">
        <f t="shared" si="8"/>
        <v/>
      </c>
    </row>
    <row r="560" spans="1:18" ht="33.6" customHeight="1">
      <c r="A560" s="28"/>
      <c r="B560" s="48"/>
      <c r="C560" s="48"/>
      <c r="D560" s="21"/>
      <c r="E560" s="21"/>
      <c r="F560" s="21"/>
      <c r="G560" s="21"/>
      <c r="H560" s="21"/>
      <c r="I560" s="21"/>
      <c r="J560" s="45"/>
      <c r="K560" s="45"/>
      <c r="L560" s="45"/>
      <c r="M560" s="45"/>
      <c r="N560" s="45"/>
      <c r="O560" s="21"/>
      <c r="P560" s="21"/>
      <c r="Q560" s="21"/>
      <c r="R560" s="25" t="str">
        <f t="shared" si="8"/>
        <v/>
      </c>
    </row>
    <row r="561" spans="1:18" ht="33.6" customHeight="1">
      <c r="A561" s="28"/>
      <c r="B561" s="48"/>
      <c r="C561" s="48"/>
      <c r="D561" s="21"/>
      <c r="E561" s="21"/>
      <c r="F561" s="21"/>
      <c r="G561" s="21"/>
      <c r="H561" s="21"/>
      <c r="I561" s="21"/>
      <c r="J561" s="45"/>
      <c r="K561" s="45"/>
      <c r="L561" s="45"/>
      <c r="M561" s="45"/>
      <c r="N561" s="45"/>
      <c r="O561" s="21"/>
      <c r="P561" s="21"/>
      <c r="Q561" s="21"/>
      <c r="R561" s="25" t="str">
        <f t="shared" si="8"/>
        <v/>
      </c>
    </row>
    <row r="562" spans="1:18" ht="33.6" customHeight="1">
      <c r="A562" s="28"/>
      <c r="B562" s="48"/>
      <c r="C562" s="48"/>
      <c r="D562" s="21"/>
      <c r="E562" s="21"/>
      <c r="F562" s="21"/>
      <c r="G562" s="21"/>
      <c r="H562" s="21"/>
      <c r="I562" s="21"/>
      <c r="J562" s="45"/>
      <c r="K562" s="45"/>
      <c r="L562" s="45"/>
      <c r="M562" s="45"/>
      <c r="N562" s="45"/>
      <c r="O562" s="21"/>
      <c r="P562" s="21"/>
      <c r="Q562" s="21"/>
      <c r="R562" s="25" t="str">
        <f t="shared" si="8"/>
        <v/>
      </c>
    </row>
    <row r="563" spans="1:18" ht="33.6" customHeight="1">
      <c r="A563" s="28"/>
      <c r="B563" s="48"/>
      <c r="C563" s="48"/>
      <c r="D563" s="21"/>
      <c r="E563" s="21"/>
      <c r="F563" s="21"/>
      <c r="G563" s="21"/>
      <c r="H563" s="21"/>
      <c r="I563" s="21"/>
      <c r="J563" s="45"/>
      <c r="K563" s="45"/>
      <c r="L563" s="45"/>
      <c r="M563" s="45"/>
      <c r="N563" s="45"/>
      <c r="O563" s="21"/>
      <c r="P563" s="21"/>
      <c r="Q563" s="21"/>
      <c r="R563" s="25" t="str">
        <f t="shared" ref="R563:R626" si="9">IF(COUNTIF($A$17:$A$2010,$A563)&gt;1,"Possible Duplicate","")</f>
        <v/>
      </c>
    </row>
    <row r="564" spans="1:18" ht="33.6" customHeight="1">
      <c r="A564" s="28"/>
      <c r="B564" s="48"/>
      <c r="C564" s="48"/>
      <c r="D564" s="21"/>
      <c r="E564" s="21"/>
      <c r="F564" s="21"/>
      <c r="G564" s="21"/>
      <c r="H564" s="21"/>
      <c r="I564" s="21"/>
      <c r="J564" s="45"/>
      <c r="K564" s="45"/>
      <c r="L564" s="45"/>
      <c r="M564" s="45"/>
      <c r="N564" s="45"/>
      <c r="O564" s="21"/>
      <c r="P564" s="21"/>
      <c r="Q564" s="21"/>
      <c r="R564" s="25" t="str">
        <f t="shared" si="9"/>
        <v/>
      </c>
    </row>
    <row r="565" spans="1:18" ht="33.6" customHeight="1">
      <c r="A565" s="28"/>
      <c r="B565" s="48"/>
      <c r="C565" s="48"/>
      <c r="D565" s="21"/>
      <c r="E565" s="21"/>
      <c r="F565" s="21"/>
      <c r="G565" s="21"/>
      <c r="H565" s="21"/>
      <c r="I565" s="21"/>
      <c r="J565" s="45"/>
      <c r="K565" s="45"/>
      <c r="L565" s="45"/>
      <c r="M565" s="45"/>
      <c r="N565" s="45"/>
      <c r="O565" s="21"/>
      <c r="P565" s="21"/>
      <c r="Q565" s="21"/>
      <c r="R565" s="25" t="str">
        <f t="shared" si="9"/>
        <v/>
      </c>
    </row>
    <row r="566" spans="1:18" ht="33.6" customHeight="1">
      <c r="A566" s="28"/>
      <c r="B566" s="48"/>
      <c r="C566" s="48"/>
      <c r="D566" s="21"/>
      <c r="E566" s="21"/>
      <c r="F566" s="21"/>
      <c r="G566" s="21"/>
      <c r="H566" s="21"/>
      <c r="I566" s="21"/>
      <c r="J566" s="45"/>
      <c r="K566" s="45"/>
      <c r="L566" s="45"/>
      <c r="M566" s="45"/>
      <c r="N566" s="45"/>
      <c r="O566" s="21"/>
      <c r="P566" s="21"/>
      <c r="Q566" s="21"/>
      <c r="R566" s="25" t="str">
        <f t="shared" si="9"/>
        <v/>
      </c>
    </row>
    <row r="567" spans="1:18" ht="33.6" customHeight="1">
      <c r="A567" s="28"/>
      <c r="B567" s="48"/>
      <c r="C567" s="48"/>
      <c r="D567" s="21"/>
      <c r="E567" s="21"/>
      <c r="F567" s="21"/>
      <c r="G567" s="21"/>
      <c r="H567" s="21"/>
      <c r="I567" s="21"/>
      <c r="J567" s="45"/>
      <c r="K567" s="45"/>
      <c r="L567" s="45"/>
      <c r="M567" s="45"/>
      <c r="N567" s="45"/>
      <c r="O567" s="21"/>
      <c r="P567" s="21"/>
      <c r="Q567" s="21"/>
      <c r="R567" s="25" t="str">
        <f t="shared" si="9"/>
        <v/>
      </c>
    </row>
    <row r="568" spans="1:18" ht="33.6" customHeight="1">
      <c r="A568" s="28"/>
      <c r="B568" s="48"/>
      <c r="C568" s="48"/>
      <c r="D568" s="21"/>
      <c r="E568" s="21"/>
      <c r="F568" s="21"/>
      <c r="G568" s="21"/>
      <c r="H568" s="21"/>
      <c r="I568" s="21"/>
      <c r="J568" s="45"/>
      <c r="K568" s="45"/>
      <c r="L568" s="45"/>
      <c r="M568" s="45"/>
      <c r="N568" s="45"/>
      <c r="O568" s="21"/>
      <c r="P568" s="21"/>
      <c r="Q568" s="21"/>
      <c r="R568" s="25" t="str">
        <f t="shared" si="9"/>
        <v/>
      </c>
    </row>
    <row r="569" spans="1:18" ht="33.6" customHeight="1">
      <c r="A569" s="28"/>
      <c r="B569" s="48"/>
      <c r="C569" s="48"/>
      <c r="D569" s="21"/>
      <c r="E569" s="21"/>
      <c r="F569" s="21"/>
      <c r="G569" s="21"/>
      <c r="H569" s="21"/>
      <c r="I569" s="21"/>
      <c r="J569" s="45"/>
      <c r="K569" s="45"/>
      <c r="L569" s="45"/>
      <c r="M569" s="45"/>
      <c r="N569" s="45"/>
      <c r="O569" s="21"/>
      <c r="P569" s="21"/>
      <c r="Q569" s="21"/>
      <c r="R569" s="25" t="str">
        <f t="shared" si="9"/>
        <v/>
      </c>
    </row>
    <row r="570" spans="1:18" ht="33.6" customHeight="1">
      <c r="A570" s="28"/>
      <c r="B570" s="48"/>
      <c r="C570" s="48"/>
      <c r="D570" s="21"/>
      <c r="E570" s="21"/>
      <c r="F570" s="21"/>
      <c r="G570" s="21"/>
      <c r="H570" s="21"/>
      <c r="I570" s="21"/>
      <c r="J570" s="45"/>
      <c r="K570" s="45"/>
      <c r="L570" s="45"/>
      <c r="M570" s="45"/>
      <c r="N570" s="45"/>
      <c r="O570" s="21"/>
      <c r="P570" s="21"/>
      <c r="Q570" s="21"/>
      <c r="R570" s="25" t="str">
        <f t="shared" si="9"/>
        <v/>
      </c>
    </row>
    <row r="571" spans="1:18" ht="33.6" customHeight="1">
      <c r="A571" s="28"/>
      <c r="B571" s="48"/>
      <c r="C571" s="48"/>
      <c r="D571" s="21"/>
      <c r="E571" s="21"/>
      <c r="F571" s="21"/>
      <c r="G571" s="21"/>
      <c r="H571" s="21"/>
      <c r="I571" s="21"/>
      <c r="J571" s="45"/>
      <c r="K571" s="45"/>
      <c r="L571" s="45"/>
      <c r="M571" s="45"/>
      <c r="N571" s="45"/>
      <c r="O571" s="21"/>
      <c r="P571" s="21"/>
      <c r="Q571" s="21"/>
      <c r="R571" s="25" t="str">
        <f t="shared" si="9"/>
        <v/>
      </c>
    </row>
    <row r="572" spans="1:18" ht="33.6" customHeight="1">
      <c r="A572" s="28"/>
      <c r="B572" s="48"/>
      <c r="C572" s="48"/>
      <c r="D572" s="21"/>
      <c r="E572" s="21"/>
      <c r="F572" s="21"/>
      <c r="G572" s="21"/>
      <c r="H572" s="21"/>
      <c r="I572" s="21"/>
      <c r="J572" s="45"/>
      <c r="K572" s="45"/>
      <c r="L572" s="45"/>
      <c r="M572" s="45"/>
      <c r="N572" s="45"/>
      <c r="O572" s="21"/>
      <c r="P572" s="21"/>
      <c r="Q572" s="21"/>
      <c r="R572" s="25" t="str">
        <f t="shared" si="9"/>
        <v/>
      </c>
    </row>
    <row r="573" spans="1:18" ht="33.6" customHeight="1">
      <c r="A573" s="28"/>
      <c r="B573" s="48"/>
      <c r="C573" s="48"/>
      <c r="D573" s="21"/>
      <c r="E573" s="21"/>
      <c r="F573" s="21"/>
      <c r="G573" s="21"/>
      <c r="H573" s="21"/>
      <c r="I573" s="21"/>
      <c r="J573" s="45"/>
      <c r="K573" s="45"/>
      <c r="L573" s="45"/>
      <c r="M573" s="45"/>
      <c r="N573" s="45"/>
      <c r="O573" s="21"/>
      <c r="P573" s="21"/>
      <c r="Q573" s="21"/>
      <c r="R573" s="25" t="str">
        <f t="shared" si="9"/>
        <v/>
      </c>
    </row>
    <row r="574" spans="1:18" ht="33.6" customHeight="1">
      <c r="A574" s="28"/>
      <c r="B574" s="48"/>
      <c r="C574" s="48"/>
      <c r="D574" s="21"/>
      <c r="E574" s="21"/>
      <c r="F574" s="21"/>
      <c r="G574" s="21"/>
      <c r="H574" s="21"/>
      <c r="I574" s="21"/>
      <c r="J574" s="45"/>
      <c r="K574" s="45"/>
      <c r="L574" s="45"/>
      <c r="M574" s="45"/>
      <c r="N574" s="45"/>
      <c r="O574" s="21"/>
      <c r="P574" s="21"/>
      <c r="Q574" s="21"/>
      <c r="R574" s="25" t="str">
        <f t="shared" si="9"/>
        <v/>
      </c>
    </row>
    <row r="575" spans="1:18" ht="33.6" customHeight="1">
      <c r="A575" s="28"/>
      <c r="B575" s="48"/>
      <c r="C575" s="48"/>
      <c r="D575" s="21"/>
      <c r="E575" s="21"/>
      <c r="F575" s="21"/>
      <c r="G575" s="21"/>
      <c r="H575" s="21"/>
      <c r="I575" s="21"/>
      <c r="J575" s="45"/>
      <c r="K575" s="45"/>
      <c r="L575" s="45"/>
      <c r="M575" s="45"/>
      <c r="N575" s="45"/>
      <c r="O575" s="21"/>
      <c r="P575" s="21"/>
      <c r="Q575" s="21"/>
      <c r="R575" s="25" t="str">
        <f t="shared" si="9"/>
        <v/>
      </c>
    </row>
    <row r="576" spans="1:18" ht="33.6" customHeight="1">
      <c r="A576" s="28"/>
      <c r="B576" s="48"/>
      <c r="C576" s="48"/>
      <c r="D576" s="21"/>
      <c r="E576" s="21"/>
      <c r="F576" s="21"/>
      <c r="G576" s="21"/>
      <c r="H576" s="21"/>
      <c r="I576" s="21"/>
      <c r="J576" s="45"/>
      <c r="K576" s="45"/>
      <c r="L576" s="45"/>
      <c r="M576" s="45"/>
      <c r="N576" s="45"/>
      <c r="O576" s="21"/>
      <c r="P576" s="21"/>
      <c r="Q576" s="21"/>
      <c r="R576" s="25" t="str">
        <f t="shared" si="9"/>
        <v/>
      </c>
    </row>
    <row r="577" spans="1:18" ht="33.6" customHeight="1">
      <c r="A577" s="28"/>
      <c r="B577" s="48"/>
      <c r="C577" s="48"/>
      <c r="D577" s="21"/>
      <c r="E577" s="21"/>
      <c r="F577" s="21"/>
      <c r="G577" s="21"/>
      <c r="H577" s="21"/>
      <c r="I577" s="21"/>
      <c r="J577" s="45"/>
      <c r="K577" s="45"/>
      <c r="L577" s="45"/>
      <c r="M577" s="45"/>
      <c r="N577" s="45"/>
      <c r="O577" s="21"/>
      <c r="P577" s="21"/>
      <c r="Q577" s="21"/>
      <c r="R577" s="25" t="str">
        <f t="shared" si="9"/>
        <v/>
      </c>
    </row>
    <row r="578" spans="1:18" ht="33.6" customHeight="1">
      <c r="A578" s="28"/>
      <c r="B578" s="48"/>
      <c r="C578" s="48"/>
      <c r="D578" s="21"/>
      <c r="E578" s="21"/>
      <c r="F578" s="21"/>
      <c r="G578" s="21"/>
      <c r="H578" s="21"/>
      <c r="I578" s="21"/>
      <c r="J578" s="45"/>
      <c r="K578" s="45"/>
      <c r="L578" s="45"/>
      <c r="M578" s="45"/>
      <c r="N578" s="45"/>
      <c r="O578" s="21"/>
      <c r="P578" s="21"/>
      <c r="Q578" s="21"/>
      <c r="R578" s="25" t="str">
        <f t="shared" si="9"/>
        <v/>
      </c>
    </row>
    <row r="579" spans="1:18" ht="33.6" customHeight="1">
      <c r="A579" s="28"/>
      <c r="B579" s="48"/>
      <c r="C579" s="48"/>
      <c r="D579" s="21"/>
      <c r="E579" s="21"/>
      <c r="F579" s="21"/>
      <c r="G579" s="21"/>
      <c r="H579" s="21"/>
      <c r="I579" s="21"/>
      <c r="J579" s="45"/>
      <c r="K579" s="45"/>
      <c r="L579" s="45"/>
      <c r="M579" s="45"/>
      <c r="N579" s="45"/>
      <c r="O579" s="21"/>
      <c r="P579" s="21"/>
      <c r="Q579" s="21"/>
      <c r="R579" s="25" t="str">
        <f t="shared" si="9"/>
        <v/>
      </c>
    </row>
    <row r="580" spans="1:18" ht="33.6" customHeight="1">
      <c r="A580" s="28"/>
      <c r="B580" s="48"/>
      <c r="C580" s="48"/>
      <c r="D580" s="21"/>
      <c r="E580" s="21"/>
      <c r="F580" s="21"/>
      <c r="G580" s="21"/>
      <c r="H580" s="21"/>
      <c r="I580" s="21"/>
      <c r="J580" s="45"/>
      <c r="K580" s="45"/>
      <c r="L580" s="45"/>
      <c r="M580" s="45"/>
      <c r="N580" s="45"/>
      <c r="O580" s="21"/>
      <c r="P580" s="21"/>
      <c r="Q580" s="21"/>
      <c r="R580" s="25" t="str">
        <f t="shared" si="9"/>
        <v/>
      </c>
    </row>
    <row r="581" spans="1:18" ht="33.6" customHeight="1">
      <c r="A581" s="28"/>
      <c r="B581" s="48"/>
      <c r="C581" s="48"/>
      <c r="D581" s="21"/>
      <c r="E581" s="21"/>
      <c r="F581" s="21"/>
      <c r="G581" s="21"/>
      <c r="H581" s="21"/>
      <c r="I581" s="21"/>
      <c r="J581" s="45"/>
      <c r="K581" s="45"/>
      <c r="L581" s="45"/>
      <c r="M581" s="45"/>
      <c r="N581" s="45"/>
      <c r="O581" s="21"/>
      <c r="P581" s="21"/>
      <c r="Q581" s="21"/>
      <c r="R581" s="25" t="str">
        <f t="shared" si="9"/>
        <v/>
      </c>
    </row>
    <row r="582" spans="1:18" ht="33.6" customHeight="1">
      <c r="A582" s="28"/>
      <c r="B582" s="48"/>
      <c r="C582" s="48"/>
      <c r="D582" s="21"/>
      <c r="E582" s="21"/>
      <c r="F582" s="21"/>
      <c r="G582" s="21"/>
      <c r="H582" s="21"/>
      <c r="I582" s="21"/>
      <c r="J582" s="45"/>
      <c r="K582" s="45"/>
      <c r="L582" s="45"/>
      <c r="M582" s="45"/>
      <c r="N582" s="45"/>
      <c r="O582" s="21"/>
      <c r="P582" s="21"/>
      <c r="Q582" s="21"/>
      <c r="R582" s="25" t="str">
        <f t="shared" si="9"/>
        <v/>
      </c>
    </row>
    <row r="583" spans="1:18" ht="33.6" customHeight="1">
      <c r="A583" s="28"/>
      <c r="B583" s="48"/>
      <c r="C583" s="48"/>
      <c r="D583" s="21"/>
      <c r="E583" s="21"/>
      <c r="F583" s="21"/>
      <c r="G583" s="21"/>
      <c r="H583" s="21"/>
      <c r="I583" s="21"/>
      <c r="J583" s="45"/>
      <c r="K583" s="45"/>
      <c r="L583" s="45"/>
      <c r="M583" s="45"/>
      <c r="N583" s="45"/>
      <c r="O583" s="21"/>
      <c r="P583" s="21"/>
      <c r="Q583" s="21"/>
      <c r="R583" s="25" t="str">
        <f t="shared" si="9"/>
        <v/>
      </c>
    </row>
    <row r="584" spans="1:18" ht="33.6" customHeight="1">
      <c r="A584" s="28"/>
      <c r="B584" s="48"/>
      <c r="C584" s="48"/>
      <c r="D584" s="21"/>
      <c r="E584" s="21"/>
      <c r="F584" s="21"/>
      <c r="G584" s="21"/>
      <c r="H584" s="21"/>
      <c r="I584" s="21"/>
      <c r="J584" s="45"/>
      <c r="K584" s="45"/>
      <c r="L584" s="45"/>
      <c r="M584" s="45"/>
      <c r="N584" s="45"/>
      <c r="O584" s="21"/>
      <c r="P584" s="21"/>
      <c r="Q584" s="21"/>
      <c r="R584" s="25" t="str">
        <f t="shared" si="9"/>
        <v/>
      </c>
    </row>
    <row r="585" spans="1:18" ht="33.6" customHeight="1">
      <c r="A585" s="28"/>
      <c r="B585" s="48"/>
      <c r="C585" s="48"/>
      <c r="D585" s="21"/>
      <c r="E585" s="21"/>
      <c r="F585" s="21"/>
      <c r="G585" s="21"/>
      <c r="H585" s="21"/>
      <c r="I585" s="21"/>
      <c r="J585" s="45"/>
      <c r="K585" s="45"/>
      <c r="L585" s="45"/>
      <c r="M585" s="45"/>
      <c r="N585" s="45"/>
      <c r="O585" s="21"/>
      <c r="P585" s="21"/>
      <c r="Q585" s="21"/>
      <c r="R585" s="25" t="str">
        <f t="shared" si="9"/>
        <v/>
      </c>
    </row>
    <row r="586" spans="1:18" ht="33.6" customHeight="1">
      <c r="A586" s="28"/>
      <c r="B586" s="48"/>
      <c r="C586" s="48"/>
      <c r="D586" s="21"/>
      <c r="E586" s="21"/>
      <c r="F586" s="21"/>
      <c r="G586" s="21"/>
      <c r="H586" s="21"/>
      <c r="I586" s="21"/>
      <c r="J586" s="45"/>
      <c r="K586" s="45"/>
      <c r="L586" s="45"/>
      <c r="M586" s="45"/>
      <c r="N586" s="45"/>
      <c r="O586" s="21"/>
      <c r="P586" s="21"/>
      <c r="Q586" s="21"/>
      <c r="R586" s="25" t="str">
        <f t="shared" si="9"/>
        <v/>
      </c>
    </row>
    <row r="587" spans="1:18" ht="33.6" customHeight="1">
      <c r="A587" s="28"/>
      <c r="B587" s="48"/>
      <c r="C587" s="48"/>
      <c r="D587" s="21"/>
      <c r="E587" s="21"/>
      <c r="F587" s="21"/>
      <c r="G587" s="21"/>
      <c r="H587" s="21"/>
      <c r="I587" s="21"/>
      <c r="J587" s="45"/>
      <c r="K587" s="45"/>
      <c r="L587" s="45"/>
      <c r="M587" s="45"/>
      <c r="N587" s="45"/>
      <c r="O587" s="21"/>
      <c r="P587" s="21"/>
      <c r="Q587" s="21"/>
      <c r="R587" s="25" t="str">
        <f t="shared" si="9"/>
        <v/>
      </c>
    </row>
    <row r="588" spans="1:18" ht="33.6" customHeight="1">
      <c r="A588" s="28"/>
      <c r="B588" s="48"/>
      <c r="C588" s="48"/>
      <c r="D588" s="21"/>
      <c r="E588" s="21"/>
      <c r="F588" s="21"/>
      <c r="G588" s="21"/>
      <c r="H588" s="21"/>
      <c r="I588" s="21"/>
      <c r="J588" s="45"/>
      <c r="K588" s="45"/>
      <c r="L588" s="45"/>
      <c r="M588" s="45"/>
      <c r="N588" s="45"/>
      <c r="O588" s="21"/>
      <c r="P588" s="21"/>
      <c r="Q588" s="21"/>
      <c r="R588" s="25" t="str">
        <f t="shared" si="9"/>
        <v/>
      </c>
    </row>
    <row r="589" spans="1:18" ht="33.6" customHeight="1">
      <c r="A589" s="28"/>
      <c r="B589" s="48"/>
      <c r="C589" s="48"/>
      <c r="D589" s="21"/>
      <c r="E589" s="21"/>
      <c r="F589" s="21"/>
      <c r="G589" s="21"/>
      <c r="H589" s="21"/>
      <c r="I589" s="21"/>
      <c r="J589" s="45"/>
      <c r="K589" s="45"/>
      <c r="L589" s="45"/>
      <c r="M589" s="45"/>
      <c r="N589" s="45"/>
      <c r="O589" s="21"/>
      <c r="P589" s="21"/>
      <c r="Q589" s="21"/>
      <c r="R589" s="25" t="str">
        <f t="shared" si="9"/>
        <v/>
      </c>
    </row>
    <row r="590" spans="1:18" ht="33.6" customHeight="1">
      <c r="A590" s="28"/>
      <c r="B590" s="48"/>
      <c r="C590" s="48"/>
      <c r="D590" s="21"/>
      <c r="E590" s="21"/>
      <c r="F590" s="21"/>
      <c r="G590" s="21"/>
      <c r="H590" s="21"/>
      <c r="I590" s="21"/>
      <c r="J590" s="45"/>
      <c r="K590" s="45"/>
      <c r="L590" s="45"/>
      <c r="M590" s="45"/>
      <c r="N590" s="45"/>
      <c r="O590" s="21"/>
      <c r="P590" s="21"/>
      <c r="Q590" s="21"/>
      <c r="R590" s="25" t="str">
        <f t="shared" si="9"/>
        <v/>
      </c>
    </row>
    <row r="591" spans="1:18" ht="33.6" customHeight="1">
      <c r="A591" s="28"/>
      <c r="B591" s="48"/>
      <c r="C591" s="48"/>
      <c r="D591" s="21"/>
      <c r="E591" s="21"/>
      <c r="F591" s="21"/>
      <c r="G591" s="21"/>
      <c r="H591" s="21"/>
      <c r="I591" s="21"/>
      <c r="J591" s="45"/>
      <c r="K591" s="45"/>
      <c r="L591" s="45"/>
      <c r="M591" s="45"/>
      <c r="N591" s="45"/>
      <c r="O591" s="21"/>
      <c r="P591" s="21"/>
      <c r="Q591" s="21"/>
      <c r="R591" s="25" t="str">
        <f t="shared" si="9"/>
        <v/>
      </c>
    </row>
    <row r="592" spans="1:18" ht="33.6" customHeight="1">
      <c r="A592" s="28"/>
      <c r="B592" s="48"/>
      <c r="C592" s="48"/>
      <c r="D592" s="21"/>
      <c r="E592" s="21"/>
      <c r="F592" s="21"/>
      <c r="G592" s="21"/>
      <c r="H592" s="21"/>
      <c r="I592" s="21"/>
      <c r="J592" s="45"/>
      <c r="K592" s="45"/>
      <c r="L592" s="45"/>
      <c r="M592" s="45"/>
      <c r="N592" s="45"/>
      <c r="O592" s="21"/>
      <c r="P592" s="21"/>
      <c r="Q592" s="21"/>
      <c r="R592" s="25" t="str">
        <f t="shared" si="9"/>
        <v/>
      </c>
    </row>
    <row r="593" spans="1:18" ht="33.6" customHeight="1">
      <c r="A593" s="28"/>
      <c r="B593" s="48"/>
      <c r="C593" s="48"/>
      <c r="D593" s="21"/>
      <c r="E593" s="21"/>
      <c r="F593" s="21"/>
      <c r="G593" s="21"/>
      <c r="H593" s="21"/>
      <c r="I593" s="21"/>
      <c r="J593" s="45"/>
      <c r="K593" s="45"/>
      <c r="L593" s="45"/>
      <c r="M593" s="45"/>
      <c r="N593" s="45"/>
      <c r="O593" s="21"/>
      <c r="P593" s="21"/>
      <c r="Q593" s="21"/>
      <c r="R593" s="25" t="str">
        <f t="shared" si="9"/>
        <v/>
      </c>
    </row>
    <row r="594" spans="1:18" ht="33.6" customHeight="1">
      <c r="A594" s="28"/>
      <c r="B594" s="48"/>
      <c r="C594" s="48"/>
      <c r="D594" s="21"/>
      <c r="E594" s="21"/>
      <c r="F594" s="21"/>
      <c r="G594" s="21"/>
      <c r="H594" s="21"/>
      <c r="I594" s="21"/>
      <c r="J594" s="45"/>
      <c r="K594" s="45"/>
      <c r="L594" s="45"/>
      <c r="M594" s="45"/>
      <c r="N594" s="45"/>
      <c r="O594" s="21"/>
      <c r="P594" s="21"/>
      <c r="Q594" s="21"/>
      <c r="R594" s="25" t="str">
        <f t="shared" si="9"/>
        <v/>
      </c>
    </row>
    <row r="595" spans="1:18" ht="33.6" customHeight="1">
      <c r="A595" s="28"/>
      <c r="B595" s="48"/>
      <c r="C595" s="48"/>
      <c r="D595" s="21"/>
      <c r="E595" s="21"/>
      <c r="F595" s="21"/>
      <c r="G595" s="21"/>
      <c r="H595" s="21"/>
      <c r="I595" s="21"/>
      <c r="J595" s="45"/>
      <c r="K595" s="45"/>
      <c r="L595" s="45"/>
      <c r="M595" s="45"/>
      <c r="N595" s="45"/>
      <c r="O595" s="21"/>
      <c r="P595" s="21"/>
      <c r="Q595" s="21"/>
      <c r="R595" s="25" t="str">
        <f t="shared" si="9"/>
        <v/>
      </c>
    </row>
    <row r="596" spans="1:18" ht="33.6" customHeight="1">
      <c r="A596" s="28"/>
      <c r="B596" s="48"/>
      <c r="C596" s="48"/>
      <c r="D596" s="21"/>
      <c r="E596" s="21"/>
      <c r="F596" s="21"/>
      <c r="G596" s="21"/>
      <c r="H596" s="21"/>
      <c r="I596" s="21"/>
      <c r="J596" s="45"/>
      <c r="K596" s="45"/>
      <c r="L596" s="45"/>
      <c r="M596" s="45"/>
      <c r="N596" s="45"/>
      <c r="O596" s="21"/>
      <c r="P596" s="21"/>
      <c r="Q596" s="21"/>
      <c r="R596" s="25" t="str">
        <f t="shared" si="9"/>
        <v/>
      </c>
    </row>
    <row r="597" spans="1:18" ht="33.6" customHeight="1">
      <c r="A597" s="28"/>
      <c r="B597" s="48"/>
      <c r="C597" s="48"/>
      <c r="D597" s="21"/>
      <c r="E597" s="21"/>
      <c r="F597" s="21"/>
      <c r="G597" s="21"/>
      <c r="H597" s="21"/>
      <c r="I597" s="21"/>
      <c r="J597" s="45"/>
      <c r="K597" s="45"/>
      <c r="L597" s="45"/>
      <c r="M597" s="45"/>
      <c r="N597" s="45"/>
      <c r="O597" s="21"/>
      <c r="P597" s="21"/>
      <c r="Q597" s="21"/>
      <c r="R597" s="25" t="str">
        <f t="shared" si="9"/>
        <v/>
      </c>
    </row>
    <row r="598" spans="1:18" ht="33.6" customHeight="1">
      <c r="A598" s="28"/>
      <c r="B598" s="48"/>
      <c r="C598" s="48"/>
      <c r="D598" s="21"/>
      <c r="E598" s="21"/>
      <c r="F598" s="21"/>
      <c r="G598" s="21"/>
      <c r="H598" s="21"/>
      <c r="I598" s="21"/>
      <c r="J598" s="45"/>
      <c r="K598" s="45"/>
      <c r="L598" s="45"/>
      <c r="M598" s="45"/>
      <c r="N598" s="45"/>
      <c r="O598" s="21"/>
      <c r="P598" s="21"/>
      <c r="Q598" s="21"/>
      <c r="R598" s="25" t="str">
        <f t="shared" si="9"/>
        <v/>
      </c>
    </row>
    <row r="599" spans="1:18" ht="33.6" customHeight="1">
      <c r="A599" s="28"/>
      <c r="B599" s="48"/>
      <c r="C599" s="48"/>
      <c r="D599" s="21"/>
      <c r="E599" s="21"/>
      <c r="F599" s="21"/>
      <c r="G599" s="21"/>
      <c r="H599" s="21"/>
      <c r="I599" s="21"/>
      <c r="J599" s="45"/>
      <c r="K599" s="45"/>
      <c r="L599" s="45"/>
      <c r="M599" s="45"/>
      <c r="N599" s="45"/>
      <c r="O599" s="21"/>
      <c r="P599" s="21"/>
      <c r="Q599" s="21"/>
      <c r="R599" s="25" t="str">
        <f t="shared" si="9"/>
        <v/>
      </c>
    </row>
    <row r="600" spans="1:18" ht="33.6" customHeight="1">
      <c r="A600" s="28"/>
      <c r="B600" s="48"/>
      <c r="C600" s="48"/>
      <c r="D600" s="21"/>
      <c r="E600" s="21"/>
      <c r="F600" s="21"/>
      <c r="G600" s="21"/>
      <c r="H600" s="21"/>
      <c r="I600" s="21"/>
      <c r="J600" s="45"/>
      <c r="K600" s="45"/>
      <c r="L600" s="45"/>
      <c r="M600" s="45"/>
      <c r="N600" s="45"/>
      <c r="O600" s="21"/>
      <c r="P600" s="21"/>
      <c r="Q600" s="21"/>
      <c r="R600" s="25" t="str">
        <f t="shared" si="9"/>
        <v/>
      </c>
    </row>
    <row r="601" spans="1:18" ht="33.6" customHeight="1">
      <c r="A601" s="28"/>
      <c r="B601" s="48"/>
      <c r="C601" s="48"/>
      <c r="D601" s="21"/>
      <c r="E601" s="21"/>
      <c r="F601" s="21"/>
      <c r="G601" s="21"/>
      <c r="H601" s="21"/>
      <c r="I601" s="21"/>
      <c r="J601" s="45"/>
      <c r="K601" s="45"/>
      <c r="L601" s="45"/>
      <c r="M601" s="45"/>
      <c r="N601" s="45"/>
      <c r="O601" s="21"/>
      <c r="P601" s="21"/>
      <c r="Q601" s="21"/>
      <c r="R601" s="25" t="str">
        <f t="shared" si="9"/>
        <v/>
      </c>
    </row>
    <row r="602" spans="1:18" ht="33.6" customHeight="1">
      <c r="A602" s="28"/>
      <c r="B602" s="48"/>
      <c r="C602" s="48"/>
      <c r="D602" s="21"/>
      <c r="E602" s="21"/>
      <c r="F602" s="21"/>
      <c r="G602" s="21"/>
      <c r="H602" s="21"/>
      <c r="I602" s="21"/>
      <c r="J602" s="45"/>
      <c r="K602" s="45"/>
      <c r="L602" s="45"/>
      <c r="M602" s="45"/>
      <c r="N602" s="45"/>
      <c r="O602" s="21"/>
      <c r="P602" s="21"/>
      <c r="Q602" s="21"/>
      <c r="R602" s="25" t="str">
        <f t="shared" si="9"/>
        <v/>
      </c>
    </row>
    <row r="603" spans="1:18" ht="33.6" customHeight="1">
      <c r="A603" s="28"/>
      <c r="B603" s="48"/>
      <c r="C603" s="48"/>
      <c r="D603" s="21"/>
      <c r="E603" s="21"/>
      <c r="F603" s="21"/>
      <c r="G603" s="21"/>
      <c r="H603" s="21"/>
      <c r="I603" s="21"/>
      <c r="J603" s="45"/>
      <c r="K603" s="45"/>
      <c r="L603" s="45"/>
      <c r="M603" s="45"/>
      <c r="N603" s="45"/>
      <c r="O603" s="21"/>
      <c r="P603" s="21"/>
      <c r="Q603" s="21"/>
      <c r="R603" s="25" t="str">
        <f t="shared" si="9"/>
        <v/>
      </c>
    </row>
    <row r="604" spans="1:18" ht="33.6" customHeight="1">
      <c r="A604" s="28"/>
      <c r="B604" s="48"/>
      <c r="C604" s="48"/>
      <c r="D604" s="21"/>
      <c r="E604" s="21"/>
      <c r="F604" s="21"/>
      <c r="G604" s="21"/>
      <c r="H604" s="21"/>
      <c r="I604" s="21"/>
      <c r="J604" s="45"/>
      <c r="K604" s="45"/>
      <c r="L604" s="45"/>
      <c r="M604" s="45"/>
      <c r="N604" s="45"/>
      <c r="O604" s="21"/>
      <c r="P604" s="21"/>
      <c r="Q604" s="21"/>
      <c r="R604" s="25" t="str">
        <f t="shared" si="9"/>
        <v/>
      </c>
    </row>
    <row r="605" spans="1:18" ht="33.6" customHeight="1">
      <c r="A605" s="28"/>
      <c r="B605" s="48"/>
      <c r="C605" s="48"/>
      <c r="D605" s="21"/>
      <c r="E605" s="21"/>
      <c r="F605" s="21"/>
      <c r="G605" s="21"/>
      <c r="H605" s="21"/>
      <c r="I605" s="21"/>
      <c r="J605" s="45"/>
      <c r="K605" s="45"/>
      <c r="L605" s="45"/>
      <c r="M605" s="45"/>
      <c r="N605" s="45"/>
      <c r="O605" s="21"/>
      <c r="P605" s="21"/>
      <c r="Q605" s="21"/>
      <c r="R605" s="25" t="str">
        <f t="shared" si="9"/>
        <v/>
      </c>
    </row>
    <row r="606" spans="1:18" ht="33.6" customHeight="1">
      <c r="A606" s="28"/>
      <c r="B606" s="48"/>
      <c r="C606" s="48"/>
      <c r="D606" s="21"/>
      <c r="E606" s="21"/>
      <c r="F606" s="21"/>
      <c r="G606" s="21"/>
      <c r="H606" s="21"/>
      <c r="I606" s="21"/>
      <c r="J606" s="45"/>
      <c r="K606" s="45"/>
      <c r="L606" s="45"/>
      <c r="M606" s="45"/>
      <c r="N606" s="45"/>
      <c r="O606" s="21"/>
      <c r="P606" s="21"/>
      <c r="Q606" s="21"/>
      <c r="R606" s="25" t="str">
        <f t="shared" si="9"/>
        <v/>
      </c>
    </row>
    <row r="607" spans="1:18" ht="33.6" customHeight="1">
      <c r="A607" s="28"/>
      <c r="B607" s="48"/>
      <c r="C607" s="48"/>
      <c r="D607" s="21"/>
      <c r="E607" s="21"/>
      <c r="F607" s="21"/>
      <c r="G607" s="21"/>
      <c r="H607" s="21"/>
      <c r="I607" s="21"/>
      <c r="J607" s="45"/>
      <c r="K607" s="45"/>
      <c r="L607" s="45"/>
      <c r="M607" s="45"/>
      <c r="N607" s="45"/>
      <c r="O607" s="21"/>
      <c r="P607" s="21"/>
      <c r="Q607" s="21"/>
      <c r="R607" s="25" t="str">
        <f t="shared" si="9"/>
        <v/>
      </c>
    </row>
    <row r="608" spans="1:18" ht="33.6" customHeight="1">
      <c r="A608" s="28"/>
      <c r="B608" s="48"/>
      <c r="C608" s="48"/>
      <c r="D608" s="21"/>
      <c r="E608" s="21"/>
      <c r="F608" s="21"/>
      <c r="G608" s="21"/>
      <c r="H608" s="21"/>
      <c r="I608" s="21"/>
      <c r="J608" s="45"/>
      <c r="K608" s="45"/>
      <c r="L608" s="45"/>
      <c r="M608" s="45"/>
      <c r="N608" s="45"/>
      <c r="O608" s="21"/>
      <c r="P608" s="21"/>
      <c r="Q608" s="21"/>
      <c r="R608" s="25" t="str">
        <f t="shared" si="9"/>
        <v/>
      </c>
    </row>
    <row r="609" spans="1:18" ht="33.6" customHeight="1">
      <c r="A609" s="28"/>
      <c r="B609" s="48"/>
      <c r="C609" s="48"/>
      <c r="D609" s="21"/>
      <c r="E609" s="21"/>
      <c r="F609" s="21"/>
      <c r="G609" s="21"/>
      <c r="H609" s="21"/>
      <c r="I609" s="21"/>
      <c r="J609" s="45"/>
      <c r="K609" s="45"/>
      <c r="L609" s="45"/>
      <c r="M609" s="45"/>
      <c r="N609" s="45"/>
      <c r="O609" s="21"/>
      <c r="P609" s="21"/>
      <c r="Q609" s="21"/>
      <c r="R609" s="25" t="str">
        <f t="shared" si="9"/>
        <v/>
      </c>
    </row>
    <row r="610" spans="1:18" ht="33.6" customHeight="1">
      <c r="A610" s="28"/>
      <c r="B610" s="48"/>
      <c r="C610" s="48"/>
      <c r="D610" s="21"/>
      <c r="E610" s="21"/>
      <c r="F610" s="21"/>
      <c r="G610" s="21"/>
      <c r="H610" s="21"/>
      <c r="I610" s="21"/>
      <c r="J610" s="45"/>
      <c r="K610" s="45"/>
      <c r="L610" s="45"/>
      <c r="M610" s="45"/>
      <c r="N610" s="45"/>
      <c r="O610" s="21"/>
      <c r="P610" s="21"/>
      <c r="Q610" s="21"/>
      <c r="R610" s="25" t="str">
        <f t="shared" si="9"/>
        <v/>
      </c>
    </row>
    <row r="611" spans="1:18" ht="33.6" customHeight="1">
      <c r="A611" s="28"/>
      <c r="B611" s="48"/>
      <c r="C611" s="48"/>
      <c r="D611" s="21"/>
      <c r="E611" s="21"/>
      <c r="F611" s="21"/>
      <c r="G611" s="21"/>
      <c r="H611" s="21"/>
      <c r="I611" s="21"/>
      <c r="J611" s="45"/>
      <c r="K611" s="45"/>
      <c r="L611" s="45"/>
      <c r="M611" s="45"/>
      <c r="N611" s="45"/>
      <c r="O611" s="21"/>
      <c r="P611" s="21"/>
      <c r="Q611" s="21"/>
      <c r="R611" s="25" t="str">
        <f t="shared" si="9"/>
        <v/>
      </c>
    </row>
    <row r="612" spans="1:18" ht="33.6" customHeight="1">
      <c r="A612" s="28"/>
      <c r="B612" s="48"/>
      <c r="C612" s="48"/>
      <c r="D612" s="21"/>
      <c r="E612" s="21"/>
      <c r="F612" s="21"/>
      <c r="G612" s="21"/>
      <c r="H612" s="21"/>
      <c r="I612" s="21"/>
      <c r="J612" s="45"/>
      <c r="K612" s="45"/>
      <c r="L612" s="45"/>
      <c r="M612" s="45"/>
      <c r="N612" s="45"/>
      <c r="O612" s="21"/>
      <c r="P612" s="21"/>
      <c r="Q612" s="21"/>
      <c r="R612" s="25" t="str">
        <f t="shared" si="9"/>
        <v/>
      </c>
    </row>
    <row r="613" spans="1:18" ht="33.6" customHeight="1">
      <c r="A613" s="28"/>
      <c r="B613" s="48"/>
      <c r="C613" s="48"/>
      <c r="D613" s="21"/>
      <c r="E613" s="21"/>
      <c r="F613" s="21"/>
      <c r="G613" s="21"/>
      <c r="H613" s="21"/>
      <c r="I613" s="21"/>
      <c r="J613" s="45"/>
      <c r="K613" s="45"/>
      <c r="L613" s="45"/>
      <c r="M613" s="45"/>
      <c r="N613" s="45"/>
      <c r="O613" s="21"/>
      <c r="P613" s="21"/>
      <c r="Q613" s="21"/>
      <c r="R613" s="25" t="str">
        <f t="shared" si="9"/>
        <v/>
      </c>
    </row>
    <row r="614" spans="1:18" ht="33.6" customHeight="1">
      <c r="A614" s="28"/>
      <c r="B614" s="48"/>
      <c r="C614" s="48"/>
      <c r="D614" s="21"/>
      <c r="E614" s="21"/>
      <c r="F614" s="21"/>
      <c r="G614" s="21"/>
      <c r="H614" s="21"/>
      <c r="I614" s="21"/>
      <c r="J614" s="45"/>
      <c r="K614" s="45"/>
      <c r="L614" s="45"/>
      <c r="M614" s="45"/>
      <c r="N614" s="45"/>
      <c r="O614" s="21"/>
      <c r="P614" s="21"/>
      <c r="Q614" s="21"/>
      <c r="R614" s="25" t="str">
        <f t="shared" si="9"/>
        <v/>
      </c>
    </row>
    <row r="615" spans="1:18" ht="33.6" customHeight="1">
      <c r="A615" s="28"/>
      <c r="B615" s="48"/>
      <c r="C615" s="48"/>
      <c r="D615" s="21"/>
      <c r="E615" s="21"/>
      <c r="F615" s="21"/>
      <c r="G615" s="21"/>
      <c r="H615" s="21"/>
      <c r="I615" s="21"/>
      <c r="J615" s="45"/>
      <c r="K615" s="45"/>
      <c r="L615" s="45"/>
      <c r="M615" s="45"/>
      <c r="N615" s="45"/>
      <c r="O615" s="21"/>
      <c r="P615" s="21"/>
      <c r="Q615" s="21"/>
      <c r="R615" s="25" t="str">
        <f t="shared" si="9"/>
        <v/>
      </c>
    </row>
    <row r="616" spans="1:18" ht="33.6" customHeight="1">
      <c r="A616" s="28"/>
      <c r="B616" s="48"/>
      <c r="C616" s="48"/>
      <c r="D616" s="21"/>
      <c r="E616" s="21"/>
      <c r="F616" s="21"/>
      <c r="G616" s="21"/>
      <c r="H616" s="21"/>
      <c r="I616" s="21"/>
      <c r="J616" s="45"/>
      <c r="K616" s="45"/>
      <c r="L616" s="45"/>
      <c r="M616" s="45"/>
      <c r="N616" s="45"/>
      <c r="O616" s="21"/>
      <c r="P616" s="21"/>
      <c r="Q616" s="21"/>
      <c r="R616" s="25" t="str">
        <f t="shared" si="9"/>
        <v/>
      </c>
    </row>
    <row r="617" spans="1:18" ht="33.6" customHeight="1">
      <c r="A617" s="28"/>
      <c r="B617" s="48"/>
      <c r="C617" s="48"/>
      <c r="D617" s="21"/>
      <c r="E617" s="21"/>
      <c r="F617" s="21"/>
      <c r="G617" s="21"/>
      <c r="H617" s="21"/>
      <c r="I617" s="21"/>
      <c r="J617" s="45"/>
      <c r="K617" s="45"/>
      <c r="L617" s="45"/>
      <c r="M617" s="45"/>
      <c r="N617" s="45"/>
      <c r="O617" s="21"/>
      <c r="P617" s="21"/>
      <c r="Q617" s="21"/>
      <c r="R617" s="25" t="str">
        <f t="shared" si="9"/>
        <v/>
      </c>
    </row>
    <row r="618" spans="1:18" ht="33.6" customHeight="1">
      <c r="A618" s="28"/>
      <c r="B618" s="48"/>
      <c r="C618" s="48"/>
      <c r="D618" s="21"/>
      <c r="E618" s="21"/>
      <c r="F618" s="21"/>
      <c r="G618" s="21"/>
      <c r="H618" s="21"/>
      <c r="I618" s="21"/>
      <c r="J618" s="45"/>
      <c r="K618" s="45"/>
      <c r="L618" s="45"/>
      <c r="M618" s="45"/>
      <c r="N618" s="45"/>
      <c r="O618" s="21"/>
      <c r="P618" s="21"/>
      <c r="Q618" s="21"/>
      <c r="R618" s="25" t="str">
        <f t="shared" si="9"/>
        <v/>
      </c>
    </row>
    <row r="619" spans="1:18" ht="33.6" customHeight="1">
      <c r="A619" s="28"/>
      <c r="B619" s="48"/>
      <c r="C619" s="48"/>
      <c r="D619" s="21"/>
      <c r="E619" s="21"/>
      <c r="F619" s="21"/>
      <c r="G619" s="21"/>
      <c r="H619" s="21"/>
      <c r="I619" s="21"/>
      <c r="J619" s="45"/>
      <c r="K619" s="45"/>
      <c r="L619" s="45"/>
      <c r="M619" s="45"/>
      <c r="N619" s="45"/>
      <c r="O619" s="21"/>
      <c r="P619" s="21"/>
      <c r="Q619" s="21"/>
      <c r="R619" s="25" t="str">
        <f t="shared" si="9"/>
        <v/>
      </c>
    </row>
    <row r="620" spans="1:18" ht="33.6" customHeight="1">
      <c r="A620" s="28"/>
      <c r="B620" s="48"/>
      <c r="C620" s="48"/>
      <c r="D620" s="21"/>
      <c r="E620" s="21"/>
      <c r="F620" s="21"/>
      <c r="G620" s="21"/>
      <c r="H620" s="21"/>
      <c r="I620" s="21"/>
      <c r="J620" s="45"/>
      <c r="K620" s="45"/>
      <c r="L620" s="45"/>
      <c r="M620" s="45"/>
      <c r="N620" s="45"/>
      <c r="O620" s="21"/>
      <c r="P620" s="21"/>
      <c r="Q620" s="21"/>
      <c r="R620" s="25" t="str">
        <f t="shared" si="9"/>
        <v/>
      </c>
    </row>
    <row r="621" spans="1:18" ht="33.6" customHeight="1">
      <c r="A621" s="28"/>
      <c r="B621" s="48"/>
      <c r="C621" s="48"/>
      <c r="D621" s="21"/>
      <c r="E621" s="21"/>
      <c r="F621" s="21"/>
      <c r="G621" s="21"/>
      <c r="H621" s="21"/>
      <c r="I621" s="21"/>
      <c r="J621" s="45"/>
      <c r="K621" s="45"/>
      <c r="L621" s="45"/>
      <c r="M621" s="45"/>
      <c r="N621" s="45"/>
      <c r="O621" s="21"/>
      <c r="P621" s="21"/>
      <c r="Q621" s="21"/>
      <c r="R621" s="25" t="str">
        <f t="shared" si="9"/>
        <v/>
      </c>
    </row>
    <row r="622" spans="1:18" ht="33.6" customHeight="1">
      <c r="A622" s="28"/>
      <c r="B622" s="48"/>
      <c r="C622" s="48"/>
      <c r="D622" s="21"/>
      <c r="E622" s="21"/>
      <c r="F622" s="21"/>
      <c r="G622" s="21"/>
      <c r="H622" s="21"/>
      <c r="I622" s="21"/>
      <c r="J622" s="45"/>
      <c r="K622" s="45"/>
      <c r="L622" s="45"/>
      <c r="M622" s="45"/>
      <c r="N622" s="45"/>
      <c r="O622" s="21"/>
      <c r="P622" s="21"/>
      <c r="Q622" s="21"/>
      <c r="R622" s="25" t="str">
        <f t="shared" si="9"/>
        <v/>
      </c>
    </row>
    <row r="623" spans="1:18" ht="33.6" customHeight="1">
      <c r="A623" s="28"/>
      <c r="B623" s="48"/>
      <c r="C623" s="48"/>
      <c r="D623" s="21"/>
      <c r="E623" s="21"/>
      <c r="F623" s="21"/>
      <c r="G623" s="21"/>
      <c r="H623" s="21"/>
      <c r="I623" s="21"/>
      <c r="J623" s="45"/>
      <c r="K623" s="45"/>
      <c r="L623" s="45"/>
      <c r="M623" s="45"/>
      <c r="N623" s="45"/>
      <c r="O623" s="21"/>
      <c r="P623" s="21"/>
      <c r="Q623" s="21"/>
      <c r="R623" s="25" t="str">
        <f t="shared" si="9"/>
        <v/>
      </c>
    </row>
    <row r="624" spans="1:18" ht="33.6" customHeight="1">
      <c r="A624" s="28"/>
      <c r="B624" s="48"/>
      <c r="C624" s="48"/>
      <c r="D624" s="21"/>
      <c r="E624" s="21"/>
      <c r="F624" s="21"/>
      <c r="G624" s="21"/>
      <c r="H624" s="21"/>
      <c r="I624" s="21"/>
      <c r="J624" s="45"/>
      <c r="K624" s="45"/>
      <c r="L624" s="45"/>
      <c r="M624" s="45"/>
      <c r="N624" s="45"/>
      <c r="O624" s="21"/>
      <c r="P624" s="21"/>
      <c r="Q624" s="21"/>
      <c r="R624" s="25" t="str">
        <f t="shared" si="9"/>
        <v/>
      </c>
    </row>
    <row r="625" spans="1:18" ht="33.6" customHeight="1">
      <c r="A625" s="28"/>
      <c r="B625" s="48"/>
      <c r="C625" s="48"/>
      <c r="D625" s="21"/>
      <c r="E625" s="21"/>
      <c r="F625" s="21"/>
      <c r="G625" s="21"/>
      <c r="H625" s="21"/>
      <c r="I625" s="21"/>
      <c r="J625" s="45"/>
      <c r="K625" s="45"/>
      <c r="L625" s="45"/>
      <c r="M625" s="45"/>
      <c r="N625" s="45"/>
      <c r="O625" s="21"/>
      <c r="P625" s="21"/>
      <c r="Q625" s="21"/>
      <c r="R625" s="25" t="str">
        <f t="shared" si="9"/>
        <v/>
      </c>
    </row>
    <row r="626" spans="1:18" ht="33.6" customHeight="1">
      <c r="A626" s="28"/>
      <c r="B626" s="48"/>
      <c r="C626" s="48"/>
      <c r="D626" s="21"/>
      <c r="E626" s="21"/>
      <c r="F626" s="21"/>
      <c r="G626" s="21"/>
      <c r="H626" s="21"/>
      <c r="I626" s="21"/>
      <c r="J626" s="45"/>
      <c r="K626" s="45"/>
      <c r="L626" s="45"/>
      <c r="M626" s="45"/>
      <c r="N626" s="45"/>
      <c r="O626" s="21"/>
      <c r="P626" s="21"/>
      <c r="Q626" s="21"/>
      <c r="R626" s="25" t="str">
        <f t="shared" si="9"/>
        <v/>
      </c>
    </row>
    <row r="627" spans="1:18" ht="33.6" customHeight="1">
      <c r="A627" s="28"/>
      <c r="B627" s="48"/>
      <c r="C627" s="48"/>
      <c r="D627" s="21"/>
      <c r="E627" s="21"/>
      <c r="F627" s="21"/>
      <c r="G627" s="21"/>
      <c r="H627" s="21"/>
      <c r="I627" s="21"/>
      <c r="J627" s="45"/>
      <c r="K627" s="45"/>
      <c r="L627" s="45"/>
      <c r="M627" s="45"/>
      <c r="N627" s="45"/>
      <c r="O627" s="21"/>
      <c r="P627" s="21"/>
      <c r="Q627" s="21"/>
      <c r="R627" s="25" t="str">
        <f t="shared" ref="R627:R690" si="10">IF(COUNTIF($A$17:$A$2010,$A627)&gt;1,"Possible Duplicate","")</f>
        <v/>
      </c>
    </row>
    <row r="628" spans="1:18" ht="33.6" customHeight="1">
      <c r="A628" s="28"/>
      <c r="B628" s="48"/>
      <c r="C628" s="48"/>
      <c r="D628" s="21"/>
      <c r="E628" s="21"/>
      <c r="F628" s="21"/>
      <c r="G628" s="21"/>
      <c r="H628" s="21"/>
      <c r="I628" s="21"/>
      <c r="J628" s="45"/>
      <c r="K628" s="45"/>
      <c r="L628" s="45"/>
      <c r="M628" s="45"/>
      <c r="N628" s="45"/>
      <c r="O628" s="21"/>
      <c r="P628" s="21"/>
      <c r="Q628" s="21"/>
      <c r="R628" s="25" t="str">
        <f t="shared" si="10"/>
        <v/>
      </c>
    </row>
    <row r="629" spans="1:18" ht="33.6" customHeight="1">
      <c r="A629" s="28"/>
      <c r="B629" s="48"/>
      <c r="C629" s="48"/>
      <c r="D629" s="21"/>
      <c r="E629" s="21"/>
      <c r="F629" s="21"/>
      <c r="G629" s="21"/>
      <c r="H629" s="21"/>
      <c r="I629" s="21"/>
      <c r="J629" s="45"/>
      <c r="K629" s="45"/>
      <c r="L629" s="45"/>
      <c r="M629" s="45"/>
      <c r="N629" s="45"/>
      <c r="O629" s="21"/>
      <c r="P629" s="21"/>
      <c r="Q629" s="21"/>
      <c r="R629" s="25" t="str">
        <f t="shared" si="10"/>
        <v/>
      </c>
    </row>
    <row r="630" spans="1:18" ht="33.6" customHeight="1">
      <c r="A630" s="28"/>
      <c r="B630" s="48"/>
      <c r="C630" s="48"/>
      <c r="D630" s="21"/>
      <c r="E630" s="21"/>
      <c r="F630" s="21"/>
      <c r="G630" s="21"/>
      <c r="H630" s="21"/>
      <c r="I630" s="21"/>
      <c r="J630" s="45"/>
      <c r="K630" s="45"/>
      <c r="L630" s="45"/>
      <c r="M630" s="45"/>
      <c r="N630" s="45"/>
      <c r="O630" s="21"/>
      <c r="P630" s="21"/>
      <c r="Q630" s="21"/>
      <c r="R630" s="25" t="str">
        <f t="shared" si="10"/>
        <v/>
      </c>
    </row>
    <row r="631" spans="1:18" ht="33.6" customHeight="1">
      <c r="A631" s="28"/>
      <c r="B631" s="48"/>
      <c r="C631" s="48"/>
      <c r="D631" s="21"/>
      <c r="E631" s="21"/>
      <c r="F631" s="21"/>
      <c r="G631" s="21"/>
      <c r="H631" s="21"/>
      <c r="I631" s="21"/>
      <c r="J631" s="45"/>
      <c r="K631" s="45"/>
      <c r="L631" s="45"/>
      <c r="M631" s="45"/>
      <c r="N631" s="45"/>
      <c r="O631" s="21"/>
      <c r="P631" s="21"/>
      <c r="Q631" s="21"/>
      <c r="R631" s="25" t="str">
        <f t="shared" si="10"/>
        <v/>
      </c>
    </row>
    <row r="632" spans="1:18" ht="33.6" customHeight="1">
      <c r="A632" s="28"/>
      <c r="B632" s="48"/>
      <c r="C632" s="48"/>
      <c r="D632" s="21"/>
      <c r="E632" s="21"/>
      <c r="F632" s="21"/>
      <c r="G632" s="21"/>
      <c r="H632" s="21"/>
      <c r="I632" s="21"/>
      <c r="J632" s="45"/>
      <c r="K632" s="45"/>
      <c r="L632" s="45"/>
      <c r="M632" s="45"/>
      <c r="N632" s="45"/>
      <c r="O632" s="21"/>
      <c r="P632" s="21"/>
      <c r="Q632" s="21"/>
      <c r="R632" s="25" t="str">
        <f t="shared" si="10"/>
        <v/>
      </c>
    </row>
    <row r="633" spans="1:18" ht="33.6" customHeight="1">
      <c r="A633" s="28"/>
      <c r="B633" s="48"/>
      <c r="C633" s="48"/>
      <c r="D633" s="21"/>
      <c r="E633" s="21"/>
      <c r="F633" s="21"/>
      <c r="G633" s="21"/>
      <c r="H633" s="21"/>
      <c r="I633" s="21"/>
      <c r="J633" s="45"/>
      <c r="K633" s="45"/>
      <c r="L633" s="45"/>
      <c r="M633" s="45"/>
      <c r="N633" s="45"/>
      <c r="O633" s="21"/>
      <c r="P633" s="21"/>
      <c r="Q633" s="21"/>
      <c r="R633" s="25" t="str">
        <f t="shared" si="10"/>
        <v/>
      </c>
    </row>
    <row r="634" spans="1:18" ht="33.6" customHeight="1">
      <c r="A634" s="28"/>
      <c r="B634" s="48"/>
      <c r="C634" s="48"/>
      <c r="D634" s="21"/>
      <c r="E634" s="21"/>
      <c r="F634" s="21"/>
      <c r="G634" s="21"/>
      <c r="H634" s="21"/>
      <c r="I634" s="21"/>
      <c r="J634" s="45"/>
      <c r="K634" s="45"/>
      <c r="L634" s="45"/>
      <c r="M634" s="45"/>
      <c r="N634" s="45"/>
      <c r="O634" s="21"/>
      <c r="P634" s="21"/>
      <c r="Q634" s="21"/>
      <c r="R634" s="25" t="str">
        <f t="shared" si="10"/>
        <v/>
      </c>
    </row>
    <row r="635" spans="1:18" ht="33.6" customHeight="1">
      <c r="A635" s="28"/>
      <c r="B635" s="48"/>
      <c r="C635" s="48"/>
      <c r="D635" s="21"/>
      <c r="E635" s="21"/>
      <c r="F635" s="21"/>
      <c r="G635" s="21"/>
      <c r="H635" s="21"/>
      <c r="I635" s="21"/>
      <c r="J635" s="45"/>
      <c r="K635" s="45"/>
      <c r="L635" s="45"/>
      <c r="M635" s="45"/>
      <c r="N635" s="45"/>
      <c r="O635" s="21"/>
      <c r="P635" s="21"/>
      <c r="Q635" s="21"/>
      <c r="R635" s="25" t="str">
        <f t="shared" si="10"/>
        <v/>
      </c>
    </row>
    <row r="636" spans="1:18" ht="33.6" customHeight="1">
      <c r="A636" s="28"/>
      <c r="B636" s="48"/>
      <c r="C636" s="48"/>
      <c r="D636" s="21"/>
      <c r="E636" s="21"/>
      <c r="F636" s="21"/>
      <c r="G636" s="21"/>
      <c r="H636" s="21"/>
      <c r="I636" s="21"/>
      <c r="J636" s="45"/>
      <c r="K636" s="45"/>
      <c r="L636" s="45"/>
      <c r="M636" s="45"/>
      <c r="N636" s="45"/>
      <c r="O636" s="21"/>
      <c r="P636" s="21"/>
      <c r="Q636" s="21"/>
      <c r="R636" s="25" t="str">
        <f t="shared" si="10"/>
        <v/>
      </c>
    </row>
    <row r="637" spans="1:18" ht="33.6" customHeight="1">
      <c r="A637" s="28"/>
      <c r="B637" s="48"/>
      <c r="C637" s="48"/>
      <c r="D637" s="21"/>
      <c r="E637" s="21"/>
      <c r="F637" s="21"/>
      <c r="G637" s="21"/>
      <c r="H637" s="21"/>
      <c r="I637" s="21"/>
      <c r="J637" s="45"/>
      <c r="K637" s="45"/>
      <c r="L637" s="45"/>
      <c r="M637" s="45"/>
      <c r="N637" s="45"/>
      <c r="O637" s="21"/>
      <c r="P637" s="21"/>
      <c r="Q637" s="21"/>
      <c r="R637" s="25" t="str">
        <f t="shared" si="10"/>
        <v/>
      </c>
    </row>
    <row r="638" spans="1:18" ht="33.6" customHeight="1">
      <c r="A638" s="28"/>
      <c r="B638" s="48"/>
      <c r="C638" s="48"/>
      <c r="D638" s="21"/>
      <c r="E638" s="21"/>
      <c r="F638" s="21"/>
      <c r="G638" s="21"/>
      <c r="H638" s="21"/>
      <c r="I638" s="21"/>
      <c r="J638" s="45"/>
      <c r="K638" s="45"/>
      <c r="L638" s="45"/>
      <c r="M638" s="45"/>
      <c r="N638" s="45"/>
      <c r="O638" s="21"/>
      <c r="P638" s="21"/>
      <c r="Q638" s="21"/>
      <c r="R638" s="25" t="str">
        <f t="shared" si="10"/>
        <v/>
      </c>
    </row>
    <row r="639" spans="1:18" ht="33.6" customHeight="1">
      <c r="A639" s="28"/>
      <c r="B639" s="48"/>
      <c r="C639" s="48"/>
      <c r="D639" s="21"/>
      <c r="E639" s="21"/>
      <c r="F639" s="21"/>
      <c r="G639" s="21"/>
      <c r="H639" s="21"/>
      <c r="I639" s="21"/>
      <c r="J639" s="45"/>
      <c r="K639" s="45"/>
      <c r="L639" s="45"/>
      <c r="M639" s="45"/>
      <c r="N639" s="45"/>
      <c r="O639" s="21"/>
      <c r="P639" s="21"/>
      <c r="Q639" s="21"/>
      <c r="R639" s="25" t="str">
        <f t="shared" si="10"/>
        <v/>
      </c>
    </row>
    <row r="640" spans="1:18" ht="33.6" customHeight="1">
      <c r="A640" s="28"/>
      <c r="B640" s="48"/>
      <c r="C640" s="48"/>
      <c r="D640" s="21"/>
      <c r="E640" s="21"/>
      <c r="F640" s="21"/>
      <c r="G640" s="21"/>
      <c r="H640" s="21"/>
      <c r="I640" s="21"/>
      <c r="J640" s="45"/>
      <c r="K640" s="45"/>
      <c r="L640" s="45"/>
      <c r="M640" s="45"/>
      <c r="N640" s="45"/>
      <c r="O640" s="21"/>
      <c r="P640" s="21"/>
      <c r="Q640" s="21"/>
      <c r="R640" s="25" t="str">
        <f t="shared" si="10"/>
        <v/>
      </c>
    </row>
    <row r="641" spans="1:18" ht="33.6" customHeight="1">
      <c r="A641" s="28"/>
      <c r="B641" s="48"/>
      <c r="C641" s="48"/>
      <c r="D641" s="21"/>
      <c r="E641" s="21"/>
      <c r="F641" s="21"/>
      <c r="G641" s="21"/>
      <c r="H641" s="21"/>
      <c r="I641" s="21"/>
      <c r="J641" s="45"/>
      <c r="K641" s="45"/>
      <c r="L641" s="45"/>
      <c r="M641" s="45"/>
      <c r="N641" s="45"/>
      <c r="O641" s="21"/>
      <c r="P641" s="21"/>
      <c r="Q641" s="21"/>
      <c r="R641" s="25" t="str">
        <f t="shared" si="10"/>
        <v/>
      </c>
    </row>
    <row r="642" spans="1:18" ht="33.6" customHeight="1">
      <c r="A642" s="28"/>
      <c r="B642" s="48"/>
      <c r="C642" s="48"/>
      <c r="D642" s="21"/>
      <c r="E642" s="21"/>
      <c r="F642" s="21"/>
      <c r="G642" s="21"/>
      <c r="H642" s="21"/>
      <c r="I642" s="21"/>
      <c r="J642" s="45"/>
      <c r="K642" s="45"/>
      <c r="L642" s="45"/>
      <c r="M642" s="45"/>
      <c r="N642" s="45"/>
      <c r="O642" s="21"/>
      <c r="P642" s="21"/>
      <c r="Q642" s="21"/>
      <c r="R642" s="25" t="str">
        <f t="shared" si="10"/>
        <v/>
      </c>
    </row>
    <row r="643" spans="1:18" ht="33.6" customHeight="1">
      <c r="A643" s="28"/>
      <c r="B643" s="48"/>
      <c r="C643" s="48"/>
      <c r="D643" s="21"/>
      <c r="E643" s="21"/>
      <c r="F643" s="21"/>
      <c r="G643" s="21"/>
      <c r="H643" s="21"/>
      <c r="I643" s="21"/>
      <c r="J643" s="45"/>
      <c r="K643" s="45"/>
      <c r="L643" s="45"/>
      <c r="M643" s="45"/>
      <c r="N643" s="45"/>
      <c r="O643" s="21"/>
      <c r="P643" s="21"/>
      <c r="Q643" s="21"/>
      <c r="R643" s="25" t="str">
        <f t="shared" si="10"/>
        <v/>
      </c>
    </row>
    <row r="644" spans="1:18" ht="33.6" customHeight="1">
      <c r="A644" s="28"/>
      <c r="B644" s="48"/>
      <c r="C644" s="48"/>
      <c r="D644" s="21"/>
      <c r="E644" s="21"/>
      <c r="F644" s="21"/>
      <c r="G644" s="21"/>
      <c r="H644" s="21"/>
      <c r="I644" s="21"/>
      <c r="J644" s="45"/>
      <c r="K644" s="45"/>
      <c r="L644" s="45"/>
      <c r="M644" s="45"/>
      <c r="N644" s="45"/>
      <c r="O644" s="21"/>
      <c r="P644" s="21"/>
      <c r="Q644" s="21"/>
      <c r="R644" s="25" t="str">
        <f t="shared" si="10"/>
        <v/>
      </c>
    </row>
    <row r="645" spans="1:18" ht="33.6" customHeight="1">
      <c r="A645" s="28"/>
      <c r="B645" s="48"/>
      <c r="C645" s="48"/>
      <c r="D645" s="21"/>
      <c r="E645" s="21"/>
      <c r="F645" s="21"/>
      <c r="G645" s="21"/>
      <c r="H645" s="21"/>
      <c r="I645" s="21"/>
      <c r="J645" s="45"/>
      <c r="K645" s="45"/>
      <c r="L645" s="45"/>
      <c r="M645" s="45"/>
      <c r="N645" s="45"/>
      <c r="O645" s="21"/>
      <c r="P645" s="21"/>
      <c r="Q645" s="21"/>
      <c r="R645" s="25" t="str">
        <f t="shared" si="10"/>
        <v/>
      </c>
    </row>
    <row r="646" spans="1:18" ht="33.6" customHeight="1">
      <c r="A646" s="28"/>
      <c r="B646" s="48"/>
      <c r="C646" s="48"/>
      <c r="D646" s="21"/>
      <c r="E646" s="21"/>
      <c r="F646" s="21"/>
      <c r="G646" s="21"/>
      <c r="H646" s="21"/>
      <c r="I646" s="21"/>
      <c r="J646" s="45"/>
      <c r="K646" s="45"/>
      <c r="L646" s="45"/>
      <c r="M646" s="45"/>
      <c r="N646" s="45"/>
      <c r="O646" s="21"/>
      <c r="P646" s="21"/>
      <c r="Q646" s="21"/>
      <c r="R646" s="25" t="str">
        <f t="shared" si="10"/>
        <v/>
      </c>
    </row>
    <row r="647" spans="1:18" ht="33.6" customHeight="1">
      <c r="A647" s="28"/>
      <c r="B647" s="48"/>
      <c r="C647" s="48"/>
      <c r="D647" s="21"/>
      <c r="E647" s="21"/>
      <c r="F647" s="21"/>
      <c r="G647" s="21"/>
      <c r="H647" s="21"/>
      <c r="I647" s="21"/>
      <c r="J647" s="45"/>
      <c r="K647" s="45"/>
      <c r="L647" s="45"/>
      <c r="M647" s="45"/>
      <c r="N647" s="45"/>
      <c r="O647" s="21"/>
      <c r="P647" s="21"/>
      <c r="Q647" s="21"/>
      <c r="R647" s="25" t="str">
        <f t="shared" si="10"/>
        <v/>
      </c>
    </row>
    <row r="648" spans="1:18" ht="33.6" customHeight="1">
      <c r="A648" s="28"/>
      <c r="B648" s="48"/>
      <c r="C648" s="48"/>
      <c r="D648" s="21"/>
      <c r="E648" s="21"/>
      <c r="F648" s="21"/>
      <c r="G648" s="21"/>
      <c r="H648" s="21"/>
      <c r="I648" s="21"/>
      <c r="J648" s="45"/>
      <c r="K648" s="45"/>
      <c r="L648" s="45"/>
      <c r="M648" s="45"/>
      <c r="N648" s="45"/>
      <c r="O648" s="21"/>
      <c r="P648" s="21"/>
      <c r="Q648" s="21"/>
      <c r="R648" s="25" t="str">
        <f t="shared" si="10"/>
        <v/>
      </c>
    </row>
    <row r="649" spans="1:18" ht="33.6" customHeight="1">
      <c r="A649" s="28"/>
      <c r="B649" s="48"/>
      <c r="C649" s="48"/>
      <c r="D649" s="21"/>
      <c r="E649" s="21"/>
      <c r="F649" s="21"/>
      <c r="G649" s="21"/>
      <c r="H649" s="21"/>
      <c r="I649" s="21"/>
      <c r="J649" s="45"/>
      <c r="K649" s="45"/>
      <c r="L649" s="45"/>
      <c r="M649" s="45"/>
      <c r="N649" s="45"/>
      <c r="O649" s="21"/>
      <c r="P649" s="21"/>
      <c r="Q649" s="21"/>
      <c r="R649" s="25" t="str">
        <f t="shared" si="10"/>
        <v/>
      </c>
    </row>
    <row r="650" spans="1:18" ht="33.6" customHeight="1">
      <c r="A650" s="28"/>
      <c r="B650" s="48"/>
      <c r="C650" s="48"/>
      <c r="D650" s="21"/>
      <c r="E650" s="21"/>
      <c r="F650" s="21"/>
      <c r="G650" s="21"/>
      <c r="H650" s="21"/>
      <c r="I650" s="21"/>
      <c r="J650" s="45"/>
      <c r="K650" s="45"/>
      <c r="L650" s="45"/>
      <c r="M650" s="45"/>
      <c r="N650" s="45"/>
      <c r="O650" s="21"/>
      <c r="P650" s="21"/>
      <c r="Q650" s="21"/>
      <c r="R650" s="25" t="str">
        <f t="shared" si="10"/>
        <v/>
      </c>
    </row>
    <row r="651" spans="1:18" ht="33.6" customHeight="1">
      <c r="A651" s="28"/>
      <c r="B651" s="48"/>
      <c r="C651" s="48"/>
      <c r="D651" s="21"/>
      <c r="E651" s="21"/>
      <c r="F651" s="21"/>
      <c r="G651" s="21"/>
      <c r="H651" s="21"/>
      <c r="I651" s="21"/>
      <c r="J651" s="45"/>
      <c r="K651" s="45"/>
      <c r="L651" s="45"/>
      <c r="M651" s="45"/>
      <c r="N651" s="45"/>
      <c r="O651" s="21"/>
      <c r="P651" s="21"/>
      <c r="Q651" s="21"/>
      <c r="R651" s="25" t="str">
        <f t="shared" si="10"/>
        <v/>
      </c>
    </row>
    <row r="652" spans="1:18" ht="33.6" customHeight="1">
      <c r="A652" s="28"/>
      <c r="B652" s="48"/>
      <c r="C652" s="48"/>
      <c r="D652" s="21"/>
      <c r="E652" s="21"/>
      <c r="F652" s="21"/>
      <c r="G652" s="21"/>
      <c r="H652" s="21"/>
      <c r="I652" s="21"/>
      <c r="J652" s="45"/>
      <c r="K652" s="45"/>
      <c r="L652" s="45"/>
      <c r="M652" s="45"/>
      <c r="N652" s="45"/>
      <c r="O652" s="21"/>
      <c r="P652" s="21"/>
      <c r="Q652" s="21"/>
      <c r="R652" s="25" t="str">
        <f t="shared" si="10"/>
        <v/>
      </c>
    </row>
    <row r="653" spans="1:18" ht="33.6" customHeight="1">
      <c r="A653" s="28"/>
      <c r="B653" s="48"/>
      <c r="C653" s="48"/>
      <c r="D653" s="21"/>
      <c r="E653" s="21"/>
      <c r="F653" s="21"/>
      <c r="G653" s="21"/>
      <c r="H653" s="21"/>
      <c r="I653" s="21"/>
      <c r="J653" s="45"/>
      <c r="K653" s="45"/>
      <c r="L653" s="45"/>
      <c r="M653" s="45"/>
      <c r="N653" s="45"/>
      <c r="O653" s="21"/>
      <c r="P653" s="21"/>
      <c r="Q653" s="21"/>
      <c r="R653" s="25" t="str">
        <f t="shared" si="10"/>
        <v/>
      </c>
    </row>
    <row r="654" spans="1:18" ht="33.6" customHeight="1">
      <c r="A654" s="28"/>
      <c r="B654" s="48"/>
      <c r="C654" s="48"/>
      <c r="D654" s="21"/>
      <c r="E654" s="21"/>
      <c r="F654" s="21"/>
      <c r="G654" s="21"/>
      <c r="H654" s="21"/>
      <c r="I654" s="21"/>
      <c r="J654" s="45"/>
      <c r="K654" s="45"/>
      <c r="L654" s="45"/>
      <c r="M654" s="45"/>
      <c r="N654" s="45"/>
      <c r="O654" s="21"/>
      <c r="P654" s="21"/>
      <c r="Q654" s="21"/>
      <c r="R654" s="25" t="str">
        <f t="shared" si="10"/>
        <v/>
      </c>
    </row>
    <row r="655" spans="1:18" ht="33.6" customHeight="1">
      <c r="A655" s="28"/>
      <c r="B655" s="48"/>
      <c r="C655" s="48"/>
      <c r="D655" s="21"/>
      <c r="E655" s="21"/>
      <c r="F655" s="21"/>
      <c r="G655" s="21"/>
      <c r="H655" s="21"/>
      <c r="I655" s="21"/>
      <c r="J655" s="45"/>
      <c r="K655" s="45"/>
      <c r="L655" s="45"/>
      <c r="M655" s="45"/>
      <c r="N655" s="45"/>
      <c r="O655" s="21"/>
      <c r="P655" s="21"/>
      <c r="Q655" s="21"/>
      <c r="R655" s="25" t="str">
        <f t="shared" si="10"/>
        <v/>
      </c>
    </row>
    <row r="656" spans="1:18" ht="33.6" customHeight="1">
      <c r="A656" s="28"/>
      <c r="B656" s="48"/>
      <c r="C656" s="48"/>
      <c r="D656" s="21"/>
      <c r="E656" s="21"/>
      <c r="F656" s="21"/>
      <c r="G656" s="21"/>
      <c r="H656" s="21"/>
      <c r="I656" s="21"/>
      <c r="J656" s="45"/>
      <c r="K656" s="45"/>
      <c r="L656" s="45"/>
      <c r="M656" s="45"/>
      <c r="N656" s="45"/>
      <c r="O656" s="21"/>
      <c r="P656" s="21"/>
      <c r="Q656" s="21"/>
      <c r="R656" s="25" t="str">
        <f t="shared" si="10"/>
        <v/>
      </c>
    </row>
    <row r="657" spans="1:18" ht="33.6" customHeight="1">
      <c r="A657" s="28"/>
      <c r="B657" s="48"/>
      <c r="C657" s="48"/>
      <c r="D657" s="21"/>
      <c r="E657" s="21"/>
      <c r="F657" s="21"/>
      <c r="G657" s="21"/>
      <c r="H657" s="21"/>
      <c r="I657" s="21"/>
      <c r="J657" s="45"/>
      <c r="K657" s="45"/>
      <c r="L657" s="45"/>
      <c r="M657" s="45"/>
      <c r="N657" s="45"/>
      <c r="O657" s="21"/>
      <c r="P657" s="21"/>
      <c r="Q657" s="21"/>
      <c r="R657" s="25" t="str">
        <f t="shared" si="10"/>
        <v/>
      </c>
    </row>
    <row r="658" spans="1:18" ht="33.6" customHeight="1">
      <c r="A658" s="28"/>
      <c r="B658" s="48"/>
      <c r="C658" s="48"/>
      <c r="D658" s="21"/>
      <c r="E658" s="21"/>
      <c r="F658" s="21"/>
      <c r="G658" s="21"/>
      <c r="H658" s="21"/>
      <c r="I658" s="21"/>
      <c r="J658" s="45"/>
      <c r="K658" s="45"/>
      <c r="L658" s="45"/>
      <c r="M658" s="45"/>
      <c r="N658" s="45"/>
      <c r="O658" s="21"/>
      <c r="P658" s="21"/>
      <c r="Q658" s="21"/>
      <c r="R658" s="25" t="str">
        <f t="shared" si="10"/>
        <v/>
      </c>
    </row>
    <row r="659" spans="1:18" ht="33.6" customHeight="1">
      <c r="A659" s="28"/>
      <c r="B659" s="48"/>
      <c r="C659" s="48"/>
      <c r="D659" s="21"/>
      <c r="E659" s="21"/>
      <c r="F659" s="21"/>
      <c r="G659" s="21"/>
      <c r="H659" s="21"/>
      <c r="I659" s="21"/>
      <c r="J659" s="45"/>
      <c r="K659" s="45"/>
      <c r="L659" s="45"/>
      <c r="M659" s="45"/>
      <c r="N659" s="45"/>
      <c r="O659" s="21"/>
      <c r="P659" s="21"/>
      <c r="Q659" s="21"/>
      <c r="R659" s="25" t="str">
        <f t="shared" si="10"/>
        <v/>
      </c>
    </row>
    <row r="660" spans="1:18" ht="33.6" customHeight="1">
      <c r="A660" s="28"/>
      <c r="B660" s="48"/>
      <c r="C660" s="48"/>
      <c r="D660" s="21"/>
      <c r="E660" s="21"/>
      <c r="F660" s="21"/>
      <c r="G660" s="21"/>
      <c r="H660" s="21"/>
      <c r="I660" s="21"/>
      <c r="J660" s="45"/>
      <c r="K660" s="45"/>
      <c r="L660" s="45"/>
      <c r="M660" s="45"/>
      <c r="N660" s="45"/>
      <c r="O660" s="21"/>
      <c r="P660" s="21"/>
      <c r="Q660" s="21"/>
      <c r="R660" s="25" t="str">
        <f t="shared" si="10"/>
        <v/>
      </c>
    </row>
    <row r="661" spans="1:18" ht="33.6" customHeight="1">
      <c r="A661" s="28"/>
      <c r="B661" s="48"/>
      <c r="C661" s="48"/>
      <c r="D661" s="21"/>
      <c r="E661" s="21"/>
      <c r="F661" s="21"/>
      <c r="G661" s="21"/>
      <c r="H661" s="21"/>
      <c r="I661" s="21"/>
      <c r="J661" s="45"/>
      <c r="K661" s="45"/>
      <c r="L661" s="45"/>
      <c r="M661" s="45"/>
      <c r="N661" s="45"/>
      <c r="O661" s="21"/>
      <c r="P661" s="21"/>
      <c r="Q661" s="21"/>
      <c r="R661" s="25" t="str">
        <f t="shared" si="10"/>
        <v/>
      </c>
    </row>
    <row r="662" spans="1:18" ht="33.6" customHeight="1">
      <c r="A662" s="28"/>
      <c r="B662" s="48"/>
      <c r="C662" s="48"/>
      <c r="D662" s="21"/>
      <c r="E662" s="21"/>
      <c r="F662" s="21"/>
      <c r="G662" s="21"/>
      <c r="H662" s="21"/>
      <c r="I662" s="21"/>
      <c r="J662" s="45"/>
      <c r="K662" s="45"/>
      <c r="L662" s="45"/>
      <c r="M662" s="45"/>
      <c r="N662" s="45"/>
      <c r="O662" s="21"/>
      <c r="P662" s="21"/>
      <c r="Q662" s="21"/>
      <c r="R662" s="25" t="str">
        <f t="shared" si="10"/>
        <v/>
      </c>
    </row>
    <row r="663" spans="1:18" ht="33.6" customHeight="1">
      <c r="A663" s="28"/>
      <c r="B663" s="48"/>
      <c r="C663" s="48"/>
      <c r="D663" s="21"/>
      <c r="E663" s="21"/>
      <c r="F663" s="21"/>
      <c r="G663" s="21"/>
      <c r="H663" s="21"/>
      <c r="I663" s="21"/>
      <c r="J663" s="45"/>
      <c r="K663" s="45"/>
      <c r="L663" s="45"/>
      <c r="M663" s="45"/>
      <c r="N663" s="45"/>
      <c r="O663" s="21"/>
      <c r="P663" s="21"/>
      <c r="Q663" s="21"/>
      <c r="R663" s="25" t="str">
        <f t="shared" si="10"/>
        <v/>
      </c>
    </row>
    <row r="664" spans="1:18" ht="33.6" customHeight="1">
      <c r="A664" s="28"/>
      <c r="B664" s="48"/>
      <c r="C664" s="48"/>
      <c r="D664" s="21"/>
      <c r="E664" s="21"/>
      <c r="F664" s="21"/>
      <c r="G664" s="21"/>
      <c r="H664" s="21"/>
      <c r="I664" s="21"/>
      <c r="J664" s="45"/>
      <c r="K664" s="45"/>
      <c r="L664" s="45"/>
      <c r="M664" s="45"/>
      <c r="N664" s="45"/>
      <c r="O664" s="21"/>
      <c r="P664" s="21"/>
      <c r="Q664" s="21"/>
      <c r="R664" s="25" t="str">
        <f t="shared" si="10"/>
        <v/>
      </c>
    </row>
    <row r="665" spans="1:18" ht="33.6" customHeight="1">
      <c r="A665" s="28"/>
      <c r="B665" s="48"/>
      <c r="C665" s="48"/>
      <c r="D665" s="21"/>
      <c r="E665" s="21"/>
      <c r="F665" s="21"/>
      <c r="G665" s="21"/>
      <c r="H665" s="21"/>
      <c r="I665" s="21"/>
      <c r="J665" s="45"/>
      <c r="K665" s="45"/>
      <c r="L665" s="45"/>
      <c r="M665" s="45"/>
      <c r="N665" s="45"/>
      <c r="O665" s="21"/>
      <c r="P665" s="21"/>
      <c r="Q665" s="21"/>
      <c r="R665" s="25" t="str">
        <f t="shared" si="10"/>
        <v/>
      </c>
    </row>
    <row r="666" spans="1:18" ht="33.6" customHeight="1">
      <c r="A666" s="28"/>
      <c r="B666" s="48"/>
      <c r="C666" s="48"/>
      <c r="D666" s="21"/>
      <c r="E666" s="21"/>
      <c r="F666" s="21"/>
      <c r="G666" s="21"/>
      <c r="H666" s="21"/>
      <c r="I666" s="21"/>
      <c r="J666" s="45"/>
      <c r="K666" s="45"/>
      <c r="L666" s="45"/>
      <c r="M666" s="45"/>
      <c r="N666" s="45"/>
      <c r="O666" s="21"/>
      <c r="P666" s="21"/>
      <c r="Q666" s="21"/>
      <c r="R666" s="25" t="str">
        <f t="shared" si="10"/>
        <v/>
      </c>
    </row>
    <row r="667" spans="1:18" ht="33.6" customHeight="1">
      <c r="A667" s="28"/>
      <c r="B667" s="48"/>
      <c r="C667" s="48"/>
      <c r="D667" s="21"/>
      <c r="E667" s="21"/>
      <c r="F667" s="21"/>
      <c r="G667" s="21"/>
      <c r="H667" s="21"/>
      <c r="I667" s="21"/>
      <c r="J667" s="45"/>
      <c r="K667" s="45"/>
      <c r="L667" s="45"/>
      <c r="M667" s="45"/>
      <c r="N667" s="45"/>
      <c r="O667" s="21"/>
      <c r="P667" s="21"/>
      <c r="Q667" s="21"/>
      <c r="R667" s="25" t="str">
        <f t="shared" si="10"/>
        <v/>
      </c>
    </row>
    <row r="668" spans="1:18" ht="33.6" customHeight="1">
      <c r="A668" s="28"/>
      <c r="B668" s="48"/>
      <c r="C668" s="48"/>
      <c r="D668" s="21"/>
      <c r="E668" s="21"/>
      <c r="F668" s="21"/>
      <c r="G668" s="21"/>
      <c r="H668" s="21"/>
      <c r="I668" s="21"/>
      <c r="J668" s="45"/>
      <c r="K668" s="45"/>
      <c r="L668" s="45"/>
      <c r="M668" s="45"/>
      <c r="N668" s="45"/>
      <c r="O668" s="21"/>
      <c r="P668" s="21"/>
      <c r="Q668" s="21"/>
      <c r="R668" s="25" t="str">
        <f t="shared" si="10"/>
        <v/>
      </c>
    </row>
    <row r="669" spans="1:18" ht="33.6" customHeight="1">
      <c r="A669" s="28"/>
      <c r="B669" s="48"/>
      <c r="C669" s="48"/>
      <c r="D669" s="21"/>
      <c r="E669" s="21"/>
      <c r="F669" s="21"/>
      <c r="G669" s="21"/>
      <c r="H669" s="21"/>
      <c r="I669" s="21"/>
      <c r="J669" s="45"/>
      <c r="K669" s="45"/>
      <c r="L669" s="45"/>
      <c r="M669" s="45"/>
      <c r="N669" s="45"/>
      <c r="O669" s="21"/>
      <c r="P669" s="21"/>
      <c r="Q669" s="21"/>
      <c r="R669" s="25" t="str">
        <f t="shared" si="10"/>
        <v/>
      </c>
    </row>
    <row r="670" spans="1:18" ht="33.6" customHeight="1">
      <c r="A670" s="28"/>
      <c r="B670" s="48"/>
      <c r="C670" s="48"/>
      <c r="D670" s="21"/>
      <c r="E670" s="21"/>
      <c r="F670" s="21"/>
      <c r="G670" s="21"/>
      <c r="H670" s="21"/>
      <c r="I670" s="21"/>
      <c r="J670" s="45"/>
      <c r="K670" s="45"/>
      <c r="L670" s="45"/>
      <c r="M670" s="45"/>
      <c r="N670" s="45"/>
      <c r="O670" s="21"/>
      <c r="P670" s="21"/>
      <c r="Q670" s="21"/>
      <c r="R670" s="25" t="str">
        <f t="shared" si="10"/>
        <v/>
      </c>
    </row>
    <row r="671" spans="1:18" ht="33.6" customHeight="1">
      <c r="A671" s="28"/>
      <c r="B671" s="48"/>
      <c r="C671" s="48"/>
      <c r="D671" s="21"/>
      <c r="E671" s="21"/>
      <c r="F671" s="21"/>
      <c r="G671" s="21"/>
      <c r="H671" s="21"/>
      <c r="I671" s="21"/>
      <c r="J671" s="45"/>
      <c r="K671" s="45"/>
      <c r="L671" s="45"/>
      <c r="M671" s="45"/>
      <c r="N671" s="45"/>
      <c r="O671" s="21"/>
      <c r="P671" s="21"/>
      <c r="Q671" s="21"/>
      <c r="R671" s="25" t="str">
        <f t="shared" si="10"/>
        <v/>
      </c>
    </row>
    <row r="672" spans="1:18" ht="33.6" customHeight="1">
      <c r="A672" s="28"/>
      <c r="B672" s="48"/>
      <c r="C672" s="48"/>
      <c r="D672" s="21"/>
      <c r="E672" s="21"/>
      <c r="F672" s="21"/>
      <c r="G672" s="21"/>
      <c r="H672" s="21"/>
      <c r="I672" s="21"/>
      <c r="J672" s="45"/>
      <c r="K672" s="45"/>
      <c r="L672" s="45"/>
      <c r="M672" s="45"/>
      <c r="N672" s="45"/>
      <c r="O672" s="21"/>
      <c r="P672" s="21"/>
      <c r="Q672" s="21"/>
      <c r="R672" s="25" t="str">
        <f t="shared" si="10"/>
        <v/>
      </c>
    </row>
    <row r="673" spans="1:18" ht="33.6" customHeight="1">
      <c r="A673" s="28"/>
      <c r="B673" s="48"/>
      <c r="C673" s="48"/>
      <c r="D673" s="21"/>
      <c r="E673" s="21"/>
      <c r="F673" s="21"/>
      <c r="G673" s="21"/>
      <c r="H673" s="21"/>
      <c r="I673" s="21"/>
      <c r="J673" s="45"/>
      <c r="K673" s="45"/>
      <c r="L673" s="45"/>
      <c r="M673" s="45"/>
      <c r="N673" s="45"/>
      <c r="O673" s="21"/>
      <c r="P673" s="21"/>
      <c r="Q673" s="21"/>
      <c r="R673" s="25" t="str">
        <f t="shared" si="10"/>
        <v/>
      </c>
    </row>
    <row r="674" spans="1:18" ht="33.6" customHeight="1">
      <c r="A674" s="28"/>
      <c r="B674" s="48"/>
      <c r="C674" s="48"/>
      <c r="D674" s="21"/>
      <c r="E674" s="21"/>
      <c r="F674" s="21"/>
      <c r="G674" s="21"/>
      <c r="H674" s="21"/>
      <c r="I674" s="21"/>
      <c r="J674" s="45"/>
      <c r="K674" s="45"/>
      <c r="L674" s="45"/>
      <c r="M674" s="45"/>
      <c r="N674" s="45"/>
      <c r="O674" s="21"/>
      <c r="P674" s="21"/>
      <c r="Q674" s="21"/>
      <c r="R674" s="25" t="str">
        <f t="shared" si="10"/>
        <v/>
      </c>
    </row>
    <row r="675" spans="1:18" ht="33.6" customHeight="1">
      <c r="A675" s="28"/>
      <c r="B675" s="48"/>
      <c r="C675" s="48"/>
      <c r="D675" s="21"/>
      <c r="E675" s="21"/>
      <c r="F675" s="21"/>
      <c r="G675" s="21"/>
      <c r="H675" s="21"/>
      <c r="I675" s="21"/>
      <c r="J675" s="45"/>
      <c r="K675" s="45"/>
      <c r="L675" s="45"/>
      <c r="M675" s="45"/>
      <c r="N675" s="45"/>
      <c r="O675" s="21"/>
      <c r="P675" s="21"/>
      <c r="Q675" s="21"/>
      <c r="R675" s="25" t="str">
        <f t="shared" si="10"/>
        <v/>
      </c>
    </row>
    <row r="676" spans="1:18" ht="33.6" customHeight="1">
      <c r="A676" s="28"/>
      <c r="B676" s="48"/>
      <c r="C676" s="48"/>
      <c r="D676" s="21"/>
      <c r="E676" s="21"/>
      <c r="F676" s="21"/>
      <c r="G676" s="21"/>
      <c r="H676" s="21"/>
      <c r="I676" s="21"/>
      <c r="J676" s="45"/>
      <c r="K676" s="45"/>
      <c r="L676" s="45"/>
      <c r="M676" s="45"/>
      <c r="N676" s="45"/>
      <c r="O676" s="21"/>
      <c r="P676" s="21"/>
      <c r="Q676" s="21"/>
      <c r="R676" s="25" t="str">
        <f t="shared" si="10"/>
        <v/>
      </c>
    </row>
    <row r="677" spans="1:18" ht="33.6" customHeight="1">
      <c r="A677" s="28"/>
      <c r="B677" s="48"/>
      <c r="C677" s="48"/>
      <c r="D677" s="21"/>
      <c r="E677" s="21"/>
      <c r="F677" s="21"/>
      <c r="G677" s="21"/>
      <c r="H677" s="21"/>
      <c r="I677" s="21"/>
      <c r="J677" s="45"/>
      <c r="K677" s="45"/>
      <c r="L677" s="45"/>
      <c r="M677" s="45"/>
      <c r="N677" s="45"/>
      <c r="O677" s="21"/>
      <c r="P677" s="21"/>
      <c r="Q677" s="21"/>
      <c r="R677" s="25" t="str">
        <f t="shared" si="10"/>
        <v/>
      </c>
    </row>
    <row r="678" spans="1:18" ht="33.6" customHeight="1">
      <c r="A678" s="28"/>
      <c r="B678" s="48"/>
      <c r="C678" s="48"/>
      <c r="D678" s="21"/>
      <c r="E678" s="21"/>
      <c r="F678" s="21"/>
      <c r="G678" s="21"/>
      <c r="H678" s="21"/>
      <c r="I678" s="21"/>
      <c r="J678" s="45"/>
      <c r="K678" s="45"/>
      <c r="L678" s="45"/>
      <c r="M678" s="45"/>
      <c r="N678" s="45"/>
      <c r="O678" s="21"/>
      <c r="P678" s="21"/>
      <c r="Q678" s="21"/>
      <c r="R678" s="25" t="str">
        <f t="shared" si="10"/>
        <v/>
      </c>
    </row>
    <row r="679" spans="1:18" ht="33.6" customHeight="1">
      <c r="A679" s="28"/>
      <c r="B679" s="48"/>
      <c r="C679" s="48"/>
      <c r="D679" s="21"/>
      <c r="E679" s="21"/>
      <c r="F679" s="21"/>
      <c r="G679" s="21"/>
      <c r="H679" s="21"/>
      <c r="I679" s="21"/>
      <c r="J679" s="45"/>
      <c r="K679" s="45"/>
      <c r="L679" s="45"/>
      <c r="M679" s="45"/>
      <c r="N679" s="45"/>
      <c r="O679" s="21"/>
      <c r="P679" s="21"/>
      <c r="Q679" s="21"/>
      <c r="R679" s="25" t="str">
        <f t="shared" si="10"/>
        <v/>
      </c>
    </row>
    <row r="680" spans="1:18" ht="33.6" customHeight="1">
      <c r="A680" s="28"/>
      <c r="B680" s="48"/>
      <c r="C680" s="48"/>
      <c r="D680" s="21"/>
      <c r="E680" s="21"/>
      <c r="F680" s="21"/>
      <c r="G680" s="21"/>
      <c r="H680" s="21"/>
      <c r="I680" s="21"/>
      <c r="J680" s="45"/>
      <c r="K680" s="45"/>
      <c r="L680" s="45"/>
      <c r="M680" s="45"/>
      <c r="N680" s="45"/>
      <c r="O680" s="21"/>
      <c r="P680" s="21"/>
      <c r="Q680" s="21"/>
      <c r="R680" s="25" t="str">
        <f t="shared" si="10"/>
        <v/>
      </c>
    </row>
    <row r="681" spans="1:18" ht="33.6" customHeight="1">
      <c r="A681" s="28"/>
      <c r="B681" s="48"/>
      <c r="C681" s="48"/>
      <c r="D681" s="21"/>
      <c r="E681" s="21"/>
      <c r="F681" s="21"/>
      <c r="G681" s="21"/>
      <c r="H681" s="21"/>
      <c r="I681" s="21"/>
      <c r="J681" s="45"/>
      <c r="K681" s="45"/>
      <c r="L681" s="45"/>
      <c r="M681" s="45"/>
      <c r="N681" s="45"/>
      <c r="O681" s="21"/>
      <c r="P681" s="21"/>
      <c r="Q681" s="21"/>
      <c r="R681" s="25" t="str">
        <f t="shared" si="10"/>
        <v/>
      </c>
    </row>
    <row r="682" spans="1:18" ht="33.6" customHeight="1">
      <c r="A682" s="28"/>
      <c r="B682" s="48"/>
      <c r="C682" s="48"/>
      <c r="D682" s="21"/>
      <c r="E682" s="21"/>
      <c r="F682" s="21"/>
      <c r="G682" s="21"/>
      <c r="H682" s="21"/>
      <c r="I682" s="21"/>
      <c r="J682" s="45"/>
      <c r="K682" s="45"/>
      <c r="L682" s="45"/>
      <c r="M682" s="45"/>
      <c r="N682" s="45"/>
      <c r="O682" s="21"/>
      <c r="P682" s="21"/>
      <c r="Q682" s="21"/>
      <c r="R682" s="25" t="str">
        <f t="shared" si="10"/>
        <v/>
      </c>
    </row>
    <row r="683" spans="1:18" ht="33.6" customHeight="1">
      <c r="A683" s="28"/>
      <c r="B683" s="48"/>
      <c r="C683" s="48"/>
      <c r="D683" s="21"/>
      <c r="E683" s="21"/>
      <c r="F683" s="21"/>
      <c r="G683" s="21"/>
      <c r="H683" s="21"/>
      <c r="I683" s="21"/>
      <c r="J683" s="45"/>
      <c r="K683" s="45"/>
      <c r="L683" s="45"/>
      <c r="M683" s="45"/>
      <c r="N683" s="45"/>
      <c r="O683" s="21"/>
      <c r="P683" s="21"/>
      <c r="Q683" s="21"/>
      <c r="R683" s="25" t="str">
        <f t="shared" si="10"/>
        <v/>
      </c>
    </row>
    <row r="684" spans="1:18" ht="33.6" customHeight="1">
      <c r="A684" s="28"/>
      <c r="B684" s="48"/>
      <c r="C684" s="48"/>
      <c r="D684" s="21"/>
      <c r="E684" s="21"/>
      <c r="F684" s="21"/>
      <c r="G684" s="21"/>
      <c r="H684" s="21"/>
      <c r="I684" s="21"/>
      <c r="J684" s="45"/>
      <c r="K684" s="45"/>
      <c r="L684" s="45"/>
      <c r="M684" s="45"/>
      <c r="N684" s="45"/>
      <c r="O684" s="21"/>
      <c r="P684" s="21"/>
      <c r="Q684" s="21"/>
      <c r="R684" s="25" t="str">
        <f t="shared" si="10"/>
        <v/>
      </c>
    </row>
    <row r="685" spans="1:18" ht="33.6" customHeight="1">
      <c r="A685" s="28"/>
      <c r="B685" s="48"/>
      <c r="C685" s="48"/>
      <c r="D685" s="21"/>
      <c r="E685" s="21"/>
      <c r="F685" s="21"/>
      <c r="G685" s="21"/>
      <c r="H685" s="21"/>
      <c r="I685" s="21"/>
      <c r="J685" s="45"/>
      <c r="K685" s="45"/>
      <c r="L685" s="45"/>
      <c r="M685" s="45"/>
      <c r="N685" s="45"/>
      <c r="O685" s="21"/>
      <c r="P685" s="21"/>
      <c r="Q685" s="21"/>
      <c r="R685" s="25" t="str">
        <f t="shared" si="10"/>
        <v/>
      </c>
    </row>
    <row r="686" spans="1:18" ht="33.6" customHeight="1">
      <c r="A686" s="28"/>
      <c r="B686" s="48"/>
      <c r="C686" s="48"/>
      <c r="D686" s="21"/>
      <c r="E686" s="21"/>
      <c r="F686" s="21"/>
      <c r="G686" s="21"/>
      <c r="H686" s="21"/>
      <c r="I686" s="21"/>
      <c r="J686" s="45"/>
      <c r="K686" s="45"/>
      <c r="L686" s="45"/>
      <c r="M686" s="45"/>
      <c r="N686" s="45"/>
      <c r="O686" s="21"/>
      <c r="P686" s="21"/>
      <c r="Q686" s="21"/>
      <c r="R686" s="25" t="str">
        <f t="shared" si="10"/>
        <v/>
      </c>
    </row>
    <row r="687" spans="1:18" ht="33.6" customHeight="1">
      <c r="A687" s="28"/>
      <c r="B687" s="48"/>
      <c r="C687" s="48"/>
      <c r="D687" s="21"/>
      <c r="E687" s="21"/>
      <c r="F687" s="21"/>
      <c r="G687" s="21"/>
      <c r="H687" s="21"/>
      <c r="I687" s="21"/>
      <c r="J687" s="45"/>
      <c r="K687" s="45"/>
      <c r="L687" s="45"/>
      <c r="M687" s="45"/>
      <c r="N687" s="45"/>
      <c r="O687" s="21"/>
      <c r="P687" s="21"/>
      <c r="Q687" s="21"/>
      <c r="R687" s="25" t="str">
        <f t="shared" si="10"/>
        <v/>
      </c>
    </row>
    <row r="688" spans="1:18" ht="33.6" customHeight="1">
      <c r="A688" s="28"/>
      <c r="B688" s="48"/>
      <c r="C688" s="48"/>
      <c r="D688" s="21"/>
      <c r="E688" s="21"/>
      <c r="F688" s="21"/>
      <c r="G688" s="21"/>
      <c r="H688" s="21"/>
      <c r="I688" s="21"/>
      <c r="J688" s="45"/>
      <c r="K688" s="45"/>
      <c r="L688" s="45"/>
      <c r="M688" s="45"/>
      <c r="N688" s="45"/>
      <c r="O688" s="21"/>
      <c r="P688" s="21"/>
      <c r="Q688" s="21"/>
      <c r="R688" s="25" t="str">
        <f t="shared" si="10"/>
        <v/>
      </c>
    </row>
    <row r="689" spans="1:18" ht="33.6" customHeight="1">
      <c r="A689" s="28"/>
      <c r="B689" s="48"/>
      <c r="C689" s="48"/>
      <c r="D689" s="21"/>
      <c r="E689" s="21"/>
      <c r="F689" s="21"/>
      <c r="G689" s="21"/>
      <c r="H689" s="21"/>
      <c r="I689" s="21"/>
      <c r="J689" s="45"/>
      <c r="K689" s="45"/>
      <c r="L689" s="45"/>
      <c r="M689" s="45"/>
      <c r="N689" s="45"/>
      <c r="O689" s="21"/>
      <c r="P689" s="21"/>
      <c r="Q689" s="21"/>
      <c r="R689" s="25" t="str">
        <f t="shared" si="10"/>
        <v/>
      </c>
    </row>
    <row r="690" spans="1:18" ht="33.6" customHeight="1">
      <c r="A690" s="28"/>
      <c r="B690" s="48"/>
      <c r="C690" s="48"/>
      <c r="D690" s="21"/>
      <c r="E690" s="21"/>
      <c r="F690" s="21"/>
      <c r="G690" s="21"/>
      <c r="H690" s="21"/>
      <c r="I690" s="21"/>
      <c r="J690" s="45"/>
      <c r="K690" s="45"/>
      <c r="L690" s="45"/>
      <c r="M690" s="45"/>
      <c r="N690" s="45"/>
      <c r="O690" s="21"/>
      <c r="P690" s="21"/>
      <c r="Q690" s="21"/>
      <c r="R690" s="25" t="str">
        <f t="shared" si="10"/>
        <v/>
      </c>
    </row>
    <row r="691" spans="1:18" ht="33.6" customHeight="1">
      <c r="A691" s="28"/>
      <c r="B691" s="48"/>
      <c r="C691" s="48"/>
      <c r="D691" s="21"/>
      <c r="E691" s="21"/>
      <c r="F691" s="21"/>
      <c r="G691" s="21"/>
      <c r="H691" s="21"/>
      <c r="I691" s="21"/>
      <c r="J691" s="45"/>
      <c r="K691" s="45"/>
      <c r="L691" s="45"/>
      <c r="M691" s="45"/>
      <c r="N691" s="45"/>
      <c r="O691" s="21"/>
      <c r="P691" s="21"/>
      <c r="Q691" s="21"/>
      <c r="R691" s="25" t="str">
        <f t="shared" ref="R691:R754" si="11">IF(COUNTIF($A$17:$A$2010,$A691)&gt;1,"Possible Duplicate","")</f>
        <v/>
      </c>
    </row>
    <row r="692" spans="1:18" ht="33.6" customHeight="1">
      <c r="A692" s="28"/>
      <c r="B692" s="48"/>
      <c r="C692" s="48"/>
      <c r="D692" s="21"/>
      <c r="E692" s="21"/>
      <c r="F692" s="21"/>
      <c r="G692" s="21"/>
      <c r="H692" s="21"/>
      <c r="I692" s="21"/>
      <c r="J692" s="45"/>
      <c r="K692" s="45"/>
      <c r="L692" s="45"/>
      <c r="M692" s="45"/>
      <c r="N692" s="45"/>
      <c r="O692" s="21"/>
      <c r="P692" s="21"/>
      <c r="Q692" s="21"/>
      <c r="R692" s="25" t="str">
        <f t="shared" si="11"/>
        <v/>
      </c>
    </row>
    <row r="693" spans="1:18" ht="33.6" customHeight="1">
      <c r="A693" s="28"/>
      <c r="B693" s="48"/>
      <c r="C693" s="48"/>
      <c r="D693" s="21"/>
      <c r="E693" s="21"/>
      <c r="F693" s="21"/>
      <c r="G693" s="21"/>
      <c r="H693" s="21"/>
      <c r="I693" s="21"/>
      <c r="J693" s="45"/>
      <c r="K693" s="45"/>
      <c r="L693" s="45"/>
      <c r="M693" s="45"/>
      <c r="N693" s="45"/>
      <c r="O693" s="21"/>
      <c r="P693" s="21"/>
      <c r="Q693" s="21"/>
      <c r="R693" s="25" t="str">
        <f t="shared" si="11"/>
        <v/>
      </c>
    </row>
    <row r="694" spans="1:18" ht="33.6" customHeight="1">
      <c r="A694" s="28"/>
      <c r="B694" s="48"/>
      <c r="C694" s="48"/>
      <c r="D694" s="21"/>
      <c r="E694" s="21"/>
      <c r="F694" s="21"/>
      <c r="G694" s="21"/>
      <c r="H694" s="21"/>
      <c r="I694" s="21"/>
      <c r="J694" s="45"/>
      <c r="K694" s="45"/>
      <c r="L694" s="45"/>
      <c r="M694" s="45"/>
      <c r="N694" s="45"/>
      <c r="O694" s="21"/>
      <c r="P694" s="21"/>
      <c r="Q694" s="21"/>
      <c r="R694" s="25" t="str">
        <f t="shared" si="11"/>
        <v/>
      </c>
    </row>
    <row r="695" spans="1:18" ht="33.6" customHeight="1">
      <c r="A695" s="28"/>
      <c r="B695" s="48"/>
      <c r="C695" s="48"/>
      <c r="D695" s="21"/>
      <c r="E695" s="21"/>
      <c r="F695" s="21"/>
      <c r="G695" s="21"/>
      <c r="H695" s="21"/>
      <c r="I695" s="21"/>
      <c r="J695" s="45"/>
      <c r="K695" s="45"/>
      <c r="L695" s="45"/>
      <c r="M695" s="45"/>
      <c r="N695" s="45"/>
      <c r="O695" s="21"/>
      <c r="P695" s="21"/>
      <c r="Q695" s="21"/>
      <c r="R695" s="25" t="str">
        <f t="shared" si="11"/>
        <v/>
      </c>
    </row>
    <row r="696" spans="1:18" ht="33.6" customHeight="1">
      <c r="A696" s="28"/>
      <c r="B696" s="48"/>
      <c r="C696" s="48"/>
      <c r="D696" s="21"/>
      <c r="E696" s="21"/>
      <c r="F696" s="21"/>
      <c r="G696" s="21"/>
      <c r="H696" s="21"/>
      <c r="I696" s="21"/>
      <c r="J696" s="45"/>
      <c r="K696" s="45"/>
      <c r="L696" s="45"/>
      <c r="M696" s="45"/>
      <c r="N696" s="45"/>
      <c r="O696" s="21"/>
      <c r="P696" s="21"/>
      <c r="Q696" s="21"/>
      <c r="R696" s="25" t="str">
        <f t="shared" si="11"/>
        <v/>
      </c>
    </row>
    <row r="697" spans="1:18" ht="33.6" customHeight="1">
      <c r="A697" s="28"/>
      <c r="B697" s="48"/>
      <c r="C697" s="48"/>
      <c r="D697" s="21"/>
      <c r="E697" s="21"/>
      <c r="F697" s="21"/>
      <c r="G697" s="21"/>
      <c r="H697" s="21"/>
      <c r="I697" s="21"/>
      <c r="J697" s="45"/>
      <c r="K697" s="45"/>
      <c r="L697" s="45"/>
      <c r="M697" s="45"/>
      <c r="N697" s="45"/>
      <c r="O697" s="21"/>
      <c r="P697" s="21"/>
      <c r="Q697" s="21"/>
      <c r="R697" s="25" t="str">
        <f t="shared" si="11"/>
        <v/>
      </c>
    </row>
    <row r="698" spans="1:18" ht="33.6" customHeight="1">
      <c r="A698" s="28"/>
      <c r="B698" s="48"/>
      <c r="C698" s="48"/>
      <c r="D698" s="21"/>
      <c r="E698" s="21"/>
      <c r="F698" s="21"/>
      <c r="G698" s="21"/>
      <c r="H698" s="21"/>
      <c r="I698" s="21"/>
      <c r="J698" s="45"/>
      <c r="K698" s="45"/>
      <c r="L698" s="45"/>
      <c r="M698" s="45"/>
      <c r="N698" s="45"/>
      <c r="O698" s="21"/>
      <c r="P698" s="21"/>
      <c r="Q698" s="21"/>
      <c r="R698" s="25" t="str">
        <f t="shared" si="11"/>
        <v/>
      </c>
    </row>
    <row r="699" spans="1:18" ht="33.6" customHeight="1">
      <c r="A699" s="28"/>
      <c r="B699" s="48"/>
      <c r="C699" s="48"/>
      <c r="D699" s="21"/>
      <c r="E699" s="21"/>
      <c r="F699" s="21"/>
      <c r="G699" s="21"/>
      <c r="H699" s="21"/>
      <c r="I699" s="21"/>
      <c r="J699" s="45"/>
      <c r="K699" s="45"/>
      <c r="L699" s="45"/>
      <c r="M699" s="45"/>
      <c r="N699" s="45"/>
      <c r="O699" s="21"/>
      <c r="P699" s="21"/>
      <c r="Q699" s="21"/>
      <c r="R699" s="25" t="str">
        <f t="shared" si="11"/>
        <v/>
      </c>
    </row>
    <row r="700" spans="1:18" ht="33.6" customHeight="1">
      <c r="A700" s="28"/>
      <c r="B700" s="48"/>
      <c r="C700" s="48"/>
      <c r="D700" s="21"/>
      <c r="E700" s="21"/>
      <c r="F700" s="21"/>
      <c r="G700" s="21"/>
      <c r="H700" s="21"/>
      <c r="I700" s="21"/>
      <c r="J700" s="45"/>
      <c r="K700" s="45"/>
      <c r="L700" s="45"/>
      <c r="M700" s="45"/>
      <c r="N700" s="45"/>
      <c r="O700" s="21"/>
      <c r="P700" s="21"/>
      <c r="Q700" s="21"/>
      <c r="R700" s="25" t="str">
        <f t="shared" si="11"/>
        <v/>
      </c>
    </row>
    <row r="701" spans="1:18" ht="33.6" customHeight="1">
      <c r="A701" s="28"/>
      <c r="B701" s="48"/>
      <c r="C701" s="48"/>
      <c r="D701" s="21"/>
      <c r="E701" s="21"/>
      <c r="F701" s="21"/>
      <c r="G701" s="21"/>
      <c r="H701" s="21"/>
      <c r="I701" s="21"/>
      <c r="J701" s="45"/>
      <c r="K701" s="45"/>
      <c r="L701" s="45"/>
      <c r="M701" s="45"/>
      <c r="N701" s="45"/>
      <c r="O701" s="21"/>
      <c r="P701" s="21"/>
      <c r="Q701" s="21"/>
      <c r="R701" s="25" t="str">
        <f t="shared" si="11"/>
        <v/>
      </c>
    </row>
    <row r="702" spans="1:18" ht="33.6" customHeight="1">
      <c r="A702" s="28"/>
      <c r="B702" s="48"/>
      <c r="C702" s="48"/>
      <c r="D702" s="21"/>
      <c r="E702" s="21"/>
      <c r="F702" s="21"/>
      <c r="G702" s="21"/>
      <c r="H702" s="21"/>
      <c r="I702" s="21"/>
      <c r="J702" s="45"/>
      <c r="K702" s="45"/>
      <c r="L702" s="45"/>
      <c r="M702" s="45"/>
      <c r="N702" s="45"/>
      <c r="O702" s="21"/>
      <c r="P702" s="21"/>
      <c r="Q702" s="21"/>
      <c r="R702" s="25" t="str">
        <f t="shared" si="11"/>
        <v/>
      </c>
    </row>
    <row r="703" spans="1:18" ht="33.6" customHeight="1">
      <c r="A703" s="28"/>
      <c r="B703" s="48"/>
      <c r="C703" s="48"/>
      <c r="D703" s="21"/>
      <c r="E703" s="21"/>
      <c r="F703" s="21"/>
      <c r="G703" s="21"/>
      <c r="H703" s="21"/>
      <c r="I703" s="21"/>
      <c r="J703" s="45"/>
      <c r="K703" s="45"/>
      <c r="L703" s="45"/>
      <c r="M703" s="45"/>
      <c r="N703" s="45"/>
      <c r="O703" s="21"/>
      <c r="P703" s="21"/>
      <c r="Q703" s="21"/>
      <c r="R703" s="25" t="str">
        <f t="shared" si="11"/>
        <v/>
      </c>
    </row>
    <row r="704" spans="1:18" ht="33.6" customHeight="1">
      <c r="A704" s="28"/>
      <c r="B704" s="48"/>
      <c r="C704" s="48"/>
      <c r="D704" s="21"/>
      <c r="E704" s="21"/>
      <c r="F704" s="21"/>
      <c r="G704" s="21"/>
      <c r="H704" s="21"/>
      <c r="I704" s="21"/>
      <c r="J704" s="45"/>
      <c r="K704" s="45"/>
      <c r="L704" s="45"/>
      <c r="M704" s="45"/>
      <c r="N704" s="45"/>
      <c r="O704" s="21"/>
      <c r="P704" s="21"/>
      <c r="Q704" s="21"/>
      <c r="R704" s="25" t="str">
        <f t="shared" si="11"/>
        <v/>
      </c>
    </row>
    <row r="705" spans="1:18" ht="33.6" customHeight="1">
      <c r="A705" s="28"/>
      <c r="B705" s="48"/>
      <c r="C705" s="48"/>
      <c r="D705" s="21"/>
      <c r="E705" s="21"/>
      <c r="F705" s="21"/>
      <c r="G705" s="21"/>
      <c r="H705" s="21"/>
      <c r="I705" s="21"/>
      <c r="J705" s="45"/>
      <c r="K705" s="45"/>
      <c r="L705" s="45"/>
      <c r="M705" s="45"/>
      <c r="N705" s="45"/>
      <c r="O705" s="21"/>
      <c r="P705" s="21"/>
      <c r="Q705" s="21"/>
      <c r="R705" s="25" t="str">
        <f t="shared" si="11"/>
        <v/>
      </c>
    </row>
    <row r="706" spans="1:18" ht="33.6" customHeight="1">
      <c r="A706" s="28"/>
      <c r="B706" s="48"/>
      <c r="C706" s="48"/>
      <c r="D706" s="21"/>
      <c r="E706" s="21"/>
      <c r="F706" s="21"/>
      <c r="G706" s="21"/>
      <c r="H706" s="21"/>
      <c r="I706" s="21"/>
      <c r="J706" s="45"/>
      <c r="K706" s="45"/>
      <c r="L706" s="45"/>
      <c r="M706" s="45"/>
      <c r="N706" s="45"/>
      <c r="O706" s="21"/>
      <c r="P706" s="21"/>
      <c r="Q706" s="21"/>
      <c r="R706" s="25" t="str">
        <f t="shared" si="11"/>
        <v/>
      </c>
    </row>
    <row r="707" spans="1:18" ht="33.6" customHeight="1">
      <c r="A707" s="28"/>
      <c r="B707" s="48"/>
      <c r="C707" s="48"/>
      <c r="D707" s="21"/>
      <c r="E707" s="21"/>
      <c r="F707" s="21"/>
      <c r="G707" s="21"/>
      <c r="H707" s="21"/>
      <c r="I707" s="21"/>
      <c r="J707" s="45"/>
      <c r="K707" s="45"/>
      <c r="L707" s="45"/>
      <c r="M707" s="45"/>
      <c r="N707" s="45"/>
      <c r="O707" s="21"/>
      <c r="P707" s="21"/>
      <c r="Q707" s="21"/>
      <c r="R707" s="25" t="str">
        <f t="shared" si="11"/>
        <v/>
      </c>
    </row>
    <row r="708" spans="1:18" ht="33.6" customHeight="1">
      <c r="A708" s="28"/>
      <c r="B708" s="48"/>
      <c r="C708" s="48"/>
      <c r="D708" s="21"/>
      <c r="E708" s="21"/>
      <c r="F708" s="21"/>
      <c r="G708" s="21"/>
      <c r="H708" s="21"/>
      <c r="I708" s="21"/>
      <c r="J708" s="45"/>
      <c r="K708" s="45"/>
      <c r="L708" s="45"/>
      <c r="M708" s="45"/>
      <c r="N708" s="45"/>
      <c r="O708" s="21"/>
      <c r="P708" s="21"/>
      <c r="Q708" s="21"/>
      <c r="R708" s="25" t="str">
        <f t="shared" si="11"/>
        <v/>
      </c>
    </row>
    <row r="709" spans="1:18" ht="33.6" customHeight="1">
      <c r="A709" s="28"/>
      <c r="B709" s="48"/>
      <c r="C709" s="48"/>
      <c r="D709" s="21"/>
      <c r="E709" s="21"/>
      <c r="F709" s="21"/>
      <c r="G709" s="21"/>
      <c r="H709" s="21"/>
      <c r="I709" s="21"/>
      <c r="J709" s="45"/>
      <c r="K709" s="45"/>
      <c r="L709" s="45"/>
      <c r="M709" s="45"/>
      <c r="N709" s="45"/>
      <c r="O709" s="21"/>
      <c r="P709" s="21"/>
      <c r="Q709" s="21"/>
      <c r="R709" s="25" t="str">
        <f t="shared" si="11"/>
        <v/>
      </c>
    </row>
    <row r="710" spans="1:18" ht="33.6" customHeight="1">
      <c r="A710" s="28"/>
      <c r="B710" s="48"/>
      <c r="C710" s="48"/>
      <c r="D710" s="21"/>
      <c r="E710" s="21"/>
      <c r="F710" s="21"/>
      <c r="G710" s="21"/>
      <c r="H710" s="21"/>
      <c r="I710" s="21"/>
      <c r="J710" s="45"/>
      <c r="K710" s="45"/>
      <c r="L710" s="45"/>
      <c r="M710" s="45"/>
      <c r="N710" s="45"/>
      <c r="O710" s="21"/>
      <c r="P710" s="21"/>
      <c r="Q710" s="21"/>
      <c r="R710" s="25" t="str">
        <f t="shared" si="11"/>
        <v/>
      </c>
    </row>
    <row r="711" spans="1:18" ht="33.6" customHeight="1">
      <c r="A711" s="28"/>
      <c r="B711" s="48"/>
      <c r="C711" s="48"/>
      <c r="D711" s="21"/>
      <c r="E711" s="21"/>
      <c r="F711" s="21"/>
      <c r="G711" s="21"/>
      <c r="H711" s="21"/>
      <c r="I711" s="21"/>
      <c r="J711" s="45"/>
      <c r="K711" s="45"/>
      <c r="L711" s="45"/>
      <c r="M711" s="45"/>
      <c r="N711" s="45"/>
      <c r="O711" s="21"/>
      <c r="P711" s="21"/>
      <c r="Q711" s="21"/>
      <c r="R711" s="25" t="str">
        <f t="shared" si="11"/>
        <v/>
      </c>
    </row>
    <row r="712" spans="1:18" ht="33.6" customHeight="1">
      <c r="A712" s="28"/>
      <c r="B712" s="48"/>
      <c r="C712" s="48"/>
      <c r="D712" s="21"/>
      <c r="E712" s="21"/>
      <c r="F712" s="21"/>
      <c r="G712" s="21"/>
      <c r="H712" s="21"/>
      <c r="I712" s="21"/>
      <c r="J712" s="45"/>
      <c r="K712" s="45"/>
      <c r="L712" s="45"/>
      <c r="M712" s="45"/>
      <c r="N712" s="45"/>
      <c r="O712" s="21"/>
      <c r="P712" s="21"/>
      <c r="Q712" s="21"/>
      <c r="R712" s="25" t="str">
        <f t="shared" si="11"/>
        <v/>
      </c>
    </row>
    <row r="713" spans="1:18" ht="33.6" customHeight="1">
      <c r="A713" s="28"/>
      <c r="B713" s="48"/>
      <c r="C713" s="48"/>
      <c r="D713" s="21"/>
      <c r="E713" s="21"/>
      <c r="F713" s="21"/>
      <c r="G713" s="21"/>
      <c r="H713" s="21"/>
      <c r="I713" s="21"/>
      <c r="J713" s="45"/>
      <c r="K713" s="45"/>
      <c r="L713" s="45"/>
      <c r="M713" s="45"/>
      <c r="N713" s="45"/>
      <c r="O713" s="21"/>
      <c r="P713" s="21"/>
      <c r="Q713" s="21"/>
      <c r="R713" s="25" t="str">
        <f t="shared" si="11"/>
        <v/>
      </c>
    </row>
    <row r="714" spans="1:18" ht="33.6" customHeight="1">
      <c r="A714" s="28"/>
      <c r="B714" s="48"/>
      <c r="C714" s="48"/>
      <c r="D714" s="21"/>
      <c r="E714" s="21"/>
      <c r="F714" s="21"/>
      <c r="G714" s="21"/>
      <c r="H714" s="21"/>
      <c r="I714" s="21"/>
      <c r="J714" s="45"/>
      <c r="K714" s="45"/>
      <c r="L714" s="45"/>
      <c r="M714" s="45"/>
      <c r="N714" s="45"/>
      <c r="O714" s="21"/>
      <c r="P714" s="21"/>
      <c r="Q714" s="21"/>
      <c r="R714" s="25" t="str">
        <f t="shared" si="11"/>
        <v/>
      </c>
    </row>
    <row r="715" spans="1:18" ht="33.6" customHeight="1">
      <c r="A715" s="28"/>
      <c r="B715" s="48"/>
      <c r="C715" s="48"/>
      <c r="D715" s="21"/>
      <c r="E715" s="21"/>
      <c r="F715" s="21"/>
      <c r="G715" s="21"/>
      <c r="H715" s="21"/>
      <c r="I715" s="21"/>
      <c r="J715" s="45"/>
      <c r="K715" s="45"/>
      <c r="L715" s="45"/>
      <c r="M715" s="45"/>
      <c r="N715" s="45"/>
      <c r="O715" s="21"/>
      <c r="P715" s="21"/>
      <c r="Q715" s="21"/>
      <c r="R715" s="25" t="str">
        <f t="shared" si="11"/>
        <v/>
      </c>
    </row>
    <row r="716" spans="1:18" ht="33.6" customHeight="1">
      <c r="A716" s="28"/>
      <c r="B716" s="48"/>
      <c r="C716" s="48"/>
      <c r="D716" s="21"/>
      <c r="E716" s="21"/>
      <c r="F716" s="21"/>
      <c r="G716" s="21"/>
      <c r="H716" s="21"/>
      <c r="I716" s="21"/>
      <c r="J716" s="45"/>
      <c r="K716" s="45"/>
      <c r="L716" s="45"/>
      <c r="M716" s="45"/>
      <c r="N716" s="45"/>
      <c r="O716" s="21"/>
      <c r="P716" s="21"/>
      <c r="Q716" s="21"/>
      <c r="R716" s="25" t="str">
        <f t="shared" si="11"/>
        <v/>
      </c>
    </row>
    <row r="717" spans="1:18" ht="33.6" customHeight="1">
      <c r="A717" s="28"/>
      <c r="B717" s="48"/>
      <c r="C717" s="48"/>
      <c r="D717" s="21"/>
      <c r="E717" s="21"/>
      <c r="F717" s="21"/>
      <c r="G717" s="21"/>
      <c r="H717" s="21"/>
      <c r="I717" s="21"/>
      <c r="J717" s="45"/>
      <c r="K717" s="45"/>
      <c r="L717" s="45"/>
      <c r="M717" s="45"/>
      <c r="N717" s="45"/>
      <c r="O717" s="21"/>
      <c r="P717" s="21"/>
      <c r="Q717" s="21"/>
      <c r="R717" s="25" t="str">
        <f t="shared" si="11"/>
        <v/>
      </c>
    </row>
    <row r="718" spans="1:18" ht="33.6" customHeight="1">
      <c r="A718" s="28"/>
      <c r="B718" s="48"/>
      <c r="C718" s="48"/>
      <c r="D718" s="21"/>
      <c r="E718" s="21"/>
      <c r="F718" s="21"/>
      <c r="G718" s="21"/>
      <c r="H718" s="21"/>
      <c r="I718" s="21"/>
      <c r="J718" s="45"/>
      <c r="K718" s="45"/>
      <c r="L718" s="45"/>
      <c r="M718" s="45"/>
      <c r="N718" s="45"/>
      <c r="O718" s="21"/>
      <c r="P718" s="21"/>
      <c r="Q718" s="21"/>
      <c r="R718" s="25" t="str">
        <f t="shared" si="11"/>
        <v/>
      </c>
    </row>
    <row r="719" spans="1:18" ht="33.6" customHeight="1">
      <c r="A719" s="28"/>
      <c r="B719" s="48"/>
      <c r="C719" s="48"/>
      <c r="D719" s="21"/>
      <c r="E719" s="21"/>
      <c r="F719" s="21"/>
      <c r="G719" s="21"/>
      <c r="H719" s="21"/>
      <c r="I719" s="21"/>
      <c r="J719" s="45"/>
      <c r="K719" s="45"/>
      <c r="L719" s="45"/>
      <c r="M719" s="45"/>
      <c r="N719" s="45"/>
      <c r="O719" s="21"/>
      <c r="P719" s="21"/>
      <c r="Q719" s="21"/>
      <c r="R719" s="25" t="str">
        <f t="shared" si="11"/>
        <v/>
      </c>
    </row>
    <row r="720" spans="1:18" ht="33.6" customHeight="1">
      <c r="A720" s="28"/>
      <c r="B720" s="48"/>
      <c r="C720" s="48"/>
      <c r="D720" s="21"/>
      <c r="E720" s="21"/>
      <c r="F720" s="21"/>
      <c r="G720" s="21"/>
      <c r="H720" s="21"/>
      <c r="I720" s="21"/>
      <c r="J720" s="45"/>
      <c r="K720" s="45"/>
      <c r="L720" s="45"/>
      <c r="M720" s="45"/>
      <c r="N720" s="45"/>
      <c r="O720" s="21"/>
      <c r="P720" s="21"/>
      <c r="Q720" s="21"/>
      <c r="R720" s="25" t="str">
        <f t="shared" si="11"/>
        <v/>
      </c>
    </row>
    <row r="721" spans="1:18" ht="33.6" customHeight="1">
      <c r="A721" s="28"/>
      <c r="B721" s="48"/>
      <c r="C721" s="48"/>
      <c r="D721" s="21"/>
      <c r="E721" s="21"/>
      <c r="F721" s="21"/>
      <c r="G721" s="21"/>
      <c r="H721" s="21"/>
      <c r="I721" s="21"/>
      <c r="J721" s="45"/>
      <c r="K721" s="45"/>
      <c r="L721" s="45"/>
      <c r="M721" s="45"/>
      <c r="N721" s="45"/>
      <c r="O721" s="21"/>
      <c r="P721" s="21"/>
      <c r="Q721" s="21"/>
      <c r="R721" s="25" t="str">
        <f t="shared" si="11"/>
        <v/>
      </c>
    </row>
    <row r="722" spans="1:18" ht="33.6" customHeight="1">
      <c r="A722" s="28"/>
      <c r="B722" s="48"/>
      <c r="C722" s="48"/>
      <c r="D722" s="21"/>
      <c r="E722" s="21"/>
      <c r="F722" s="21"/>
      <c r="G722" s="21"/>
      <c r="H722" s="21"/>
      <c r="I722" s="21"/>
      <c r="J722" s="45"/>
      <c r="K722" s="45"/>
      <c r="L722" s="45"/>
      <c r="M722" s="45"/>
      <c r="N722" s="45"/>
      <c r="O722" s="21"/>
      <c r="P722" s="21"/>
      <c r="Q722" s="21"/>
      <c r="R722" s="25" t="str">
        <f t="shared" si="11"/>
        <v/>
      </c>
    </row>
    <row r="723" spans="1:18" ht="33.6" customHeight="1">
      <c r="A723" s="28"/>
      <c r="B723" s="48"/>
      <c r="C723" s="48"/>
      <c r="D723" s="21"/>
      <c r="E723" s="21"/>
      <c r="F723" s="21"/>
      <c r="G723" s="21"/>
      <c r="H723" s="21"/>
      <c r="I723" s="21"/>
      <c r="J723" s="45"/>
      <c r="K723" s="45"/>
      <c r="L723" s="45"/>
      <c r="M723" s="45"/>
      <c r="N723" s="45"/>
      <c r="O723" s="21"/>
      <c r="P723" s="21"/>
      <c r="Q723" s="21"/>
      <c r="R723" s="25" t="str">
        <f t="shared" si="11"/>
        <v/>
      </c>
    </row>
    <row r="724" spans="1:18" ht="33.6" customHeight="1">
      <c r="A724" s="28"/>
      <c r="B724" s="48"/>
      <c r="C724" s="48"/>
      <c r="D724" s="21"/>
      <c r="E724" s="21"/>
      <c r="F724" s="21"/>
      <c r="G724" s="21"/>
      <c r="H724" s="21"/>
      <c r="I724" s="21"/>
      <c r="J724" s="45"/>
      <c r="K724" s="45"/>
      <c r="L724" s="45"/>
      <c r="M724" s="45"/>
      <c r="N724" s="45"/>
      <c r="O724" s="21"/>
      <c r="P724" s="21"/>
      <c r="Q724" s="21"/>
      <c r="R724" s="25" t="str">
        <f t="shared" si="11"/>
        <v/>
      </c>
    </row>
    <row r="725" spans="1:18" ht="33.6" customHeight="1">
      <c r="A725" s="28"/>
      <c r="B725" s="48"/>
      <c r="C725" s="48"/>
      <c r="D725" s="21"/>
      <c r="E725" s="21"/>
      <c r="F725" s="21"/>
      <c r="G725" s="21"/>
      <c r="H725" s="21"/>
      <c r="I725" s="21"/>
      <c r="J725" s="45"/>
      <c r="K725" s="45"/>
      <c r="L725" s="45"/>
      <c r="M725" s="45"/>
      <c r="N725" s="45"/>
      <c r="O725" s="21"/>
      <c r="P725" s="21"/>
      <c r="Q725" s="21"/>
      <c r="R725" s="25" t="str">
        <f t="shared" si="11"/>
        <v/>
      </c>
    </row>
    <row r="726" spans="1:18" ht="33.6" customHeight="1">
      <c r="A726" s="28"/>
      <c r="B726" s="48"/>
      <c r="C726" s="48"/>
      <c r="D726" s="21"/>
      <c r="E726" s="21"/>
      <c r="F726" s="21"/>
      <c r="G726" s="21"/>
      <c r="H726" s="21"/>
      <c r="I726" s="21"/>
      <c r="J726" s="45"/>
      <c r="K726" s="45"/>
      <c r="L726" s="45"/>
      <c r="M726" s="45"/>
      <c r="N726" s="45"/>
      <c r="O726" s="21"/>
      <c r="P726" s="21"/>
      <c r="Q726" s="21"/>
      <c r="R726" s="25" t="str">
        <f t="shared" si="11"/>
        <v/>
      </c>
    </row>
    <row r="727" spans="1:18" ht="33.6" customHeight="1">
      <c r="A727" s="28"/>
      <c r="B727" s="48"/>
      <c r="C727" s="48"/>
      <c r="D727" s="21"/>
      <c r="E727" s="21"/>
      <c r="F727" s="21"/>
      <c r="G727" s="21"/>
      <c r="H727" s="21"/>
      <c r="I727" s="21"/>
      <c r="J727" s="45"/>
      <c r="K727" s="45"/>
      <c r="L727" s="45"/>
      <c r="M727" s="45"/>
      <c r="N727" s="45"/>
      <c r="O727" s="21"/>
      <c r="P727" s="21"/>
      <c r="Q727" s="21"/>
      <c r="R727" s="25" t="str">
        <f t="shared" si="11"/>
        <v/>
      </c>
    </row>
    <row r="728" spans="1:18" ht="33.6" customHeight="1">
      <c r="A728" s="28"/>
      <c r="B728" s="48"/>
      <c r="C728" s="48"/>
      <c r="D728" s="21"/>
      <c r="E728" s="21"/>
      <c r="F728" s="21"/>
      <c r="G728" s="21"/>
      <c r="H728" s="21"/>
      <c r="I728" s="21"/>
      <c r="J728" s="45"/>
      <c r="K728" s="45"/>
      <c r="L728" s="45"/>
      <c r="M728" s="45"/>
      <c r="N728" s="45"/>
      <c r="O728" s="21"/>
      <c r="P728" s="21"/>
      <c r="Q728" s="21"/>
      <c r="R728" s="25" t="str">
        <f t="shared" si="11"/>
        <v/>
      </c>
    </row>
    <row r="729" spans="1:18" ht="33.6" customHeight="1">
      <c r="A729" s="28"/>
      <c r="B729" s="48"/>
      <c r="C729" s="48"/>
      <c r="D729" s="21"/>
      <c r="E729" s="21"/>
      <c r="F729" s="21"/>
      <c r="G729" s="21"/>
      <c r="H729" s="21"/>
      <c r="I729" s="21"/>
      <c r="J729" s="45"/>
      <c r="K729" s="45"/>
      <c r="L729" s="45"/>
      <c r="M729" s="45"/>
      <c r="N729" s="45"/>
      <c r="O729" s="21"/>
      <c r="P729" s="21"/>
      <c r="Q729" s="21"/>
      <c r="R729" s="25" t="str">
        <f t="shared" si="11"/>
        <v/>
      </c>
    </row>
    <row r="730" spans="1:18" ht="33.6" customHeight="1">
      <c r="A730" s="28"/>
      <c r="B730" s="48"/>
      <c r="C730" s="48"/>
      <c r="D730" s="21"/>
      <c r="E730" s="21"/>
      <c r="F730" s="21"/>
      <c r="G730" s="21"/>
      <c r="H730" s="21"/>
      <c r="I730" s="21"/>
      <c r="J730" s="45"/>
      <c r="K730" s="45"/>
      <c r="L730" s="45"/>
      <c r="M730" s="45"/>
      <c r="N730" s="45"/>
      <c r="O730" s="21"/>
      <c r="P730" s="21"/>
      <c r="Q730" s="21"/>
      <c r="R730" s="25" t="str">
        <f t="shared" si="11"/>
        <v/>
      </c>
    </row>
    <row r="731" spans="1:18" ht="33.6" customHeight="1">
      <c r="A731" s="28"/>
      <c r="B731" s="48"/>
      <c r="C731" s="48"/>
      <c r="D731" s="21"/>
      <c r="E731" s="21"/>
      <c r="F731" s="21"/>
      <c r="G731" s="21"/>
      <c r="H731" s="21"/>
      <c r="I731" s="21"/>
      <c r="J731" s="45"/>
      <c r="K731" s="45"/>
      <c r="L731" s="45"/>
      <c r="M731" s="45"/>
      <c r="N731" s="45"/>
      <c r="O731" s="21"/>
      <c r="P731" s="21"/>
      <c r="Q731" s="21"/>
      <c r="R731" s="25" t="str">
        <f t="shared" si="11"/>
        <v/>
      </c>
    </row>
    <row r="732" spans="1:18" ht="33.6" customHeight="1">
      <c r="A732" s="28"/>
      <c r="B732" s="48"/>
      <c r="C732" s="48"/>
      <c r="D732" s="21"/>
      <c r="E732" s="21"/>
      <c r="F732" s="21"/>
      <c r="G732" s="21"/>
      <c r="H732" s="21"/>
      <c r="I732" s="21"/>
      <c r="J732" s="45"/>
      <c r="K732" s="45"/>
      <c r="L732" s="45"/>
      <c r="M732" s="45"/>
      <c r="N732" s="45"/>
      <c r="O732" s="21"/>
      <c r="P732" s="21"/>
      <c r="Q732" s="21"/>
      <c r="R732" s="25" t="str">
        <f t="shared" si="11"/>
        <v/>
      </c>
    </row>
    <row r="733" spans="1:18" ht="33.6" customHeight="1">
      <c r="A733" s="28"/>
      <c r="B733" s="48"/>
      <c r="C733" s="48"/>
      <c r="D733" s="21"/>
      <c r="E733" s="21"/>
      <c r="F733" s="21"/>
      <c r="G733" s="21"/>
      <c r="H733" s="21"/>
      <c r="I733" s="21"/>
      <c r="J733" s="45"/>
      <c r="K733" s="45"/>
      <c r="L733" s="45"/>
      <c r="M733" s="45"/>
      <c r="N733" s="45"/>
      <c r="O733" s="21"/>
      <c r="P733" s="21"/>
      <c r="Q733" s="21"/>
      <c r="R733" s="25" t="str">
        <f t="shared" si="11"/>
        <v/>
      </c>
    </row>
    <row r="734" spans="1:18" ht="33.6" customHeight="1">
      <c r="A734" s="28"/>
      <c r="B734" s="48"/>
      <c r="C734" s="48"/>
      <c r="D734" s="21"/>
      <c r="E734" s="21"/>
      <c r="F734" s="21"/>
      <c r="G734" s="21"/>
      <c r="H734" s="21"/>
      <c r="I734" s="21"/>
      <c r="J734" s="45"/>
      <c r="K734" s="45"/>
      <c r="L734" s="45"/>
      <c r="M734" s="45"/>
      <c r="N734" s="45"/>
      <c r="O734" s="21"/>
      <c r="P734" s="21"/>
      <c r="Q734" s="21"/>
      <c r="R734" s="25" t="str">
        <f t="shared" si="11"/>
        <v/>
      </c>
    </row>
    <row r="735" spans="1:18" ht="33.6" customHeight="1">
      <c r="A735" s="28"/>
      <c r="B735" s="48"/>
      <c r="C735" s="48"/>
      <c r="D735" s="21"/>
      <c r="E735" s="21"/>
      <c r="F735" s="21"/>
      <c r="G735" s="21"/>
      <c r="H735" s="21"/>
      <c r="I735" s="21"/>
      <c r="J735" s="45"/>
      <c r="K735" s="45"/>
      <c r="L735" s="45"/>
      <c r="M735" s="45"/>
      <c r="N735" s="45"/>
      <c r="O735" s="21"/>
      <c r="P735" s="21"/>
      <c r="Q735" s="21"/>
      <c r="R735" s="25" t="str">
        <f t="shared" si="11"/>
        <v/>
      </c>
    </row>
    <row r="736" spans="1:18" ht="33.6" customHeight="1">
      <c r="A736" s="28"/>
      <c r="B736" s="48"/>
      <c r="C736" s="48"/>
      <c r="D736" s="21"/>
      <c r="E736" s="21"/>
      <c r="F736" s="21"/>
      <c r="G736" s="21"/>
      <c r="H736" s="21"/>
      <c r="I736" s="21"/>
      <c r="J736" s="45"/>
      <c r="K736" s="45"/>
      <c r="L736" s="45"/>
      <c r="M736" s="45"/>
      <c r="N736" s="45"/>
      <c r="O736" s="21"/>
      <c r="P736" s="21"/>
      <c r="Q736" s="21"/>
      <c r="R736" s="25" t="str">
        <f t="shared" si="11"/>
        <v/>
      </c>
    </row>
    <row r="737" spans="1:18" ht="33.6" customHeight="1">
      <c r="A737" s="28"/>
      <c r="B737" s="48"/>
      <c r="C737" s="48"/>
      <c r="D737" s="21"/>
      <c r="E737" s="21"/>
      <c r="F737" s="21"/>
      <c r="G737" s="21"/>
      <c r="H737" s="21"/>
      <c r="I737" s="21"/>
      <c r="J737" s="45"/>
      <c r="K737" s="45"/>
      <c r="L737" s="45"/>
      <c r="M737" s="45"/>
      <c r="N737" s="45"/>
      <c r="O737" s="21"/>
      <c r="P737" s="21"/>
      <c r="Q737" s="21"/>
      <c r="R737" s="25" t="str">
        <f t="shared" si="11"/>
        <v/>
      </c>
    </row>
    <row r="738" spans="1:18" ht="33.6" customHeight="1">
      <c r="A738" s="28"/>
      <c r="B738" s="48"/>
      <c r="C738" s="48"/>
      <c r="D738" s="21"/>
      <c r="E738" s="21"/>
      <c r="F738" s="21"/>
      <c r="G738" s="21"/>
      <c r="H738" s="21"/>
      <c r="I738" s="21"/>
      <c r="J738" s="45"/>
      <c r="K738" s="45"/>
      <c r="L738" s="45"/>
      <c r="M738" s="45"/>
      <c r="N738" s="45"/>
      <c r="O738" s="21"/>
      <c r="P738" s="21"/>
      <c r="Q738" s="21"/>
      <c r="R738" s="25" t="str">
        <f t="shared" si="11"/>
        <v/>
      </c>
    </row>
    <row r="739" spans="1:18" ht="33.6" customHeight="1">
      <c r="A739" s="28"/>
      <c r="B739" s="48"/>
      <c r="C739" s="48"/>
      <c r="D739" s="21"/>
      <c r="E739" s="21"/>
      <c r="F739" s="21"/>
      <c r="G739" s="21"/>
      <c r="H739" s="21"/>
      <c r="I739" s="21"/>
      <c r="J739" s="45"/>
      <c r="K739" s="45"/>
      <c r="L739" s="45"/>
      <c r="M739" s="45"/>
      <c r="N739" s="45"/>
      <c r="O739" s="21"/>
      <c r="P739" s="21"/>
      <c r="Q739" s="21"/>
      <c r="R739" s="25" t="str">
        <f t="shared" si="11"/>
        <v/>
      </c>
    </row>
    <row r="740" spans="1:18" ht="33.6" customHeight="1">
      <c r="A740" s="28"/>
      <c r="B740" s="48"/>
      <c r="C740" s="48"/>
      <c r="D740" s="21"/>
      <c r="E740" s="21"/>
      <c r="F740" s="21"/>
      <c r="G740" s="21"/>
      <c r="H740" s="21"/>
      <c r="I740" s="21"/>
      <c r="J740" s="45"/>
      <c r="K740" s="45"/>
      <c r="L740" s="45"/>
      <c r="M740" s="45"/>
      <c r="N740" s="45"/>
      <c r="O740" s="21"/>
      <c r="P740" s="21"/>
      <c r="Q740" s="21"/>
      <c r="R740" s="25" t="str">
        <f t="shared" si="11"/>
        <v/>
      </c>
    </row>
    <row r="741" spans="1:18" ht="33.6" customHeight="1">
      <c r="A741" s="28"/>
      <c r="B741" s="48"/>
      <c r="C741" s="48"/>
      <c r="D741" s="21"/>
      <c r="E741" s="21"/>
      <c r="F741" s="21"/>
      <c r="G741" s="21"/>
      <c r="H741" s="21"/>
      <c r="I741" s="21"/>
      <c r="J741" s="45"/>
      <c r="K741" s="45"/>
      <c r="L741" s="45"/>
      <c r="M741" s="45"/>
      <c r="N741" s="45"/>
      <c r="O741" s="21"/>
      <c r="P741" s="21"/>
      <c r="Q741" s="21"/>
      <c r="R741" s="25" t="str">
        <f t="shared" si="11"/>
        <v/>
      </c>
    </row>
    <row r="742" spans="1:18" ht="33.6" customHeight="1">
      <c r="A742" s="28"/>
      <c r="B742" s="48"/>
      <c r="C742" s="48"/>
      <c r="D742" s="21"/>
      <c r="E742" s="21"/>
      <c r="F742" s="21"/>
      <c r="G742" s="21"/>
      <c r="H742" s="21"/>
      <c r="I742" s="21"/>
      <c r="J742" s="45"/>
      <c r="K742" s="45"/>
      <c r="L742" s="45"/>
      <c r="M742" s="45"/>
      <c r="N742" s="45"/>
      <c r="O742" s="21"/>
      <c r="P742" s="21"/>
      <c r="Q742" s="21"/>
      <c r="R742" s="25" t="str">
        <f t="shared" si="11"/>
        <v/>
      </c>
    </row>
    <row r="743" spans="1:18" ht="33.6" customHeight="1">
      <c r="A743" s="28"/>
      <c r="B743" s="48"/>
      <c r="C743" s="48"/>
      <c r="D743" s="21"/>
      <c r="E743" s="21"/>
      <c r="F743" s="21"/>
      <c r="G743" s="21"/>
      <c r="H743" s="21"/>
      <c r="I743" s="21"/>
      <c r="J743" s="45"/>
      <c r="K743" s="45"/>
      <c r="L743" s="45"/>
      <c r="M743" s="45"/>
      <c r="N743" s="45"/>
      <c r="O743" s="21"/>
      <c r="P743" s="21"/>
      <c r="Q743" s="21"/>
      <c r="R743" s="25" t="str">
        <f t="shared" si="11"/>
        <v/>
      </c>
    </row>
    <row r="744" spans="1:18" ht="33.6" customHeight="1">
      <c r="A744" s="28"/>
      <c r="B744" s="48"/>
      <c r="C744" s="48"/>
      <c r="D744" s="21"/>
      <c r="E744" s="21"/>
      <c r="F744" s="21"/>
      <c r="G744" s="21"/>
      <c r="H744" s="21"/>
      <c r="I744" s="21"/>
      <c r="J744" s="45"/>
      <c r="K744" s="45"/>
      <c r="L744" s="45"/>
      <c r="M744" s="45"/>
      <c r="N744" s="45"/>
      <c r="O744" s="21"/>
      <c r="P744" s="21"/>
      <c r="Q744" s="21"/>
      <c r="R744" s="25" t="str">
        <f t="shared" si="11"/>
        <v/>
      </c>
    </row>
    <row r="745" spans="1:18" ht="33.6" customHeight="1">
      <c r="A745" s="28"/>
      <c r="B745" s="48"/>
      <c r="C745" s="48"/>
      <c r="D745" s="21"/>
      <c r="E745" s="21"/>
      <c r="F745" s="21"/>
      <c r="G745" s="21"/>
      <c r="H745" s="21"/>
      <c r="I745" s="21"/>
      <c r="J745" s="45"/>
      <c r="K745" s="45"/>
      <c r="L745" s="45"/>
      <c r="M745" s="45"/>
      <c r="N745" s="45"/>
      <c r="O745" s="21"/>
      <c r="P745" s="21"/>
      <c r="Q745" s="21"/>
      <c r="R745" s="25" t="str">
        <f t="shared" si="11"/>
        <v/>
      </c>
    </row>
    <row r="746" spans="1:18" ht="33.6" customHeight="1">
      <c r="A746" s="28"/>
      <c r="B746" s="48"/>
      <c r="C746" s="48"/>
      <c r="D746" s="21"/>
      <c r="E746" s="21"/>
      <c r="F746" s="21"/>
      <c r="G746" s="21"/>
      <c r="H746" s="21"/>
      <c r="I746" s="21"/>
      <c r="J746" s="45"/>
      <c r="K746" s="45"/>
      <c r="L746" s="45"/>
      <c r="M746" s="45"/>
      <c r="N746" s="45"/>
      <c r="O746" s="21"/>
      <c r="P746" s="21"/>
      <c r="Q746" s="21"/>
      <c r="R746" s="25" t="str">
        <f t="shared" si="11"/>
        <v/>
      </c>
    </row>
    <row r="747" spans="1:18" ht="33.6" customHeight="1">
      <c r="A747" s="28"/>
      <c r="B747" s="48"/>
      <c r="C747" s="48"/>
      <c r="D747" s="21"/>
      <c r="E747" s="21"/>
      <c r="F747" s="21"/>
      <c r="G747" s="21"/>
      <c r="H747" s="21"/>
      <c r="I747" s="21"/>
      <c r="J747" s="45"/>
      <c r="K747" s="45"/>
      <c r="L747" s="45"/>
      <c r="M747" s="45"/>
      <c r="N747" s="45"/>
      <c r="O747" s="21"/>
      <c r="P747" s="21"/>
      <c r="Q747" s="21"/>
      <c r="R747" s="25" t="str">
        <f t="shared" si="11"/>
        <v/>
      </c>
    </row>
    <row r="748" spans="1:18" ht="33.6" customHeight="1">
      <c r="A748" s="28"/>
      <c r="B748" s="48"/>
      <c r="C748" s="48"/>
      <c r="D748" s="21"/>
      <c r="E748" s="21"/>
      <c r="F748" s="21"/>
      <c r="G748" s="21"/>
      <c r="H748" s="21"/>
      <c r="I748" s="21"/>
      <c r="J748" s="45"/>
      <c r="K748" s="45"/>
      <c r="L748" s="45"/>
      <c r="M748" s="45"/>
      <c r="N748" s="45"/>
      <c r="O748" s="21"/>
      <c r="P748" s="21"/>
      <c r="Q748" s="21"/>
      <c r="R748" s="25" t="str">
        <f t="shared" si="11"/>
        <v/>
      </c>
    </row>
    <row r="749" spans="1:18" ht="33.6" customHeight="1">
      <c r="A749" s="28"/>
      <c r="B749" s="48"/>
      <c r="C749" s="48"/>
      <c r="D749" s="21"/>
      <c r="E749" s="21"/>
      <c r="F749" s="21"/>
      <c r="G749" s="21"/>
      <c r="H749" s="21"/>
      <c r="I749" s="21"/>
      <c r="J749" s="45"/>
      <c r="K749" s="45"/>
      <c r="L749" s="45"/>
      <c r="M749" s="45"/>
      <c r="N749" s="45"/>
      <c r="O749" s="21"/>
      <c r="P749" s="21"/>
      <c r="Q749" s="21"/>
      <c r="R749" s="25" t="str">
        <f t="shared" si="11"/>
        <v/>
      </c>
    </row>
    <row r="750" spans="1:18" ht="33.6" customHeight="1">
      <c r="A750" s="28"/>
      <c r="B750" s="48"/>
      <c r="C750" s="48"/>
      <c r="D750" s="21"/>
      <c r="E750" s="21"/>
      <c r="F750" s="21"/>
      <c r="G750" s="21"/>
      <c r="H750" s="21"/>
      <c r="I750" s="21"/>
      <c r="J750" s="45"/>
      <c r="K750" s="45"/>
      <c r="L750" s="45"/>
      <c r="M750" s="45"/>
      <c r="N750" s="45"/>
      <c r="O750" s="21"/>
      <c r="P750" s="21"/>
      <c r="Q750" s="21"/>
      <c r="R750" s="25" t="str">
        <f t="shared" si="11"/>
        <v/>
      </c>
    </row>
    <row r="751" spans="1:18" ht="33.6" customHeight="1">
      <c r="A751" s="28"/>
      <c r="B751" s="48"/>
      <c r="C751" s="48"/>
      <c r="D751" s="21"/>
      <c r="E751" s="21"/>
      <c r="F751" s="21"/>
      <c r="G751" s="21"/>
      <c r="H751" s="21"/>
      <c r="I751" s="21"/>
      <c r="J751" s="45"/>
      <c r="K751" s="45"/>
      <c r="L751" s="45"/>
      <c r="M751" s="45"/>
      <c r="N751" s="45"/>
      <c r="O751" s="21"/>
      <c r="P751" s="21"/>
      <c r="Q751" s="21"/>
      <c r="R751" s="25" t="str">
        <f t="shared" si="11"/>
        <v/>
      </c>
    </row>
    <row r="752" spans="1:18" ht="33.6" customHeight="1">
      <c r="A752" s="28"/>
      <c r="B752" s="48"/>
      <c r="C752" s="48"/>
      <c r="D752" s="21"/>
      <c r="E752" s="21"/>
      <c r="F752" s="21"/>
      <c r="G752" s="21"/>
      <c r="H752" s="21"/>
      <c r="I752" s="21"/>
      <c r="J752" s="45"/>
      <c r="K752" s="45"/>
      <c r="L752" s="45"/>
      <c r="M752" s="45"/>
      <c r="N752" s="45"/>
      <c r="O752" s="21"/>
      <c r="P752" s="21"/>
      <c r="Q752" s="21"/>
      <c r="R752" s="25" t="str">
        <f t="shared" si="11"/>
        <v/>
      </c>
    </row>
    <row r="753" spans="1:18" ht="33.6" customHeight="1">
      <c r="A753" s="28"/>
      <c r="B753" s="48"/>
      <c r="C753" s="48"/>
      <c r="D753" s="21"/>
      <c r="E753" s="21"/>
      <c r="F753" s="21"/>
      <c r="G753" s="21"/>
      <c r="H753" s="21"/>
      <c r="I753" s="21"/>
      <c r="J753" s="45"/>
      <c r="K753" s="45"/>
      <c r="L753" s="45"/>
      <c r="M753" s="45"/>
      <c r="N753" s="45"/>
      <c r="O753" s="21"/>
      <c r="P753" s="21"/>
      <c r="Q753" s="21"/>
      <c r="R753" s="25" t="str">
        <f t="shared" si="11"/>
        <v/>
      </c>
    </row>
    <row r="754" spans="1:18" ht="33.6" customHeight="1">
      <c r="A754" s="28"/>
      <c r="B754" s="48"/>
      <c r="C754" s="48"/>
      <c r="D754" s="21"/>
      <c r="E754" s="21"/>
      <c r="F754" s="21"/>
      <c r="G754" s="21"/>
      <c r="H754" s="21"/>
      <c r="I754" s="21"/>
      <c r="J754" s="45"/>
      <c r="K754" s="45"/>
      <c r="L754" s="45"/>
      <c r="M754" s="45"/>
      <c r="N754" s="45"/>
      <c r="O754" s="21"/>
      <c r="P754" s="21"/>
      <c r="Q754" s="21"/>
      <c r="R754" s="25" t="str">
        <f t="shared" si="11"/>
        <v/>
      </c>
    </row>
    <row r="755" spans="1:18" ht="33.6" customHeight="1">
      <c r="A755" s="28"/>
      <c r="B755" s="48"/>
      <c r="C755" s="48"/>
      <c r="D755" s="21"/>
      <c r="E755" s="21"/>
      <c r="F755" s="21"/>
      <c r="G755" s="21"/>
      <c r="H755" s="21"/>
      <c r="I755" s="21"/>
      <c r="J755" s="45"/>
      <c r="K755" s="45"/>
      <c r="L755" s="45"/>
      <c r="M755" s="45"/>
      <c r="N755" s="45"/>
      <c r="O755" s="21"/>
      <c r="P755" s="21"/>
      <c r="Q755" s="21"/>
      <c r="R755" s="25" t="str">
        <f t="shared" ref="R755:R818" si="12">IF(COUNTIF($A$17:$A$2010,$A755)&gt;1,"Possible Duplicate","")</f>
        <v/>
      </c>
    </row>
    <row r="756" spans="1:18" ht="33.6" customHeight="1">
      <c r="A756" s="28"/>
      <c r="B756" s="48"/>
      <c r="C756" s="48"/>
      <c r="D756" s="21"/>
      <c r="E756" s="21"/>
      <c r="F756" s="21"/>
      <c r="G756" s="21"/>
      <c r="H756" s="21"/>
      <c r="I756" s="21"/>
      <c r="J756" s="45"/>
      <c r="K756" s="45"/>
      <c r="L756" s="45"/>
      <c r="M756" s="45"/>
      <c r="N756" s="45"/>
      <c r="O756" s="21"/>
      <c r="P756" s="21"/>
      <c r="Q756" s="21"/>
      <c r="R756" s="25" t="str">
        <f t="shared" si="12"/>
        <v/>
      </c>
    </row>
    <row r="757" spans="1:18" ht="33.6" customHeight="1">
      <c r="A757" s="28"/>
      <c r="B757" s="48"/>
      <c r="C757" s="48"/>
      <c r="D757" s="21"/>
      <c r="E757" s="21"/>
      <c r="F757" s="21"/>
      <c r="G757" s="21"/>
      <c r="H757" s="21"/>
      <c r="I757" s="21"/>
      <c r="J757" s="45"/>
      <c r="K757" s="45"/>
      <c r="L757" s="45"/>
      <c r="M757" s="45"/>
      <c r="N757" s="45"/>
      <c r="O757" s="21"/>
      <c r="P757" s="21"/>
      <c r="Q757" s="21"/>
      <c r="R757" s="25" t="str">
        <f t="shared" si="12"/>
        <v/>
      </c>
    </row>
    <row r="758" spans="1:18" ht="33.6" customHeight="1">
      <c r="A758" s="28"/>
      <c r="B758" s="48"/>
      <c r="C758" s="48"/>
      <c r="D758" s="21"/>
      <c r="E758" s="21"/>
      <c r="F758" s="21"/>
      <c r="G758" s="21"/>
      <c r="H758" s="21"/>
      <c r="I758" s="21"/>
      <c r="J758" s="45"/>
      <c r="K758" s="45"/>
      <c r="L758" s="45"/>
      <c r="M758" s="45"/>
      <c r="N758" s="45"/>
      <c r="O758" s="21"/>
      <c r="P758" s="21"/>
      <c r="Q758" s="21"/>
      <c r="R758" s="25" t="str">
        <f t="shared" si="12"/>
        <v/>
      </c>
    </row>
    <row r="759" spans="1:18" ht="33.6" customHeight="1">
      <c r="A759" s="28"/>
      <c r="B759" s="48"/>
      <c r="C759" s="48"/>
      <c r="D759" s="21"/>
      <c r="E759" s="21"/>
      <c r="F759" s="21"/>
      <c r="G759" s="21"/>
      <c r="H759" s="21"/>
      <c r="I759" s="21"/>
      <c r="J759" s="45"/>
      <c r="K759" s="45"/>
      <c r="L759" s="45"/>
      <c r="M759" s="45"/>
      <c r="N759" s="45"/>
      <c r="O759" s="21"/>
      <c r="P759" s="21"/>
      <c r="Q759" s="21"/>
      <c r="R759" s="25" t="str">
        <f t="shared" si="12"/>
        <v/>
      </c>
    </row>
    <row r="760" spans="1:18" ht="33.6" customHeight="1">
      <c r="A760" s="28"/>
      <c r="B760" s="48"/>
      <c r="C760" s="48"/>
      <c r="D760" s="21"/>
      <c r="E760" s="21"/>
      <c r="F760" s="21"/>
      <c r="G760" s="21"/>
      <c r="H760" s="21"/>
      <c r="I760" s="21"/>
      <c r="J760" s="45"/>
      <c r="K760" s="45"/>
      <c r="L760" s="45"/>
      <c r="M760" s="45"/>
      <c r="N760" s="45"/>
      <c r="O760" s="21"/>
      <c r="P760" s="21"/>
      <c r="Q760" s="21"/>
      <c r="R760" s="25" t="str">
        <f t="shared" si="12"/>
        <v/>
      </c>
    </row>
    <row r="761" spans="1:18" ht="33.6" customHeight="1">
      <c r="A761" s="28"/>
      <c r="B761" s="48"/>
      <c r="C761" s="48"/>
      <c r="D761" s="21"/>
      <c r="E761" s="21"/>
      <c r="F761" s="21"/>
      <c r="G761" s="21"/>
      <c r="H761" s="21"/>
      <c r="I761" s="21"/>
      <c r="J761" s="45"/>
      <c r="K761" s="45"/>
      <c r="L761" s="45"/>
      <c r="M761" s="45"/>
      <c r="N761" s="45"/>
      <c r="O761" s="21"/>
      <c r="P761" s="21"/>
      <c r="Q761" s="21"/>
      <c r="R761" s="25" t="str">
        <f t="shared" si="12"/>
        <v/>
      </c>
    </row>
    <row r="762" spans="1:18" ht="33.6" customHeight="1">
      <c r="A762" s="28"/>
      <c r="B762" s="48"/>
      <c r="C762" s="48"/>
      <c r="D762" s="21"/>
      <c r="E762" s="21"/>
      <c r="F762" s="21"/>
      <c r="G762" s="21"/>
      <c r="H762" s="21"/>
      <c r="I762" s="21"/>
      <c r="J762" s="45"/>
      <c r="K762" s="45"/>
      <c r="L762" s="45"/>
      <c r="M762" s="45"/>
      <c r="N762" s="45"/>
      <c r="O762" s="21"/>
      <c r="P762" s="21"/>
      <c r="Q762" s="21"/>
      <c r="R762" s="25" t="str">
        <f t="shared" si="12"/>
        <v/>
      </c>
    </row>
    <row r="763" spans="1:18" ht="33.6" customHeight="1">
      <c r="A763" s="28"/>
      <c r="B763" s="48"/>
      <c r="C763" s="48"/>
      <c r="D763" s="21"/>
      <c r="E763" s="21"/>
      <c r="F763" s="21"/>
      <c r="G763" s="21"/>
      <c r="H763" s="21"/>
      <c r="I763" s="21"/>
      <c r="J763" s="45"/>
      <c r="K763" s="45"/>
      <c r="L763" s="45"/>
      <c r="M763" s="45"/>
      <c r="N763" s="45"/>
      <c r="O763" s="21"/>
      <c r="P763" s="21"/>
      <c r="Q763" s="21"/>
      <c r="R763" s="25" t="str">
        <f t="shared" si="12"/>
        <v/>
      </c>
    </row>
    <row r="764" spans="1:18" ht="33.6" customHeight="1">
      <c r="A764" s="28"/>
      <c r="B764" s="48"/>
      <c r="C764" s="48"/>
      <c r="D764" s="21"/>
      <c r="E764" s="21"/>
      <c r="F764" s="21"/>
      <c r="G764" s="21"/>
      <c r="H764" s="21"/>
      <c r="I764" s="21"/>
      <c r="J764" s="45"/>
      <c r="K764" s="45"/>
      <c r="L764" s="45"/>
      <c r="M764" s="45"/>
      <c r="N764" s="45"/>
      <c r="O764" s="21"/>
      <c r="P764" s="21"/>
      <c r="Q764" s="21"/>
      <c r="R764" s="25" t="str">
        <f t="shared" si="12"/>
        <v/>
      </c>
    </row>
    <row r="765" spans="1:18" ht="33.6" customHeight="1">
      <c r="A765" s="28"/>
      <c r="B765" s="48"/>
      <c r="C765" s="48"/>
      <c r="D765" s="21"/>
      <c r="E765" s="21"/>
      <c r="F765" s="21"/>
      <c r="G765" s="21"/>
      <c r="H765" s="21"/>
      <c r="I765" s="21"/>
      <c r="J765" s="45"/>
      <c r="K765" s="45"/>
      <c r="L765" s="45"/>
      <c r="M765" s="45"/>
      <c r="N765" s="45"/>
      <c r="O765" s="21"/>
      <c r="P765" s="21"/>
      <c r="Q765" s="21"/>
      <c r="R765" s="25" t="str">
        <f t="shared" si="12"/>
        <v/>
      </c>
    </row>
    <row r="766" spans="1:18" ht="33.6" customHeight="1">
      <c r="A766" s="28"/>
      <c r="B766" s="48"/>
      <c r="C766" s="48"/>
      <c r="D766" s="21"/>
      <c r="E766" s="21"/>
      <c r="F766" s="21"/>
      <c r="G766" s="21"/>
      <c r="H766" s="21"/>
      <c r="I766" s="21"/>
      <c r="J766" s="45"/>
      <c r="K766" s="45"/>
      <c r="L766" s="45"/>
      <c r="M766" s="45"/>
      <c r="N766" s="45"/>
      <c r="O766" s="21"/>
      <c r="P766" s="21"/>
      <c r="Q766" s="21"/>
      <c r="R766" s="25" t="str">
        <f t="shared" si="12"/>
        <v/>
      </c>
    </row>
    <row r="767" spans="1:18" ht="33.6" customHeight="1">
      <c r="A767" s="28"/>
      <c r="B767" s="48"/>
      <c r="C767" s="48"/>
      <c r="D767" s="21"/>
      <c r="E767" s="21"/>
      <c r="F767" s="21"/>
      <c r="G767" s="21"/>
      <c r="H767" s="21"/>
      <c r="I767" s="21"/>
      <c r="J767" s="45"/>
      <c r="K767" s="45"/>
      <c r="L767" s="45"/>
      <c r="M767" s="45"/>
      <c r="N767" s="45"/>
      <c r="O767" s="21"/>
      <c r="P767" s="21"/>
      <c r="Q767" s="21"/>
      <c r="R767" s="25" t="str">
        <f t="shared" si="12"/>
        <v/>
      </c>
    </row>
    <row r="768" spans="1:18" ht="33.6" customHeight="1">
      <c r="A768" s="28"/>
      <c r="B768" s="48"/>
      <c r="C768" s="48"/>
      <c r="D768" s="21"/>
      <c r="E768" s="21"/>
      <c r="F768" s="21"/>
      <c r="G768" s="21"/>
      <c r="H768" s="21"/>
      <c r="I768" s="21"/>
      <c r="J768" s="45"/>
      <c r="K768" s="45"/>
      <c r="L768" s="45"/>
      <c r="M768" s="45"/>
      <c r="N768" s="45"/>
      <c r="O768" s="21"/>
      <c r="P768" s="21"/>
      <c r="Q768" s="21"/>
      <c r="R768" s="25" t="str">
        <f t="shared" si="12"/>
        <v/>
      </c>
    </row>
    <row r="769" spans="1:18" ht="33.6" customHeight="1">
      <c r="A769" s="28"/>
      <c r="B769" s="48"/>
      <c r="C769" s="48"/>
      <c r="D769" s="21"/>
      <c r="E769" s="21"/>
      <c r="F769" s="21"/>
      <c r="G769" s="21"/>
      <c r="H769" s="21"/>
      <c r="I769" s="21"/>
      <c r="J769" s="45"/>
      <c r="K769" s="45"/>
      <c r="L769" s="45"/>
      <c r="M769" s="45"/>
      <c r="N769" s="45"/>
      <c r="O769" s="21"/>
      <c r="P769" s="21"/>
      <c r="Q769" s="21"/>
      <c r="R769" s="25" t="str">
        <f t="shared" si="12"/>
        <v/>
      </c>
    </row>
    <row r="770" spans="1:18">
      <c r="A770" s="28"/>
      <c r="B770" s="48"/>
      <c r="C770" s="48"/>
      <c r="D770" s="21"/>
      <c r="E770" s="21"/>
      <c r="F770" s="21"/>
      <c r="G770" s="21"/>
      <c r="H770" s="21"/>
      <c r="I770" s="21"/>
      <c r="J770" s="45"/>
      <c r="K770" s="45"/>
      <c r="L770" s="45"/>
      <c r="M770" s="45"/>
      <c r="N770" s="45"/>
      <c r="O770" s="21"/>
      <c r="P770" s="21"/>
      <c r="Q770" s="21"/>
      <c r="R770" s="25" t="str">
        <f t="shared" si="12"/>
        <v/>
      </c>
    </row>
    <row r="771" spans="1:18">
      <c r="A771" s="28"/>
      <c r="B771" s="48"/>
      <c r="C771" s="48"/>
      <c r="D771" s="21"/>
      <c r="E771" s="21"/>
      <c r="F771" s="21"/>
      <c r="G771" s="21"/>
      <c r="H771" s="21"/>
      <c r="I771" s="21"/>
      <c r="J771" s="45"/>
      <c r="K771" s="45"/>
      <c r="L771" s="45"/>
      <c r="M771" s="45"/>
      <c r="N771" s="45"/>
      <c r="O771" s="21"/>
      <c r="P771" s="21"/>
      <c r="Q771" s="21"/>
      <c r="R771" s="25" t="str">
        <f t="shared" si="12"/>
        <v/>
      </c>
    </row>
    <row r="772" spans="1:18">
      <c r="A772" s="28"/>
      <c r="B772" s="48"/>
      <c r="C772" s="48"/>
      <c r="D772" s="21"/>
      <c r="E772" s="21"/>
      <c r="F772" s="21"/>
      <c r="G772" s="21"/>
      <c r="H772" s="21"/>
      <c r="I772" s="21"/>
      <c r="J772" s="45"/>
      <c r="K772" s="45"/>
      <c r="L772" s="45"/>
      <c r="M772" s="45"/>
      <c r="N772" s="45"/>
      <c r="O772" s="21"/>
      <c r="P772" s="21"/>
      <c r="Q772" s="21"/>
      <c r="R772" s="25" t="str">
        <f t="shared" si="12"/>
        <v/>
      </c>
    </row>
    <row r="773" spans="1:18">
      <c r="A773" s="28"/>
      <c r="B773" s="48"/>
      <c r="C773" s="48"/>
      <c r="D773" s="21"/>
      <c r="E773" s="21"/>
      <c r="F773" s="21"/>
      <c r="G773" s="21"/>
      <c r="H773" s="21"/>
      <c r="I773" s="21"/>
      <c r="J773" s="45"/>
      <c r="K773" s="45"/>
      <c r="L773" s="45"/>
      <c r="M773" s="45"/>
      <c r="N773" s="45"/>
      <c r="O773" s="21"/>
      <c r="P773" s="21"/>
      <c r="Q773" s="21"/>
      <c r="R773" s="25" t="str">
        <f t="shared" si="12"/>
        <v/>
      </c>
    </row>
    <row r="774" spans="1:18">
      <c r="A774" s="28"/>
      <c r="B774" s="48"/>
      <c r="C774" s="48"/>
      <c r="D774" s="21"/>
      <c r="E774" s="21"/>
      <c r="F774" s="21"/>
      <c r="G774" s="21"/>
      <c r="H774" s="21"/>
      <c r="I774" s="21"/>
      <c r="J774" s="45"/>
      <c r="K774" s="45"/>
      <c r="L774" s="45"/>
      <c r="M774" s="45"/>
      <c r="N774" s="45"/>
      <c r="O774" s="21"/>
      <c r="P774" s="21"/>
      <c r="Q774" s="21"/>
      <c r="R774" s="25" t="str">
        <f t="shared" si="12"/>
        <v/>
      </c>
    </row>
    <row r="775" spans="1:18">
      <c r="A775" s="28"/>
      <c r="B775" s="48"/>
      <c r="C775" s="48"/>
      <c r="D775" s="21"/>
      <c r="E775" s="21"/>
      <c r="F775" s="21"/>
      <c r="G775" s="21"/>
      <c r="H775" s="21"/>
      <c r="I775" s="21"/>
      <c r="J775" s="45"/>
      <c r="K775" s="45"/>
      <c r="L775" s="45"/>
      <c r="M775" s="45"/>
      <c r="N775" s="45"/>
      <c r="O775" s="21"/>
      <c r="P775" s="21"/>
      <c r="Q775" s="21"/>
      <c r="R775" s="25" t="str">
        <f t="shared" si="12"/>
        <v/>
      </c>
    </row>
    <row r="776" spans="1:18">
      <c r="A776" s="28"/>
      <c r="B776" s="48"/>
      <c r="C776" s="48"/>
      <c r="D776" s="21"/>
      <c r="E776" s="21"/>
      <c r="F776" s="21"/>
      <c r="G776" s="21"/>
      <c r="H776" s="21"/>
      <c r="I776" s="21"/>
      <c r="J776" s="45"/>
      <c r="K776" s="45"/>
      <c r="L776" s="45"/>
      <c r="M776" s="45"/>
      <c r="N776" s="45"/>
      <c r="O776" s="21"/>
      <c r="P776" s="21"/>
      <c r="Q776" s="21"/>
      <c r="R776" s="25" t="str">
        <f t="shared" si="12"/>
        <v/>
      </c>
    </row>
    <row r="777" spans="1:18">
      <c r="A777" s="28"/>
      <c r="B777" s="48"/>
      <c r="C777" s="48"/>
      <c r="D777" s="21"/>
      <c r="E777" s="21"/>
      <c r="F777" s="21"/>
      <c r="G777" s="21"/>
      <c r="H777" s="21"/>
      <c r="I777" s="21"/>
      <c r="J777" s="45"/>
      <c r="K777" s="45"/>
      <c r="L777" s="45"/>
      <c r="M777" s="45"/>
      <c r="N777" s="45"/>
      <c r="O777" s="21"/>
      <c r="P777" s="21"/>
      <c r="Q777" s="21"/>
      <c r="R777" s="25" t="str">
        <f t="shared" si="12"/>
        <v/>
      </c>
    </row>
    <row r="778" spans="1:18">
      <c r="A778" s="28"/>
      <c r="B778" s="48"/>
      <c r="C778" s="48"/>
      <c r="D778" s="21"/>
      <c r="E778" s="21"/>
      <c r="F778" s="21"/>
      <c r="G778" s="21"/>
      <c r="H778" s="21"/>
      <c r="I778" s="21"/>
      <c r="J778" s="45"/>
      <c r="K778" s="45"/>
      <c r="L778" s="45"/>
      <c r="M778" s="45"/>
      <c r="N778" s="45"/>
      <c r="O778" s="21"/>
      <c r="P778" s="21"/>
      <c r="Q778" s="21"/>
      <c r="R778" s="25" t="str">
        <f t="shared" si="12"/>
        <v/>
      </c>
    </row>
    <row r="779" spans="1:18">
      <c r="A779" s="28"/>
      <c r="B779" s="48"/>
      <c r="C779" s="48"/>
      <c r="D779" s="21"/>
      <c r="E779" s="21"/>
      <c r="F779" s="21"/>
      <c r="G779" s="21"/>
      <c r="H779" s="21"/>
      <c r="I779" s="21"/>
      <c r="J779" s="45"/>
      <c r="K779" s="45"/>
      <c r="L779" s="45"/>
      <c r="M779" s="45"/>
      <c r="N779" s="45"/>
      <c r="O779" s="21"/>
      <c r="P779" s="21"/>
      <c r="Q779" s="21"/>
      <c r="R779" s="25" t="str">
        <f t="shared" si="12"/>
        <v/>
      </c>
    </row>
    <row r="780" spans="1:18">
      <c r="A780" s="28"/>
      <c r="B780" s="48"/>
      <c r="C780" s="48"/>
      <c r="D780" s="21"/>
      <c r="E780" s="21"/>
      <c r="F780" s="21"/>
      <c r="G780" s="21"/>
      <c r="H780" s="21"/>
      <c r="I780" s="21"/>
      <c r="J780" s="45"/>
      <c r="K780" s="45"/>
      <c r="L780" s="45"/>
      <c r="M780" s="45"/>
      <c r="N780" s="45"/>
      <c r="O780" s="21"/>
      <c r="P780" s="21"/>
      <c r="Q780" s="21"/>
      <c r="R780" s="25" t="str">
        <f t="shared" si="12"/>
        <v/>
      </c>
    </row>
    <row r="781" spans="1:18">
      <c r="A781" s="28"/>
      <c r="B781" s="48"/>
      <c r="C781" s="48"/>
      <c r="D781" s="21"/>
      <c r="E781" s="21"/>
      <c r="F781" s="21"/>
      <c r="G781" s="21"/>
      <c r="H781" s="21"/>
      <c r="I781" s="21"/>
      <c r="J781" s="45"/>
      <c r="K781" s="45"/>
      <c r="L781" s="45"/>
      <c r="M781" s="45"/>
      <c r="N781" s="45"/>
      <c r="O781" s="21"/>
      <c r="P781" s="21"/>
      <c r="Q781" s="21"/>
      <c r="R781" s="25" t="str">
        <f t="shared" si="12"/>
        <v/>
      </c>
    </row>
    <row r="782" spans="1:18">
      <c r="A782" s="28"/>
      <c r="B782" s="48"/>
      <c r="C782" s="48"/>
      <c r="D782" s="21"/>
      <c r="E782" s="21"/>
      <c r="F782" s="21"/>
      <c r="G782" s="21"/>
      <c r="H782" s="21"/>
      <c r="I782" s="21"/>
      <c r="J782" s="45"/>
      <c r="K782" s="45"/>
      <c r="L782" s="45"/>
      <c r="M782" s="45"/>
      <c r="N782" s="45"/>
      <c r="O782" s="21"/>
      <c r="P782" s="21"/>
      <c r="Q782" s="21"/>
      <c r="R782" s="25" t="str">
        <f t="shared" si="12"/>
        <v/>
      </c>
    </row>
    <row r="783" spans="1:18">
      <c r="A783" s="28"/>
      <c r="B783" s="48"/>
      <c r="C783" s="48"/>
      <c r="D783" s="21"/>
      <c r="E783" s="21"/>
      <c r="F783" s="21"/>
      <c r="G783" s="21"/>
      <c r="H783" s="21"/>
      <c r="I783" s="21"/>
      <c r="J783" s="45"/>
      <c r="K783" s="45"/>
      <c r="L783" s="45"/>
      <c r="M783" s="45"/>
      <c r="N783" s="45"/>
      <c r="O783" s="21"/>
      <c r="P783" s="21"/>
      <c r="Q783" s="21"/>
      <c r="R783" s="25" t="str">
        <f t="shared" si="12"/>
        <v/>
      </c>
    </row>
    <row r="784" spans="1:18">
      <c r="A784" s="28"/>
      <c r="B784" s="48"/>
      <c r="C784" s="48"/>
      <c r="D784" s="21"/>
      <c r="E784" s="21"/>
      <c r="F784" s="21"/>
      <c r="G784" s="21"/>
      <c r="H784" s="21"/>
      <c r="I784" s="21"/>
      <c r="J784" s="45"/>
      <c r="K784" s="45"/>
      <c r="L784" s="45"/>
      <c r="M784" s="45"/>
      <c r="N784" s="45"/>
      <c r="O784" s="21"/>
      <c r="P784" s="21"/>
      <c r="Q784" s="21"/>
      <c r="R784" s="25" t="str">
        <f t="shared" si="12"/>
        <v/>
      </c>
    </row>
    <row r="785" spans="1:18">
      <c r="A785" s="28"/>
      <c r="B785" s="48"/>
      <c r="C785" s="48"/>
      <c r="D785" s="21"/>
      <c r="E785" s="21"/>
      <c r="F785" s="21"/>
      <c r="G785" s="21"/>
      <c r="H785" s="21"/>
      <c r="I785" s="21"/>
      <c r="J785" s="45"/>
      <c r="K785" s="45"/>
      <c r="L785" s="45"/>
      <c r="M785" s="45"/>
      <c r="N785" s="45"/>
      <c r="O785" s="21"/>
      <c r="P785" s="21"/>
      <c r="Q785" s="21"/>
      <c r="R785" s="25" t="str">
        <f t="shared" si="12"/>
        <v/>
      </c>
    </row>
    <row r="786" spans="1:18">
      <c r="A786" s="28"/>
      <c r="B786" s="48"/>
      <c r="C786" s="48"/>
      <c r="D786" s="21"/>
      <c r="E786" s="21"/>
      <c r="F786" s="21"/>
      <c r="G786" s="21"/>
      <c r="H786" s="21"/>
      <c r="I786" s="21"/>
      <c r="J786" s="45"/>
      <c r="K786" s="45"/>
      <c r="L786" s="45"/>
      <c r="M786" s="45"/>
      <c r="N786" s="45"/>
      <c r="O786" s="21"/>
      <c r="P786" s="21"/>
      <c r="Q786" s="21"/>
      <c r="R786" s="25" t="str">
        <f t="shared" si="12"/>
        <v/>
      </c>
    </row>
    <row r="787" spans="1:18">
      <c r="A787" s="28"/>
      <c r="B787" s="48"/>
      <c r="C787" s="48"/>
      <c r="D787" s="21"/>
      <c r="E787" s="21"/>
      <c r="F787" s="21"/>
      <c r="G787" s="21"/>
      <c r="H787" s="21"/>
      <c r="I787" s="21"/>
      <c r="J787" s="45"/>
      <c r="K787" s="45"/>
      <c r="L787" s="45"/>
      <c r="M787" s="45"/>
      <c r="N787" s="45"/>
      <c r="O787" s="21"/>
      <c r="P787" s="21"/>
      <c r="Q787" s="21"/>
      <c r="R787" s="25" t="str">
        <f t="shared" si="12"/>
        <v/>
      </c>
    </row>
    <row r="788" spans="1:18">
      <c r="A788" s="28"/>
      <c r="B788" s="48"/>
      <c r="C788" s="48"/>
      <c r="D788" s="21"/>
      <c r="E788" s="21"/>
      <c r="F788" s="21"/>
      <c r="G788" s="21"/>
      <c r="H788" s="21"/>
      <c r="I788" s="21"/>
      <c r="J788" s="45"/>
      <c r="K788" s="45"/>
      <c r="L788" s="45"/>
      <c r="M788" s="45"/>
      <c r="N788" s="45"/>
      <c r="O788" s="21"/>
      <c r="P788" s="21"/>
      <c r="Q788" s="21"/>
      <c r="R788" s="25" t="str">
        <f t="shared" si="12"/>
        <v/>
      </c>
    </row>
    <row r="789" spans="1:18">
      <c r="A789" s="28"/>
      <c r="B789" s="48"/>
      <c r="C789" s="48"/>
      <c r="D789" s="21"/>
      <c r="E789" s="21"/>
      <c r="F789" s="21"/>
      <c r="G789" s="21"/>
      <c r="H789" s="21"/>
      <c r="I789" s="21"/>
      <c r="J789" s="45"/>
      <c r="K789" s="45"/>
      <c r="L789" s="45"/>
      <c r="M789" s="45"/>
      <c r="N789" s="45"/>
      <c r="O789" s="21"/>
      <c r="P789" s="21"/>
      <c r="Q789" s="21"/>
      <c r="R789" s="25" t="str">
        <f t="shared" si="12"/>
        <v/>
      </c>
    </row>
    <row r="790" spans="1:18">
      <c r="A790" s="28"/>
      <c r="B790" s="48"/>
      <c r="C790" s="48"/>
      <c r="D790" s="21"/>
      <c r="E790" s="21"/>
      <c r="F790" s="21"/>
      <c r="G790" s="21"/>
      <c r="H790" s="21"/>
      <c r="I790" s="21"/>
      <c r="J790" s="45"/>
      <c r="K790" s="45"/>
      <c r="L790" s="45"/>
      <c r="M790" s="45"/>
      <c r="N790" s="45"/>
      <c r="O790" s="21"/>
      <c r="P790" s="21"/>
      <c r="Q790" s="21"/>
      <c r="R790" s="25" t="str">
        <f t="shared" si="12"/>
        <v/>
      </c>
    </row>
    <row r="791" spans="1:18">
      <c r="A791" s="28"/>
      <c r="B791" s="48"/>
      <c r="C791" s="48"/>
      <c r="D791" s="21"/>
      <c r="E791" s="21"/>
      <c r="F791" s="21"/>
      <c r="G791" s="21"/>
      <c r="H791" s="21"/>
      <c r="I791" s="21"/>
      <c r="J791" s="45"/>
      <c r="K791" s="45"/>
      <c r="L791" s="45"/>
      <c r="M791" s="45"/>
      <c r="N791" s="45"/>
      <c r="O791" s="21"/>
      <c r="P791" s="21"/>
      <c r="Q791" s="21"/>
      <c r="R791" s="25" t="str">
        <f t="shared" si="12"/>
        <v/>
      </c>
    </row>
    <row r="792" spans="1:18">
      <c r="A792" s="28"/>
      <c r="B792" s="48"/>
      <c r="C792" s="48"/>
      <c r="D792" s="21"/>
      <c r="E792" s="21"/>
      <c r="F792" s="21"/>
      <c r="G792" s="21"/>
      <c r="H792" s="21"/>
      <c r="I792" s="21"/>
      <c r="J792" s="45"/>
      <c r="K792" s="45"/>
      <c r="L792" s="45"/>
      <c r="M792" s="45"/>
      <c r="N792" s="45"/>
      <c r="O792" s="21"/>
      <c r="P792" s="21"/>
      <c r="Q792" s="21"/>
      <c r="R792" s="25" t="str">
        <f t="shared" si="12"/>
        <v/>
      </c>
    </row>
    <row r="793" spans="1:18">
      <c r="A793" s="28"/>
      <c r="B793" s="48"/>
      <c r="C793" s="48"/>
      <c r="D793" s="21"/>
      <c r="E793" s="21"/>
      <c r="F793" s="21"/>
      <c r="G793" s="21"/>
      <c r="H793" s="21"/>
      <c r="I793" s="21"/>
      <c r="J793" s="45"/>
      <c r="K793" s="45"/>
      <c r="L793" s="45"/>
      <c r="M793" s="45"/>
      <c r="N793" s="45"/>
      <c r="O793" s="21"/>
      <c r="P793" s="21"/>
      <c r="Q793" s="21"/>
      <c r="R793" s="25" t="str">
        <f t="shared" si="12"/>
        <v/>
      </c>
    </row>
    <row r="794" spans="1:18">
      <c r="A794" s="28"/>
      <c r="B794" s="48"/>
      <c r="C794" s="48"/>
      <c r="D794" s="21"/>
      <c r="E794" s="21"/>
      <c r="F794" s="21"/>
      <c r="G794" s="21"/>
      <c r="H794" s="21"/>
      <c r="I794" s="21"/>
      <c r="J794" s="45"/>
      <c r="K794" s="45"/>
      <c r="L794" s="45"/>
      <c r="M794" s="45"/>
      <c r="N794" s="45"/>
      <c r="O794" s="21"/>
      <c r="P794" s="21"/>
      <c r="Q794" s="21"/>
      <c r="R794" s="25" t="str">
        <f t="shared" si="12"/>
        <v/>
      </c>
    </row>
    <row r="795" spans="1:18">
      <c r="A795" s="28"/>
      <c r="B795" s="48"/>
      <c r="C795" s="48"/>
      <c r="D795" s="21"/>
      <c r="E795" s="21"/>
      <c r="F795" s="21"/>
      <c r="G795" s="21"/>
      <c r="H795" s="21"/>
      <c r="I795" s="21"/>
      <c r="J795" s="45"/>
      <c r="K795" s="45"/>
      <c r="L795" s="45"/>
      <c r="M795" s="45"/>
      <c r="N795" s="45"/>
      <c r="O795" s="21"/>
      <c r="P795" s="21"/>
      <c r="Q795" s="21"/>
      <c r="R795" s="25" t="str">
        <f t="shared" si="12"/>
        <v/>
      </c>
    </row>
    <row r="796" spans="1:18">
      <c r="A796" s="28"/>
      <c r="B796" s="48"/>
      <c r="C796" s="48"/>
      <c r="D796" s="21"/>
      <c r="E796" s="21"/>
      <c r="F796" s="21"/>
      <c r="G796" s="21"/>
      <c r="H796" s="21"/>
      <c r="I796" s="21"/>
      <c r="J796" s="45"/>
      <c r="K796" s="45"/>
      <c r="L796" s="45"/>
      <c r="M796" s="45"/>
      <c r="N796" s="45"/>
      <c r="O796" s="21"/>
      <c r="P796" s="21"/>
      <c r="Q796" s="21"/>
      <c r="R796" s="25" t="str">
        <f t="shared" si="12"/>
        <v/>
      </c>
    </row>
    <row r="797" spans="1:18">
      <c r="A797" s="28"/>
      <c r="B797" s="48"/>
      <c r="C797" s="48"/>
      <c r="D797" s="21"/>
      <c r="E797" s="21"/>
      <c r="F797" s="21"/>
      <c r="G797" s="21"/>
      <c r="H797" s="21"/>
      <c r="I797" s="21"/>
      <c r="J797" s="45"/>
      <c r="K797" s="45"/>
      <c r="L797" s="45"/>
      <c r="M797" s="45"/>
      <c r="N797" s="45"/>
      <c r="O797" s="21"/>
      <c r="P797" s="21"/>
      <c r="Q797" s="21"/>
      <c r="R797" s="25" t="str">
        <f t="shared" si="12"/>
        <v/>
      </c>
    </row>
    <row r="798" spans="1:18">
      <c r="A798" s="28"/>
      <c r="B798" s="48"/>
      <c r="C798" s="48"/>
      <c r="D798" s="21"/>
      <c r="E798" s="21"/>
      <c r="F798" s="21"/>
      <c r="G798" s="21"/>
      <c r="H798" s="21"/>
      <c r="I798" s="21"/>
      <c r="J798" s="45"/>
      <c r="K798" s="45"/>
      <c r="L798" s="45"/>
      <c r="M798" s="45"/>
      <c r="N798" s="45"/>
      <c r="O798" s="21"/>
      <c r="P798" s="21"/>
      <c r="Q798" s="21"/>
      <c r="R798" s="25" t="str">
        <f t="shared" si="12"/>
        <v/>
      </c>
    </row>
    <row r="799" spans="1:18">
      <c r="A799" s="28"/>
      <c r="B799" s="48"/>
      <c r="C799" s="48"/>
      <c r="D799" s="21"/>
      <c r="E799" s="21"/>
      <c r="F799" s="21"/>
      <c r="G799" s="21"/>
      <c r="H799" s="21"/>
      <c r="I799" s="21"/>
      <c r="J799" s="45"/>
      <c r="K799" s="45"/>
      <c r="L799" s="45"/>
      <c r="M799" s="45"/>
      <c r="N799" s="45"/>
      <c r="O799" s="21"/>
      <c r="P799" s="21"/>
      <c r="Q799" s="21"/>
      <c r="R799" s="25" t="str">
        <f t="shared" si="12"/>
        <v/>
      </c>
    </row>
    <row r="800" spans="1:18">
      <c r="A800" s="28"/>
      <c r="B800" s="48"/>
      <c r="C800" s="48"/>
      <c r="D800" s="21"/>
      <c r="E800" s="21"/>
      <c r="F800" s="21"/>
      <c r="G800" s="21"/>
      <c r="H800" s="21"/>
      <c r="I800" s="21"/>
      <c r="J800" s="45"/>
      <c r="K800" s="45"/>
      <c r="L800" s="45"/>
      <c r="M800" s="45"/>
      <c r="N800" s="45"/>
      <c r="O800" s="21"/>
      <c r="P800" s="21"/>
      <c r="Q800" s="21"/>
      <c r="R800" s="25" t="str">
        <f t="shared" si="12"/>
        <v/>
      </c>
    </row>
    <row r="801" spans="1:18">
      <c r="A801" s="28"/>
      <c r="B801" s="48"/>
      <c r="C801" s="48"/>
      <c r="D801" s="21"/>
      <c r="E801" s="21"/>
      <c r="F801" s="21"/>
      <c r="G801" s="21"/>
      <c r="H801" s="21"/>
      <c r="I801" s="21"/>
      <c r="J801" s="45"/>
      <c r="K801" s="45"/>
      <c r="L801" s="45"/>
      <c r="M801" s="45"/>
      <c r="N801" s="45"/>
      <c r="O801" s="21"/>
      <c r="P801" s="21"/>
      <c r="Q801" s="21"/>
      <c r="R801" s="25" t="str">
        <f t="shared" si="12"/>
        <v/>
      </c>
    </row>
    <row r="802" spans="1:18">
      <c r="A802" s="28"/>
      <c r="B802" s="48"/>
      <c r="C802" s="48"/>
      <c r="D802" s="21"/>
      <c r="E802" s="21"/>
      <c r="F802" s="21"/>
      <c r="G802" s="21"/>
      <c r="H802" s="21"/>
      <c r="I802" s="21"/>
      <c r="J802" s="45"/>
      <c r="K802" s="45"/>
      <c r="L802" s="45"/>
      <c r="M802" s="45"/>
      <c r="N802" s="45"/>
      <c r="O802" s="21"/>
      <c r="P802" s="21"/>
      <c r="Q802" s="21"/>
      <c r="R802" s="25" t="str">
        <f t="shared" si="12"/>
        <v/>
      </c>
    </row>
    <row r="803" spans="1:18">
      <c r="A803" s="28"/>
      <c r="B803" s="48"/>
      <c r="C803" s="48"/>
      <c r="D803" s="21"/>
      <c r="E803" s="21"/>
      <c r="F803" s="21"/>
      <c r="G803" s="21"/>
      <c r="H803" s="21"/>
      <c r="I803" s="21"/>
      <c r="J803" s="45"/>
      <c r="K803" s="45"/>
      <c r="L803" s="45"/>
      <c r="M803" s="45"/>
      <c r="N803" s="45"/>
      <c r="O803" s="21"/>
      <c r="P803" s="21"/>
      <c r="Q803" s="21"/>
      <c r="R803" s="25" t="str">
        <f t="shared" si="12"/>
        <v/>
      </c>
    </row>
    <row r="804" spans="1:18">
      <c r="A804" s="28"/>
      <c r="B804" s="48"/>
      <c r="C804" s="48"/>
      <c r="D804" s="21"/>
      <c r="E804" s="21"/>
      <c r="F804" s="21"/>
      <c r="G804" s="21"/>
      <c r="H804" s="21"/>
      <c r="I804" s="21"/>
      <c r="J804" s="45"/>
      <c r="K804" s="45"/>
      <c r="L804" s="45"/>
      <c r="M804" s="45"/>
      <c r="N804" s="45"/>
      <c r="O804" s="21"/>
      <c r="P804" s="21"/>
      <c r="Q804" s="21"/>
      <c r="R804" s="25" t="str">
        <f t="shared" si="12"/>
        <v/>
      </c>
    </row>
    <row r="805" spans="1:18">
      <c r="A805" s="28"/>
      <c r="B805" s="48"/>
      <c r="C805" s="48"/>
      <c r="D805" s="21"/>
      <c r="E805" s="21"/>
      <c r="F805" s="21"/>
      <c r="G805" s="21"/>
      <c r="H805" s="21"/>
      <c r="I805" s="21"/>
      <c r="J805" s="45"/>
      <c r="K805" s="45"/>
      <c r="L805" s="45"/>
      <c r="M805" s="45"/>
      <c r="N805" s="45"/>
      <c r="O805" s="21"/>
      <c r="P805" s="21"/>
      <c r="Q805" s="21"/>
      <c r="R805" s="25" t="str">
        <f t="shared" si="12"/>
        <v/>
      </c>
    </row>
    <row r="806" spans="1:18">
      <c r="A806" s="28"/>
      <c r="B806" s="48"/>
      <c r="C806" s="48"/>
      <c r="D806" s="21"/>
      <c r="E806" s="21"/>
      <c r="F806" s="21"/>
      <c r="G806" s="21"/>
      <c r="H806" s="21"/>
      <c r="I806" s="21"/>
      <c r="J806" s="45"/>
      <c r="K806" s="45"/>
      <c r="L806" s="45"/>
      <c r="M806" s="45"/>
      <c r="N806" s="45"/>
      <c r="O806" s="21"/>
      <c r="P806" s="21"/>
      <c r="Q806" s="21"/>
      <c r="R806" s="25" t="str">
        <f t="shared" si="12"/>
        <v/>
      </c>
    </row>
    <row r="807" spans="1:18">
      <c r="A807" s="28"/>
      <c r="B807" s="48"/>
      <c r="C807" s="48"/>
      <c r="D807" s="21"/>
      <c r="E807" s="21"/>
      <c r="F807" s="21"/>
      <c r="G807" s="21"/>
      <c r="H807" s="21"/>
      <c r="I807" s="21"/>
      <c r="J807" s="45"/>
      <c r="K807" s="45"/>
      <c r="L807" s="45"/>
      <c r="M807" s="45"/>
      <c r="N807" s="45"/>
      <c r="O807" s="21"/>
      <c r="P807" s="21"/>
      <c r="Q807" s="21"/>
      <c r="R807" s="25" t="str">
        <f t="shared" si="12"/>
        <v/>
      </c>
    </row>
    <row r="808" spans="1:18">
      <c r="A808" s="28"/>
      <c r="B808" s="48"/>
      <c r="C808" s="48"/>
      <c r="D808" s="21"/>
      <c r="E808" s="21"/>
      <c r="F808" s="21"/>
      <c r="G808" s="21"/>
      <c r="H808" s="21"/>
      <c r="I808" s="21"/>
      <c r="J808" s="45"/>
      <c r="K808" s="45"/>
      <c r="L808" s="45"/>
      <c r="M808" s="45"/>
      <c r="N808" s="45"/>
      <c r="O808" s="21"/>
      <c r="P808" s="21"/>
      <c r="Q808" s="21"/>
      <c r="R808" s="25" t="str">
        <f t="shared" si="12"/>
        <v/>
      </c>
    </row>
    <row r="809" spans="1:18">
      <c r="A809" s="28"/>
      <c r="B809" s="48"/>
      <c r="C809" s="48"/>
      <c r="D809" s="21"/>
      <c r="E809" s="21"/>
      <c r="F809" s="21"/>
      <c r="G809" s="21"/>
      <c r="H809" s="21"/>
      <c r="I809" s="21"/>
      <c r="J809" s="45"/>
      <c r="K809" s="45"/>
      <c r="L809" s="45"/>
      <c r="M809" s="45"/>
      <c r="N809" s="45"/>
      <c r="O809" s="21"/>
      <c r="P809" s="21"/>
      <c r="Q809" s="21"/>
      <c r="R809" s="25" t="str">
        <f t="shared" si="12"/>
        <v/>
      </c>
    </row>
    <row r="810" spans="1:18">
      <c r="A810" s="28"/>
      <c r="B810" s="48"/>
      <c r="C810" s="48"/>
      <c r="D810" s="21"/>
      <c r="E810" s="21"/>
      <c r="F810" s="21"/>
      <c r="G810" s="21"/>
      <c r="H810" s="21"/>
      <c r="I810" s="21"/>
      <c r="J810" s="45"/>
      <c r="K810" s="45"/>
      <c r="L810" s="45"/>
      <c r="M810" s="45"/>
      <c r="N810" s="45"/>
      <c r="O810" s="21"/>
      <c r="P810" s="21"/>
      <c r="Q810" s="21"/>
      <c r="R810" s="25" t="str">
        <f t="shared" si="12"/>
        <v/>
      </c>
    </row>
    <row r="811" spans="1:18">
      <c r="A811" s="28"/>
      <c r="B811" s="48"/>
      <c r="C811" s="48"/>
      <c r="D811" s="21"/>
      <c r="E811" s="21"/>
      <c r="F811" s="21"/>
      <c r="G811" s="21"/>
      <c r="H811" s="21"/>
      <c r="I811" s="21"/>
      <c r="J811" s="45"/>
      <c r="K811" s="45"/>
      <c r="L811" s="45"/>
      <c r="M811" s="45"/>
      <c r="N811" s="45"/>
      <c r="O811" s="21"/>
      <c r="P811" s="21"/>
      <c r="Q811" s="21"/>
      <c r="R811" s="25" t="str">
        <f t="shared" si="12"/>
        <v/>
      </c>
    </row>
    <row r="812" spans="1:18">
      <c r="A812" s="28"/>
      <c r="B812" s="48"/>
      <c r="C812" s="48"/>
      <c r="D812" s="21"/>
      <c r="E812" s="21"/>
      <c r="F812" s="21"/>
      <c r="G812" s="21"/>
      <c r="H812" s="21"/>
      <c r="I812" s="21"/>
      <c r="J812" s="45"/>
      <c r="K812" s="45"/>
      <c r="L812" s="45"/>
      <c r="M812" s="45"/>
      <c r="N812" s="45"/>
      <c r="O812" s="21"/>
      <c r="P812" s="21"/>
      <c r="Q812" s="21"/>
      <c r="R812" s="25" t="str">
        <f t="shared" si="12"/>
        <v/>
      </c>
    </row>
    <row r="813" spans="1:18">
      <c r="A813" s="28"/>
      <c r="B813" s="48"/>
      <c r="C813" s="48"/>
      <c r="D813" s="21"/>
      <c r="E813" s="21"/>
      <c r="F813" s="21"/>
      <c r="G813" s="21"/>
      <c r="H813" s="21"/>
      <c r="I813" s="21"/>
      <c r="J813" s="45"/>
      <c r="K813" s="45"/>
      <c r="L813" s="45"/>
      <c r="M813" s="45"/>
      <c r="N813" s="45"/>
      <c r="O813" s="21"/>
      <c r="P813" s="21"/>
      <c r="Q813" s="21"/>
      <c r="R813" s="25" t="str">
        <f t="shared" si="12"/>
        <v/>
      </c>
    </row>
    <row r="814" spans="1:18">
      <c r="A814" s="28"/>
      <c r="B814" s="48"/>
      <c r="C814" s="48"/>
      <c r="D814" s="21"/>
      <c r="E814" s="21"/>
      <c r="F814" s="21"/>
      <c r="G814" s="21"/>
      <c r="H814" s="21"/>
      <c r="I814" s="21"/>
      <c r="J814" s="45"/>
      <c r="K814" s="45"/>
      <c r="L814" s="45"/>
      <c r="M814" s="45"/>
      <c r="N814" s="45"/>
      <c r="O814" s="21"/>
      <c r="P814" s="21"/>
      <c r="Q814" s="21"/>
      <c r="R814" s="25" t="str">
        <f t="shared" si="12"/>
        <v/>
      </c>
    </row>
    <row r="815" spans="1:18">
      <c r="A815" s="28"/>
      <c r="B815" s="48"/>
      <c r="C815" s="48"/>
      <c r="D815" s="21"/>
      <c r="E815" s="21"/>
      <c r="F815" s="21"/>
      <c r="G815" s="21"/>
      <c r="H815" s="21"/>
      <c r="I815" s="21"/>
      <c r="J815" s="45"/>
      <c r="K815" s="45"/>
      <c r="L815" s="45"/>
      <c r="M815" s="45"/>
      <c r="N815" s="45"/>
      <c r="O815" s="21"/>
      <c r="P815" s="21"/>
      <c r="Q815" s="21"/>
      <c r="R815" s="25" t="str">
        <f t="shared" si="12"/>
        <v/>
      </c>
    </row>
    <row r="816" spans="1:18">
      <c r="A816" s="28"/>
      <c r="B816" s="48"/>
      <c r="C816" s="48"/>
      <c r="D816" s="21"/>
      <c r="E816" s="21"/>
      <c r="F816" s="21"/>
      <c r="G816" s="21"/>
      <c r="H816" s="21"/>
      <c r="I816" s="21"/>
      <c r="J816" s="45"/>
      <c r="K816" s="45"/>
      <c r="L816" s="45"/>
      <c r="M816" s="45"/>
      <c r="N816" s="45"/>
      <c r="O816" s="21"/>
      <c r="P816" s="21"/>
      <c r="Q816" s="21"/>
      <c r="R816" s="25" t="str">
        <f t="shared" si="12"/>
        <v/>
      </c>
    </row>
    <row r="817" spans="1:18">
      <c r="A817" s="28"/>
      <c r="B817" s="48"/>
      <c r="C817" s="48"/>
      <c r="D817" s="21"/>
      <c r="E817" s="21"/>
      <c r="F817" s="21"/>
      <c r="G817" s="21"/>
      <c r="H817" s="21"/>
      <c r="I817" s="21"/>
      <c r="J817" s="45"/>
      <c r="K817" s="45"/>
      <c r="L817" s="45"/>
      <c r="M817" s="45"/>
      <c r="N817" s="45"/>
      <c r="O817" s="21"/>
      <c r="P817" s="21"/>
      <c r="Q817" s="21"/>
      <c r="R817" s="25" t="str">
        <f t="shared" si="12"/>
        <v/>
      </c>
    </row>
    <row r="818" spans="1:18">
      <c r="A818" s="28"/>
      <c r="B818" s="48"/>
      <c r="C818" s="48"/>
      <c r="D818" s="21"/>
      <c r="E818" s="21"/>
      <c r="F818" s="21"/>
      <c r="G818" s="21"/>
      <c r="H818" s="21"/>
      <c r="I818" s="21"/>
      <c r="J818" s="45"/>
      <c r="K818" s="45"/>
      <c r="L818" s="45"/>
      <c r="M818" s="45"/>
      <c r="N818" s="45"/>
      <c r="O818" s="21"/>
      <c r="P818" s="21"/>
      <c r="Q818" s="21"/>
      <c r="R818" s="25" t="str">
        <f t="shared" si="12"/>
        <v/>
      </c>
    </row>
    <row r="819" spans="1:18">
      <c r="A819" s="28"/>
      <c r="B819" s="48"/>
      <c r="C819" s="48"/>
      <c r="D819" s="21"/>
      <c r="E819" s="21"/>
      <c r="F819" s="21"/>
      <c r="G819" s="21"/>
      <c r="H819" s="21"/>
      <c r="I819" s="21"/>
      <c r="J819" s="45"/>
      <c r="K819" s="45"/>
      <c r="L819" s="45"/>
      <c r="M819" s="45"/>
      <c r="N819" s="45"/>
      <c r="O819" s="21"/>
      <c r="P819" s="21"/>
      <c r="Q819" s="21"/>
      <c r="R819" s="25" t="str">
        <f t="shared" ref="R819:R882" si="13">IF(COUNTIF($A$17:$A$2010,$A819)&gt;1,"Possible Duplicate","")</f>
        <v/>
      </c>
    </row>
    <row r="820" spans="1:18">
      <c r="A820" s="28"/>
      <c r="B820" s="48"/>
      <c r="C820" s="48"/>
      <c r="D820" s="21"/>
      <c r="E820" s="21"/>
      <c r="F820" s="21"/>
      <c r="G820" s="21"/>
      <c r="H820" s="21"/>
      <c r="I820" s="21"/>
      <c r="J820" s="45"/>
      <c r="K820" s="45"/>
      <c r="L820" s="45"/>
      <c r="M820" s="45"/>
      <c r="N820" s="45"/>
      <c r="O820" s="21"/>
      <c r="P820" s="21"/>
      <c r="Q820" s="21"/>
      <c r="R820" s="25" t="str">
        <f t="shared" si="13"/>
        <v/>
      </c>
    </row>
    <row r="821" spans="1:18">
      <c r="A821" s="28"/>
      <c r="B821" s="48"/>
      <c r="C821" s="48"/>
      <c r="D821" s="21"/>
      <c r="E821" s="21"/>
      <c r="F821" s="21"/>
      <c r="G821" s="21"/>
      <c r="H821" s="21"/>
      <c r="I821" s="21"/>
      <c r="J821" s="45"/>
      <c r="K821" s="45"/>
      <c r="L821" s="45"/>
      <c r="M821" s="45"/>
      <c r="N821" s="45"/>
      <c r="O821" s="21"/>
      <c r="P821" s="21"/>
      <c r="Q821" s="21"/>
      <c r="R821" s="25" t="str">
        <f t="shared" si="13"/>
        <v/>
      </c>
    </row>
    <row r="822" spans="1:18">
      <c r="A822" s="28"/>
      <c r="B822" s="48"/>
      <c r="C822" s="48"/>
      <c r="D822" s="21"/>
      <c r="E822" s="21"/>
      <c r="F822" s="21"/>
      <c r="G822" s="21"/>
      <c r="H822" s="21"/>
      <c r="I822" s="21"/>
      <c r="J822" s="45"/>
      <c r="K822" s="45"/>
      <c r="L822" s="45"/>
      <c r="M822" s="45"/>
      <c r="N822" s="45"/>
      <c r="O822" s="21"/>
      <c r="P822" s="21"/>
      <c r="Q822" s="21"/>
      <c r="R822" s="25" t="str">
        <f t="shared" si="13"/>
        <v/>
      </c>
    </row>
    <row r="823" spans="1:18">
      <c r="A823" s="28"/>
      <c r="B823" s="48"/>
      <c r="C823" s="48"/>
      <c r="D823" s="21"/>
      <c r="E823" s="21"/>
      <c r="F823" s="21"/>
      <c r="G823" s="21"/>
      <c r="H823" s="21"/>
      <c r="I823" s="21"/>
      <c r="J823" s="45"/>
      <c r="K823" s="45"/>
      <c r="L823" s="45"/>
      <c r="M823" s="45"/>
      <c r="N823" s="45"/>
      <c r="O823" s="21"/>
      <c r="P823" s="21"/>
      <c r="Q823" s="21"/>
      <c r="R823" s="25" t="str">
        <f t="shared" si="13"/>
        <v/>
      </c>
    </row>
    <row r="824" spans="1:18">
      <c r="A824" s="28"/>
      <c r="B824" s="48"/>
      <c r="C824" s="48"/>
      <c r="D824" s="21"/>
      <c r="E824" s="21"/>
      <c r="F824" s="21"/>
      <c r="G824" s="21"/>
      <c r="H824" s="21"/>
      <c r="I824" s="21"/>
      <c r="J824" s="45"/>
      <c r="K824" s="45"/>
      <c r="L824" s="45"/>
      <c r="M824" s="45"/>
      <c r="N824" s="45"/>
      <c r="O824" s="21"/>
      <c r="P824" s="21"/>
      <c r="Q824" s="21"/>
      <c r="R824" s="25" t="str">
        <f t="shared" si="13"/>
        <v/>
      </c>
    </row>
    <row r="825" spans="1:18">
      <c r="A825" s="28"/>
      <c r="B825" s="48"/>
      <c r="C825" s="48"/>
      <c r="D825" s="21"/>
      <c r="E825" s="21"/>
      <c r="F825" s="21"/>
      <c r="G825" s="21"/>
      <c r="H825" s="21"/>
      <c r="I825" s="21"/>
      <c r="J825" s="45"/>
      <c r="K825" s="45"/>
      <c r="L825" s="45"/>
      <c r="M825" s="45"/>
      <c r="N825" s="45"/>
      <c r="O825" s="21"/>
      <c r="P825" s="21"/>
      <c r="Q825" s="21"/>
      <c r="R825" s="25" t="str">
        <f t="shared" si="13"/>
        <v/>
      </c>
    </row>
    <row r="826" spans="1:18">
      <c r="A826" s="28"/>
      <c r="B826" s="48"/>
      <c r="C826" s="48"/>
      <c r="D826" s="21"/>
      <c r="E826" s="21"/>
      <c r="F826" s="21"/>
      <c r="G826" s="21"/>
      <c r="H826" s="21"/>
      <c r="I826" s="21"/>
      <c r="J826" s="45"/>
      <c r="K826" s="45"/>
      <c r="L826" s="45"/>
      <c r="M826" s="45"/>
      <c r="N826" s="45"/>
      <c r="O826" s="21"/>
      <c r="P826" s="21"/>
      <c r="Q826" s="21"/>
      <c r="R826" s="25" t="str">
        <f t="shared" si="13"/>
        <v/>
      </c>
    </row>
    <row r="827" spans="1:18">
      <c r="A827" s="28"/>
      <c r="B827" s="48"/>
      <c r="C827" s="48"/>
      <c r="D827" s="21"/>
      <c r="E827" s="21"/>
      <c r="F827" s="21"/>
      <c r="G827" s="21"/>
      <c r="H827" s="21"/>
      <c r="I827" s="21"/>
      <c r="J827" s="45"/>
      <c r="K827" s="45"/>
      <c r="L827" s="45"/>
      <c r="M827" s="45"/>
      <c r="N827" s="45"/>
      <c r="O827" s="21"/>
      <c r="P827" s="21"/>
      <c r="Q827" s="21"/>
      <c r="R827" s="25" t="str">
        <f t="shared" si="13"/>
        <v/>
      </c>
    </row>
    <row r="828" spans="1:18">
      <c r="A828" s="28"/>
      <c r="B828" s="48"/>
      <c r="C828" s="48"/>
      <c r="D828" s="21"/>
      <c r="E828" s="21"/>
      <c r="F828" s="21"/>
      <c r="G828" s="21"/>
      <c r="H828" s="21"/>
      <c r="I828" s="21"/>
      <c r="J828" s="45"/>
      <c r="K828" s="45"/>
      <c r="L828" s="45"/>
      <c r="M828" s="45"/>
      <c r="N828" s="45"/>
      <c r="O828" s="21"/>
      <c r="P828" s="21"/>
      <c r="Q828" s="21"/>
      <c r="R828" s="25" t="str">
        <f t="shared" si="13"/>
        <v/>
      </c>
    </row>
    <row r="829" spans="1:18">
      <c r="A829" s="28"/>
      <c r="B829" s="48"/>
      <c r="C829" s="48"/>
      <c r="D829" s="21"/>
      <c r="E829" s="21"/>
      <c r="F829" s="21"/>
      <c r="G829" s="21"/>
      <c r="H829" s="21"/>
      <c r="I829" s="21"/>
      <c r="J829" s="45"/>
      <c r="K829" s="45"/>
      <c r="L829" s="45"/>
      <c r="M829" s="45"/>
      <c r="N829" s="45"/>
      <c r="O829" s="21"/>
      <c r="P829" s="21"/>
      <c r="Q829" s="21"/>
      <c r="R829" s="25" t="str">
        <f t="shared" si="13"/>
        <v/>
      </c>
    </row>
    <row r="830" spans="1:18">
      <c r="A830" s="28"/>
      <c r="B830" s="48"/>
      <c r="C830" s="48"/>
      <c r="D830" s="21"/>
      <c r="E830" s="21"/>
      <c r="F830" s="21"/>
      <c r="G830" s="21"/>
      <c r="H830" s="21"/>
      <c r="I830" s="21"/>
      <c r="J830" s="45"/>
      <c r="K830" s="45"/>
      <c r="L830" s="45"/>
      <c r="M830" s="45"/>
      <c r="N830" s="45"/>
      <c r="O830" s="21"/>
      <c r="P830" s="21"/>
      <c r="Q830" s="21"/>
      <c r="R830" s="25" t="str">
        <f t="shared" si="13"/>
        <v/>
      </c>
    </row>
    <row r="831" spans="1:18">
      <c r="A831" s="28"/>
      <c r="B831" s="48"/>
      <c r="C831" s="48"/>
      <c r="D831" s="21"/>
      <c r="E831" s="21"/>
      <c r="F831" s="21"/>
      <c r="G831" s="21"/>
      <c r="H831" s="21"/>
      <c r="I831" s="21"/>
      <c r="J831" s="45"/>
      <c r="K831" s="45"/>
      <c r="L831" s="45"/>
      <c r="M831" s="45"/>
      <c r="N831" s="45"/>
      <c r="O831" s="21"/>
      <c r="P831" s="21"/>
      <c r="Q831" s="21"/>
      <c r="R831" s="25" t="str">
        <f t="shared" si="13"/>
        <v/>
      </c>
    </row>
    <row r="832" spans="1:18">
      <c r="A832" s="28"/>
      <c r="B832" s="48"/>
      <c r="C832" s="48"/>
      <c r="D832" s="21"/>
      <c r="E832" s="21"/>
      <c r="F832" s="21"/>
      <c r="G832" s="21"/>
      <c r="H832" s="21"/>
      <c r="I832" s="21"/>
      <c r="J832" s="45"/>
      <c r="K832" s="45"/>
      <c r="L832" s="45"/>
      <c r="M832" s="45"/>
      <c r="N832" s="45"/>
      <c r="O832" s="21"/>
      <c r="P832" s="21"/>
      <c r="Q832" s="21"/>
      <c r="R832" s="25" t="str">
        <f t="shared" si="13"/>
        <v/>
      </c>
    </row>
    <row r="833" spans="1:18">
      <c r="A833" s="28"/>
      <c r="B833" s="48"/>
      <c r="C833" s="48"/>
      <c r="D833" s="21"/>
      <c r="E833" s="21"/>
      <c r="F833" s="21"/>
      <c r="G833" s="21"/>
      <c r="H833" s="21"/>
      <c r="I833" s="21"/>
      <c r="J833" s="45"/>
      <c r="K833" s="45"/>
      <c r="L833" s="45"/>
      <c r="M833" s="45"/>
      <c r="N833" s="45"/>
      <c r="O833" s="21"/>
      <c r="P833" s="21"/>
      <c r="Q833" s="21"/>
      <c r="R833" s="25" t="str">
        <f t="shared" si="13"/>
        <v/>
      </c>
    </row>
    <row r="834" spans="1:18">
      <c r="A834" s="28"/>
      <c r="B834" s="48"/>
      <c r="C834" s="48"/>
      <c r="D834" s="21"/>
      <c r="E834" s="21"/>
      <c r="F834" s="21"/>
      <c r="G834" s="21"/>
      <c r="H834" s="21"/>
      <c r="I834" s="21"/>
      <c r="J834" s="45"/>
      <c r="K834" s="45"/>
      <c r="L834" s="45"/>
      <c r="M834" s="45"/>
      <c r="N834" s="45"/>
      <c r="O834" s="21"/>
      <c r="P834" s="21"/>
      <c r="Q834" s="21"/>
      <c r="R834" s="25" t="str">
        <f t="shared" si="13"/>
        <v/>
      </c>
    </row>
    <row r="835" spans="1:18">
      <c r="A835" s="28"/>
      <c r="B835" s="48"/>
      <c r="C835" s="48"/>
      <c r="D835" s="21"/>
      <c r="E835" s="21"/>
      <c r="F835" s="21"/>
      <c r="G835" s="21"/>
      <c r="H835" s="21"/>
      <c r="I835" s="21"/>
      <c r="J835" s="45"/>
      <c r="K835" s="45"/>
      <c r="L835" s="45"/>
      <c r="M835" s="45"/>
      <c r="N835" s="45"/>
      <c r="O835" s="21"/>
      <c r="P835" s="21"/>
      <c r="Q835" s="21"/>
      <c r="R835" s="25" t="str">
        <f t="shared" si="13"/>
        <v/>
      </c>
    </row>
    <row r="836" spans="1:18">
      <c r="A836" s="28"/>
      <c r="B836" s="48"/>
      <c r="C836" s="48"/>
      <c r="D836" s="21"/>
      <c r="E836" s="21"/>
      <c r="F836" s="21"/>
      <c r="G836" s="21"/>
      <c r="H836" s="21"/>
      <c r="I836" s="21"/>
      <c r="J836" s="45"/>
      <c r="K836" s="45"/>
      <c r="L836" s="45"/>
      <c r="M836" s="45"/>
      <c r="N836" s="45"/>
      <c r="O836" s="21"/>
      <c r="P836" s="21"/>
      <c r="Q836" s="21"/>
      <c r="R836" s="25" t="str">
        <f t="shared" si="13"/>
        <v/>
      </c>
    </row>
    <row r="837" spans="1:18">
      <c r="A837" s="28"/>
      <c r="B837" s="48"/>
      <c r="C837" s="48"/>
      <c r="D837" s="21"/>
      <c r="E837" s="21"/>
      <c r="F837" s="21"/>
      <c r="G837" s="21"/>
      <c r="H837" s="21"/>
      <c r="I837" s="21"/>
      <c r="J837" s="45"/>
      <c r="K837" s="45"/>
      <c r="L837" s="45"/>
      <c r="M837" s="45"/>
      <c r="N837" s="45"/>
      <c r="O837" s="21"/>
      <c r="P837" s="21"/>
      <c r="Q837" s="21"/>
      <c r="R837" s="25" t="str">
        <f t="shared" si="13"/>
        <v/>
      </c>
    </row>
    <row r="838" spans="1:18">
      <c r="A838" s="28"/>
      <c r="B838" s="48"/>
      <c r="C838" s="48"/>
      <c r="D838" s="21"/>
      <c r="E838" s="21"/>
      <c r="F838" s="21"/>
      <c r="G838" s="21"/>
      <c r="H838" s="21"/>
      <c r="I838" s="21"/>
      <c r="J838" s="45"/>
      <c r="K838" s="45"/>
      <c r="L838" s="45"/>
      <c r="M838" s="45"/>
      <c r="N838" s="45"/>
      <c r="O838" s="21"/>
      <c r="P838" s="21"/>
      <c r="Q838" s="21"/>
      <c r="R838" s="25" t="str">
        <f t="shared" si="13"/>
        <v/>
      </c>
    </row>
    <row r="839" spans="1:18">
      <c r="A839" s="28"/>
      <c r="B839" s="48"/>
      <c r="C839" s="48"/>
      <c r="D839" s="21"/>
      <c r="E839" s="21"/>
      <c r="F839" s="21"/>
      <c r="G839" s="21"/>
      <c r="H839" s="21"/>
      <c r="I839" s="21"/>
      <c r="J839" s="45"/>
      <c r="K839" s="45"/>
      <c r="L839" s="45"/>
      <c r="M839" s="45"/>
      <c r="N839" s="45"/>
      <c r="O839" s="21"/>
      <c r="P839" s="21"/>
      <c r="Q839" s="21"/>
      <c r="R839" s="25" t="str">
        <f t="shared" si="13"/>
        <v/>
      </c>
    </row>
    <row r="840" spans="1:18">
      <c r="A840" s="28"/>
      <c r="B840" s="48"/>
      <c r="C840" s="48"/>
      <c r="D840" s="21"/>
      <c r="E840" s="21"/>
      <c r="F840" s="21"/>
      <c r="G840" s="21"/>
      <c r="H840" s="21"/>
      <c r="I840" s="21"/>
      <c r="J840" s="45"/>
      <c r="K840" s="45"/>
      <c r="L840" s="45"/>
      <c r="M840" s="45"/>
      <c r="N840" s="45"/>
      <c r="O840" s="21"/>
      <c r="P840" s="21"/>
      <c r="Q840" s="21"/>
      <c r="R840" s="25" t="str">
        <f t="shared" si="13"/>
        <v/>
      </c>
    </row>
    <row r="841" spans="1:18">
      <c r="A841" s="28"/>
      <c r="B841" s="48"/>
      <c r="C841" s="48"/>
      <c r="D841" s="21"/>
      <c r="E841" s="21"/>
      <c r="F841" s="21"/>
      <c r="G841" s="21"/>
      <c r="H841" s="21"/>
      <c r="I841" s="21"/>
      <c r="J841" s="45"/>
      <c r="K841" s="45"/>
      <c r="L841" s="45"/>
      <c r="M841" s="45"/>
      <c r="N841" s="45"/>
      <c r="O841" s="21"/>
      <c r="P841" s="21"/>
      <c r="Q841" s="21"/>
      <c r="R841" s="25" t="str">
        <f t="shared" si="13"/>
        <v/>
      </c>
    </row>
    <row r="842" spans="1:18">
      <c r="A842" s="28"/>
      <c r="B842" s="48"/>
      <c r="C842" s="48"/>
      <c r="D842" s="21"/>
      <c r="E842" s="21"/>
      <c r="F842" s="21"/>
      <c r="G842" s="21"/>
      <c r="H842" s="21"/>
      <c r="I842" s="21"/>
      <c r="J842" s="45"/>
      <c r="K842" s="45"/>
      <c r="L842" s="45"/>
      <c r="M842" s="45"/>
      <c r="N842" s="45"/>
      <c r="O842" s="21"/>
      <c r="P842" s="21"/>
      <c r="Q842" s="21"/>
      <c r="R842" s="25" t="str">
        <f t="shared" si="13"/>
        <v/>
      </c>
    </row>
    <row r="843" spans="1:18">
      <c r="A843" s="28"/>
      <c r="B843" s="48"/>
      <c r="C843" s="48"/>
      <c r="D843" s="21"/>
      <c r="E843" s="21"/>
      <c r="F843" s="21"/>
      <c r="G843" s="21"/>
      <c r="H843" s="21"/>
      <c r="I843" s="21"/>
      <c r="J843" s="45"/>
      <c r="K843" s="45"/>
      <c r="L843" s="45"/>
      <c r="M843" s="45"/>
      <c r="N843" s="45"/>
      <c r="O843" s="21"/>
      <c r="P843" s="21"/>
      <c r="Q843" s="21"/>
      <c r="R843" s="25" t="str">
        <f t="shared" si="13"/>
        <v/>
      </c>
    </row>
    <row r="844" spans="1:18">
      <c r="A844" s="28"/>
      <c r="B844" s="48"/>
      <c r="C844" s="48"/>
      <c r="D844" s="21"/>
      <c r="E844" s="21"/>
      <c r="F844" s="21"/>
      <c r="G844" s="21"/>
      <c r="H844" s="21"/>
      <c r="I844" s="21"/>
      <c r="J844" s="45"/>
      <c r="K844" s="45"/>
      <c r="L844" s="45"/>
      <c r="M844" s="45"/>
      <c r="N844" s="45"/>
      <c r="O844" s="21"/>
      <c r="P844" s="21"/>
      <c r="Q844" s="21"/>
      <c r="R844" s="25" t="str">
        <f t="shared" si="13"/>
        <v/>
      </c>
    </row>
    <row r="845" spans="1:18">
      <c r="A845" s="28"/>
      <c r="B845" s="48"/>
      <c r="C845" s="48"/>
      <c r="D845" s="21"/>
      <c r="E845" s="21"/>
      <c r="F845" s="21"/>
      <c r="G845" s="21"/>
      <c r="H845" s="21"/>
      <c r="I845" s="21"/>
      <c r="J845" s="45"/>
      <c r="K845" s="45"/>
      <c r="L845" s="45"/>
      <c r="M845" s="45"/>
      <c r="N845" s="45"/>
      <c r="O845" s="21"/>
      <c r="P845" s="21"/>
      <c r="Q845" s="21"/>
      <c r="R845" s="25" t="str">
        <f t="shared" si="13"/>
        <v/>
      </c>
    </row>
    <row r="846" spans="1:18">
      <c r="A846" s="28"/>
      <c r="B846" s="48"/>
      <c r="C846" s="48"/>
      <c r="D846" s="21"/>
      <c r="E846" s="21"/>
      <c r="F846" s="21"/>
      <c r="G846" s="21"/>
      <c r="H846" s="21"/>
      <c r="I846" s="21"/>
      <c r="J846" s="45"/>
      <c r="K846" s="45"/>
      <c r="L846" s="45"/>
      <c r="M846" s="45"/>
      <c r="N846" s="45"/>
      <c r="O846" s="21"/>
      <c r="P846" s="21"/>
      <c r="Q846" s="21"/>
      <c r="R846" s="25" t="str">
        <f t="shared" si="13"/>
        <v/>
      </c>
    </row>
    <row r="847" spans="1:18">
      <c r="A847" s="28"/>
      <c r="B847" s="48"/>
      <c r="C847" s="48"/>
      <c r="D847" s="21"/>
      <c r="E847" s="21"/>
      <c r="F847" s="21"/>
      <c r="G847" s="21"/>
      <c r="H847" s="21"/>
      <c r="I847" s="21"/>
      <c r="J847" s="45"/>
      <c r="K847" s="45"/>
      <c r="L847" s="45"/>
      <c r="M847" s="45"/>
      <c r="N847" s="45"/>
      <c r="O847" s="21"/>
      <c r="P847" s="21"/>
      <c r="Q847" s="21"/>
      <c r="R847" s="25" t="str">
        <f t="shared" si="13"/>
        <v/>
      </c>
    </row>
    <row r="848" spans="1:18">
      <c r="A848" s="28"/>
      <c r="B848" s="48"/>
      <c r="C848" s="48"/>
      <c r="D848" s="21"/>
      <c r="E848" s="21"/>
      <c r="F848" s="21"/>
      <c r="G848" s="21"/>
      <c r="H848" s="21"/>
      <c r="I848" s="21"/>
      <c r="J848" s="45"/>
      <c r="K848" s="45"/>
      <c r="L848" s="45"/>
      <c r="M848" s="45"/>
      <c r="N848" s="45"/>
      <c r="O848" s="21"/>
      <c r="P848" s="21"/>
      <c r="Q848" s="21"/>
      <c r="R848" s="25" t="str">
        <f t="shared" si="13"/>
        <v/>
      </c>
    </row>
    <row r="849" spans="1:18">
      <c r="A849" s="28"/>
      <c r="B849" s="48"/>
      <c r="C849" s="48"/>
      <c r="D849" s="21"/>
      <c r="E849" s="21"/>
      <c r="F849" s="21"/>
      <c r="G849" s="21"/>
      <c r="H849" s="21"/>
      <c r="I849" s="21"/>
      <c r="J849" s="45"/>
      <c r="K849" s="45"/>
      <c r="L849" s="45"/>
      <c r="M849" s="45"/>
      <c r="N849" s="45"/>
      <c r="O849" s="21"/>
      <c r="P849" s="21"/>
      <c r="Q849" s="21"/>
      <c r="R849" s="25" t="str">
        <f t="shared" si="13"/>
        <v/>
      </c>
    </row>
    <row r="850" spans="1:18">
      <c r="A850" s="28"/>
      <c r="B850" s="48"/>
      <c r="C850" s="48"/>
      <c r="D850" s="21"/>
      <c r="E850" s="21"/>
      <c r="F850" s="21"/>
      <c r="G850" s="21"/>
      <c r="H850" s="21"/>
      <c r="I850" s="21"/>
      <c r="J850" s="45"/>
      <c r="K850" s="45"/>
      <c r="L850" s="45"/>
      <c r="M850" s="45"/>
      <c r="N850" s="45"/>
      <c r="O850" s="21"/>
      <c r="P850" s="21"/>
      <c r="Q850" s="21"/>
      <c r="R850" s="25" t="str">
        <f t="shared" si="13"/>
        <v/>
      </c>
    </row>
    <row r="851" spans="1:18">
      <c r="A851" s="28"/>
      <c r="B851" s="48"/>
      <c r="C851" s="48"/>
      <c r="D851" s="21"/>
      <c r="E851" s="21"/>
      <c r="F851" s="21"/>
      <c r="G851" s="21"/>
      <c r="H851" s="21"/>
      <c r="I851" s="21"/>
      <c r="J851" s="45"/>
      <c r="K851" s="45"/>
      <c r="L851" s="45"/>
      <c r="M851" s="45"/>
      <c r="N851" s="45"/>
      <c r="O851" s="21"/>
      <c r="P851" s="21"/>
      <c r="Q851" s="21"/>
      <c r="R851" s="25" t="str">
        <f t="shared" si="13"/>
        <v/>
      </c>
    </row>
    <row r="852" spans="1:18">
      <c r="A852" s="28"/>
      <c r="B852" s="48"/>
      <c r="C852" s="48"/>
      <c r="D852" s="21"/>
      <c r="E852" s="21"/>
      <c r="F852" s="21"/>
      <c r="G852" s="21"/>
      <c r="H852" s="21"/>
      <c r="I852" s="21"/>
      <c r="J852" s="45"/>
      <c r="K852" s="45"/>
      <c r="L852" s="45"/>
      <c r="M852" s="45"/>
      <c r="N852" s="45"/>
      <c r="O852" s="21"/>
      <c r="P852" s="21"/>
      <c r="Q852" s="21"/>
      <c r="R852" s="25" t="str">
        <f t="shared" si="13"/>
        <v/>
      </c>
    </row>
    <row r="853" spans="1:18">
      <c r="A853" s="28"/>
      <c r="B853" s="48"/>
      <c r="C853" s="48"/>
      <c r="D853" s="21"/>
      <c r="E853" s="21"/>
      <c r="F853" s="21"/>
      <c r="G853" s="21"/>
      <c r="H853" s="21"/>
      <c r="I853" s="21"/>
      <c r="J853" s="45"/>
      <c r="K853" s="45"/>
      <c r="L853" s="45"/>
      <c r="M853" s="45"/>
      <c r="N853" s="45"/>
      <c r="O853" s="21"/>
      <c r="P853" s="21"/>
      <c r="Q853" s="21"/>
      <c r="R853" s="25" t="str">
        <f t="shared" si="13"/>
        <v/>
      </c>
    </row>
    <row r="854" spans="1:18">
      <c r="A854" s="28"/>
      <c r="B854" s="48"/>
      <c r="C854" s="48"/>
      <c r="D854" s="21"/>
      <c r="E854" s="21"/>
      <c r="F854" s="21"/>
      <c r="G854" s="21"/>
      <c r="H854" s="21"/>
      <c r="I854" s="21"/>
      <c r="J854" s="45"/>
      <c r="K854" s="45"/>
      <c r="L854" s="45"/>
      <c r="M854" s="45"/>
      <c r="N854" s="45"/>
      <c r="O854" s="21"/>
      <c r="P854" s="21"/>
      <c r="Q854" s="21"/>
      <c r="R854" s="25" t="str">
        <f t="shared" si="13"/>
        <v/>
      </c>
    </row>
    <row r="855" spans="1:18">
      <c r="A855" s="28"/>
      <c r="B855" s="48"/>
      <c r="C855" s="48"/>
      <c r="D855" s="21"/>
      <c r="E855" s="21"/>
      <c r="F855" s="21"/>
      <c r="G855" s="21"/>
      <c r="H855" s="21"/>
      <c r="I855" s="21"/>
      <c r="J855" s="45"/>
      <c r="K855" s="45"/>
      <c r="L855" s="45"/>
      <c r="M855" s="45"/>
      <c r="N855" s="45"/>
      <c r="O855" s="21"/>
      <c r="P855" s="21"/>
      <c r="Q855" s="21"/>
      <c r="R855" s="25" t="str">
        <f t="shared" si="13"/>
        <v/>
      </c>
    </row>
    <row r="856" spans="1:18">
      <c r="A856" s="28"/>
      <c r="B856" s="48"/>
      <c r="C856" s="48"/>
      <c r="D856" s="21"/>
      <c r="E856" s="21"/>
      <c r="F856" s="21"/>
      <c r="G856" s="21"/>
      <c r="H856" s="21"/>
      <c r="I856" s="21"/>
      <c r="J856" s="45"/>
      <c r="K856" s="45"/>
      <c r="L856" s="45"/>
      <c r="M856" s="45"/>
      <c r="N856" s="45"/>
      <c r="O856" s="21"/>
      <c r="P856" s="21"/>
      <c r="Q856" s="21"/>
      <c r="R856" s="25" t="str">
        <f t="shared" si="13"/>
        <v/>
      </c>
    </row>
    <row r="857" spans="1:18">
      <c r="A857" s="28"/>
      <c r="B857" s="48"/>
      <c r="C857" s="48"/>
      <c r="D857" s="21"/>
      <c r="E857" s="21"/>
      <c r="F857" s="21"/>
      <c r="G857" s="21"/>
      <c r="H857" s="21"/>
      <c r="I857" s="21"/>
      <c r="J857" s="45"/>
      <c r="K857" s="45"/>
      <c r="L857" s="45"/>
      <c r="M857" s="45"/>
      <c r="N857" s="45"/>
      <c r="O857" s="21"/>
      <c r="P857" s="21"/>
      <c r="Q857" s="21"/>
      <c r="R857" s="25" t="str">
        <f t="shared" si="13"/>
        <v/>
      </c>
    </row>
    <row r="858" spans="1:18">
      <c r="A858" s="28"/>
      <c r="B858" s="48"/>
      <c r="C858" s="48"/>
      <c r="D858" s="21"/>
      <c r="E858" s="21"/>
      <c r="F858" s="21"/>
      <c r="G858" s="21"/>
      <c r="H858" s="21"/>
      <c r="I858" s="21"/>
      <c r="J858" s="45"/>
      <c r="K858" s="45"/>
      <c r="L858" s="45"/>
      <c r="M858" s="45"/>
      <c r="N858" s="45"/>
      <c r="O858" s="21"/>
      <c r="P858" s="21"/>
      <c r="Q858" s="21"/>
      <c r="R858" s="25" t="str">
        <f t="shared" si="13"/>
        <v/>
      </c>
    </row>
    <row r="859" spans="1:18">
      <c r="A859" s="28"/>
      <c r="B859" s="48"/>
      <c r="C859" s="48"/>
      <c r="D859" s="21"/>
      <c r="E859" s="21"/>
      <c r="F859" s="21"/>
      <c r="G859" s="21"/>
      <c r="H859" s="21"/>
      <c r="I859" s="21"/>
      <c r="J859" s="45"/>
      <c r="K859" s="45"/>
      <c r="L859" s="45"/>
      <c r="M859" s="45"/>
      <c r="N859" s="45"/>
      <c r="O859" s="21"/>
      <c r="P859" s="21"/>
      <c r="Q859" s="21"/>
      <c r="R859" s="25" t="str">
        <f t="shared" si="13"/>
        <v/>
      </c>
    </row>
    <row r="860" spans="1:18">
      <c r="A860" s="28"/>
      <c r="B860" s="48"/>
      <c r="C860" s="48"/>
      <c r="D860" s="21"/>
      <c r="E860" s="21"/>
      <c r="F860" s="21"/>
      <c r="G860" s="21"/>
      <c r="H860" s="21"/>
      <c r="I860" s="21"/>
      <c r="J860" s="45"/>
      <c r="K860" s="45"/>
      <c r="L860" s="45"/>
      <c r="M860" s="45"/>
      <c r="N860" s="45"/>
      <c r="O860" s="21"/>
      <c r="P860" s="21"/>
      <c r="Q860" s="21"/>
      <c r="R860" s="25" t="str">
        <f t="shared" si="13"/>
        <v/>
      </c>
    </row>
    <row r="861" spans="1:18">
      <c r="A861" s="28"/>
      <c r="B861" s="48"/>
      <c r="C861" s="48"/>
      <c r="D861" s="21"/>
      <c r="E861" s="21"/>
      <c r="F861" s="21"/>
      <c r="G861" s="21"/>
      <c r="H861" s="21"/>
      <c r="I861" s="21"/>
      <c r="J861" s="45"/>
      <c r="K861" s="45"/>
      <c r="L861" s="45"/>
      <c r="M861" s="45"/>
      <c r="N861" s="45"/>
      <c r="O861" s="21"/>
      <c r="P861" s="21"/>
      <c r="Q861" s="21"/>
      <c r="R861" s="25" t="str">
        <f t="shared" si="13"/>
        <v/>
      </c>
    </row>
    <row r="862" spans="1:18">
      <c r="A862" s="28"/>
      <c r="B862" s="48"/>
      <c r="C862" s="48"/>
      <c r="D862" s="21"/>
      <c r="E862" s="21"/>
      <c r="F862" s="21"/>
      <c r="G862" s="21"/>
      <c r="H862" s="21"/>
      <c r="I862" s="21"/>
      <c r="J862" s="45"/>
      <c r="K862" s="45"/>
      <c r="L862" s="45"/>
      <c r="M862" s="45"/>
      <c r="N862" s="45"/>
      <c r="O862" s="21"/>
      <c r="P862" s="21"/>
      <c r="Q862" s="21"/>
      <c r="R862" s="25" t="str">
        <f t="shared" si="13"/>
        <v/>
      </c>
    </row>
    <row r="863" spans="1:18">
      <c r="A863" s="28"/>
      <c r="B863" s="48"/>
      <c r="C863" s="48"/>
      <c r="D863" s="21"/>
      <c r="E863" s="21"/>
      <c r="F863" s="21"/>
      <c r="G863" s="21"/>
      <c r="H863" s="21"/>
      <c r="I863" s="21"/>
      <c r="J863" s="45"/>
      <c r="K863" s="45"/>
      <c r="L863" s="45"/>
      <c r="M863" s="45"/>
      <c r="N863" s="45"/>
      <c r="O863" s="21"/>
      <c r="P863" s="21"/>
      <c r="Q863" s="21"/>
      <c r="R863" s="25" t="str">
        <f t="shared" si="13"/>
        <v/>
      </c>
    </row>
    <row r="864" spans="1:18">
      <c r="A864" s="28"/>
      <c r="B864" s="48"/>
      <c r="C864" s="48"/>
      <c r="D864" s="21"/>
      <c r="E864" s="21"/>
      <c r="F864" s="21"/>
      <c r="G864" s="21"/>
      <c r="H864" s="21"/>
      <c r="I864" s="21"/>
      <c r="J864" s="45"/>
      <c r="K864" s="45"/>
      <c r="L864" s="45"/>
      <c r="M864" s="45"/>
      <c r="N864" s="45"/>
      <c r="O864" s="21"/>
      <c r="P864" s="21"/>
      <c r="Q864" s="21"/>
      <c r="R864" s="25" t="str">
        <f t="shared" si="13"/>
        <v/>
      </c>
    </row>
    <row r="865" spans="1:18">
      <c r="A865" s="28"/>
      <c r="B865" s="48"/>
      <c r="C865" s="48"/>
      <c r="D865" s="21"/>
      <c r="E865" s="21"/>
      <c r="F865" s="21"/>
      <c r="G865" s="21"/>
      <c r="H865" s="21"/>
      <c r="I865" s="21"/>
      <c r="J865" s="45"/>
      <c r="K865" s="45"/>
      <c r="L865" s="45"/>
      <c r="M865" s="45"/>
      <c r="N865" s="45"/>
      <c r="O865" s="21"/>
      <c r="P865" s="21"/>
      <c r="Q865" s="21"/>
      <c r="R865" s="25" t="str">
        <f t="shared" si="13"/>
        <v/>
      </c>
    </row>
    <row r="866" spans="1:18">
      <c r="A866" s="28"/>
      <c r="B866" s="48"/>
      <c r="C866" s="48"/>
      <c r="D866" s="21"/>
      <c r="E866" s="21"/>
      <c r="F866" s="21"/>
      <c r="G866" s="21"/>
      <c r="H866" s="21"/>
      <c r="I866" s="21"/>
      <c r="J866" s="45"/>
      <c r="K866" s="45"/>
      <c r="L866" s="45"/>
      <c r="M866" s="45"/>
      <c r="N866" s="45"/>
      <c r="O866" s="21"/>
      <c r="P866" s="21"/>
      <c r="Q866" s="21"/>
      <c r="R866" s="25" t="str">
        <f t="shared" si="13"/>
        <v/>
      </c>
    </row>
    <row r="867" spans="1:18">
      <c r="A867" s="28"/>
      <c r="B867" s="48"/>
      <c r="C867" s="48"/>
      <c r="D867" s="21"/>
      <c r="E867" s="21"/>
      <c r="F867" s="21"/>
      <c r="G867" s="21"/>
      <c r="H867" s="21"/>
      <c r="I867" s="21"/>
      <c r="J867" s="45"/>
      <c r="K867" s="45"/>
      <c r="L867" s="45"/>
      <c r="M867" s="45"/>
      <c r="N867" s="45"/>
      <c r="O867" s="21"/>
      <c r="P867" s="21"/>
      <c r="Q867" s="21"/>
      <c r="R867" s="25" t="str">
        <f t="shared" si="13"/>
        <v/>
      </c>
    </row>
    <row r="868" spans="1:18">
      <c r="A868" s="28"/>
      <c r="B868" s="48"/>
      <c r="C868" s="48"/>
      <c r="D868" s="21"/>
      <c r="E868" s="21"/>
      <c r="F868" s="21"/>
      <c r="G868" s="21"/>
      <c r="H868" s="21"/>
      <c r="I868" s="21"/>
      <c r="J868" s="45"/>
      <c r="K868" s="45"/>
      <c r="L868" s="45"/>
      <c r="M868" s="45"/>
      <c r="N868" s="45"/>
      <c r="O868" s="21"/>
      <c r="P868" s="21"/>
      <c r="Q868" s="21"/>
      <c r="R868" s="25" t="str">
        <f t="shared" si="13"/>
        <v/>
      </c>
    </row>
    <row r="869" spans="1:18">
      <c r="A869" s="28"/>
      <c r="B869" s="48"/>
      <c r="C869" s="48"/>
      <c r="D869" s="21"/>
      <c r="E869" s="21"/>
      <c r="F869" s="21"/>
      <c r="G869" s="21"/>
      <c r="H869" s="21"/>
      <c r="I869" s="21"/>
      <c r="J869" s="45"/>
      <c r="K869" s="45"/>
      <c r="L869" s="45"/>
      <c r="M869" s="45"/>
      <c r="N869" s="45"/>
      <c r="O869" s="21"/>
      <c r="P869" s="21"/>
      <c r="Q869" s="21"/>
      <c r="R869" s="25" t="str">
        <f t="shared" si="13"/>
        <v/>
      </c>
    </row>
    <row r="870" spans="1:18">
      <c r="A870" s="28"/>
      <c r="B870" s="48"/>
      <c r="C870" s="48"/>
      <c r="D870" s="21"/>
      <c r="E870" s="21"/>
      <c r="F870" s="21"/>
      <c r="G870" s="21"/>
      <c r="H870" s="21"/>
      <c r="I870" s="21"/>
      <c r="J870" s="45"/>
      <c r="K870" s="45"/>
      <c r="L870" s="45"/>
      <c r="M870" s="45"/>
      <c r="N870" s="45"/>
      <c r="O870" s="21"/>
      <c r="P870" s="21"/>
      <c r="Q870" s="21"/>
      <c r="R870" s="25" t="str">
        <f t="shared" si="13"/>
        <v/>
      </c>
    </row>
    <row r="871" spans="1:18">
      <c r="A871" s="28"/>
      <c r="B871" s="48"/>
      <c r="C871" s="48"/>
      <c r="D871" s="21"/>
      <c r="E871" s="21"/>
      <c r="F871" s="21"/>
      <c r="G871" s="21"/>
      <c r="H871" s="21"/>
      <c r="I871" s="21"/>
      <c r="J871" s="45"/>
      <c r="K871" s="45"/>
      <c r="L871" s="45"/>
      <c r="M871" s="45"/>
      <c r="N871" s="45"/>
      <c r="O871" s="21"/>
      <c r="P871" s="21"/>
      <c r="Q871" s="21"/>
      <c r="R871" s="25" t="str">
        <f t="shared" si="13"/>
        <v/>
      </c>
    </row>
    <row r="872" spans="1:18">
      <c r="A872" s="28"/>
      <c r="B872" s="48"/>
      <c r="C872" s="48"/>
      <c r="D872" s="21"/>
      <c r="E872" s="21"/>
      <c r="F872" s="21"/>
      <c r="G872" s="21"/>
      <c r="H872" s="21"/>
      <c r="I872" s="21"/>
      <c r="J872" s="45"/>
      <c r="K872" s="45"/>
      <c r="L872" s="45"/>
      <c r="M872" s="45"/>
      <c r="N872" s="45"/>
      <c r="O872" s="21"/>
      <c r="P872" s="21"/>
      <c r="Q872" s="21"/>
      <c r="R872" s="25" t="str">
        <f t="shared" si="13"/>
        <v/>
      </c>
    </row>
    <row r="873" spans="1:18">
      <c r="A873" s="28"/>
      <c r="B873" s="48"/>
      <c r="C873" s="48"/>
      <c r="D873" s="21"/>
      <c r="E873" s="21"/>
      <c r="F873" s="21"/>
      <c r="G873" s="21"/>
      <c r="H873" s="21"/>
      <c r="I873" s="21"/>
      <c r="J873" s="45"/>
      <c r="K873" s="45"/>
      <c r="L873" s="45"/>
      <c r="M873" s="45"/>
      <c r="N873" s="45"/>
      <c r="O873" s="21"/>
      <c r="P873" s="21"/>
      <c r="Q873" s="21"/>
      <c r="R873" s="25" t="str">
        <f t="shared" si="13"/>
        <v/>
      </c>
    </row>
    <row r="874" spans="1:18">
      <c r="A874" s="28"/>
      <c r="B874" s="48"/>
      <c r="C874" s="48"/>
      <c r="D874" s="21"/>
      <c r="E874" s="21"/>
      <c r="F874" s="21"/>
      <c r="G874" s="21"/>
      <c r="H874" s="21"/>
      <c r="I874" s="21"/>
      <c r="J874" s="45"/>
      <c r="K874" s="45"/>
      <c r="L874" s="45"/>
      <c r="M874" s="45"/>
      <c r="N874" s="45"/>
      <c r="O874" s="21"/>
      <c r="P874" s="21"/>
      <c r="Q874" s="21"/>
      <c r="R874" s="25" t="str">
        <f t="shared" si="13"/>
        <v/>
      </c>
    </row>
    <row r="875" spans="1:18">
      <c r="A875" s="28"/>
      <c r="B875" s="48"/>
      <c r="C875" s="48"/>
      <c r="D875" s="21"/>
      <c r="E875" s="21"/>
      <c r="F875" s="21"/>
      <c r="G875" s="21"/>
      <c r="H875" s="21"/>
      <c r="I875" s="21"/>
      <c r="J875" s="45"/>
      <c r="K875" s="45"/>
      <c r="L875" s="45"/>
      <c r="M875" s="45"/>
      <c r="N875" s="45"/>
      <c r="O875" s="21"/>
      <c r="P875" s="21"/>
      <c r="Q875" s="21"/>
      <c r="R875" s="25" t="str">
        <f t="shared" si="13"/>
        <v/>
      </c>
    </row>
    <row r="876" spans="1:18">
      <c r="A876" s="28"/>
      <c r="B876" s="48"/>
      <c r="C876" s="48"/>
      <c r="D876" s="21"/>
      <c r="E876" s="21"/>
      <c r="F876" s="21"/>
      <c r="G876" s="21"/>
      <c r="H876" s="21"/>
      <c r="I876" s="21"/>
      <c r="J876" s="45"/>
      <c r="K876" s="45"/>
      <c r="L876" s="45"/>
      <c r="M876" s="45"/>
      <c r="N876" s="45"/>
      <c r="O876" s="21"/>
      <c r="P876" s="21"/>
      <c r="Q876" s="21"/>
      <c r="R876" s="25" t="str">
        <f t="shared" si="13"/>
        <v/>
      </c>
    </row>
    <row r="877" spans="1:18">
      <c r="A877" s="28"/>
      <c r="B877" s="48"/>
      <c r="C877" s="48"/>
      <c r="D877" s="21"/>
      <c r="E877" s="21"/>
      <c r="F877" s="21"/>
      <c r="G877" s="21"/>
      <c r="H877" s="21"/>
      <c r="I877" s="21"/>
      <c r="J877" s="45"/>
      <c r="K877" s="45"/>
      <c r="L877" s="45"/>
      <c r="M877" s="45"/>
      <c r="N877" s="45"/>
      <c r="O877" s="21"/>
      <c r="P877" s="21"/>
      <c r="Q877" s="21"/>
      <c r="R877" s="25" t="str">
        <f t="shared" si="13"/>
        <v/>
      </c>
    </row>
    <row r="878" spans="1:18">
      <c r="A878" s="28"/>
      <c r="B878" s="48"/>
      <c r="C878" s="48"/>
      <c r="D878" s="21"/>
      <c r="E878" s="21"/>
      <c r="F878" s="21"/>
      <c r="G878" s="21"/>
      <c r="H878" s="21"/>
      <c r="I878" s="21"/>
      <c r="J878" s="45"/>
      <c r="K878" s="45"/>
      <c r="L878" s="45"/>
      <c r="M878" s="45"/>
      <c r="N878" s="45"/>
      <c r="O878" s="21"/>
      <c r="P878" s="21"/>
      <c r="Q878" s="21"/>
      <c r="R878" s="25" t="str">
        <f t="shared" si="13"/>
        <v/>
      </c>
    </row>
    <row r="879" spans="1:18">
      <c r="A879" s="28"/>
      <c r="B879" s="48"/>
      <c r="C879" s="48"/>
      <c r="D879" s="21"/>
      <c r="E879" s="21"/>
      <c r="F879" s="21"/>
      <c r="G879" s="21"/>
      <c r="H879" s="21"/>
      <c r="I879" s="21"/>
      <c r="J879" s="45"/>
      <c r="K879" s="45"/>
      <c r="L879" s="45"/>
      <c r="M879" s="45"/>
      <c r="N879" s="45"/>
      <c r="O879" s="21"/>
      <c r="P879" s="21"/>
      <c r="Q879" s="21"/>
      <c r="R879" s="25" t="str">
        <f t="shared" si="13"/>
        <v/>
      </c>
    </row>
    <row r="880" spans="1:18">
      <c r="A880" s="28"/>
      <c r="B880" s="48"/>
      <c r="C880" s="48"/>
      <c r="D880" s="21"/>
      <c r="E880" s="21"/>
      <c r="F880" s="21"/>
      <c r="G880" s="21"/>
      <c r="H880" s="21"/>
      <c r="I880" s="21"/>
      <c r="J880" s="45"/>
      <c r="K880" s="45"/>
      <c r="L880" s="45"/>
      <c r="M880" s="45"/>
      <c r="N880" s="45"/>
      <c r="O880" s="21"/>
      <c r="P880" s="21"/>
      <c r="Q880" s="21"/>
      <c r="R880" s="25" t="str">
        <f t="shared" si="13"/>
        <v/>
      </c>
    </row>
    <row r="881" spans="1:18">
      <c r="A881" s="28"/>
      <c r="B881" s="48"/>
      <c r="C881" s="48"/>
      <c r="D881" s="21"/>
      <c r="E881" s="21"/>
      <c r="F881" s="21"/>
      <c r="G881" s="21"/>
      <c r="H881" s="21"/>
      <c r="I881" s="21"/>
      <c r="J881" s="45"/>
      <c r="K881" s="45"/>
      <c r="L881" s="45"/>
      <c r="M881" s="45"/>
      <c r="N881" s="45"/>
      <c r="O881" s="21"/>
      <c r="P881" s="21"/>
      <c r="Q881" s="21"/>
      <c r="R881" s="25" t="str">
        <f t="shared" si="13"/>
        <v/>
      </c>
    </row>
    <row r="882" spans="1:18">
      <c r="A882" s="28"/>
      <c r="B882" s="48"/>
      <c r="C882" s="48"/>
      <c r="D882" s="21"/>
      <c r="E882" s="21"/>
      <c r="F882" s="21"/>
      <c r="G882" s="21"/>
      <c r="H882" s="21"/>
      <c r="I882" s="21"/>
      <c r="J882" s="45"/>
      <c r="K882" s="45"/>
      <c r="L882" s="45"/>
      <c r="M882" s="45"/>
      <c r="N882" s="45"/>
      <c r="O882" s="21"/>
      <c r="P882" s="21"/>
      <c r="Q882" s="21"/>
      <c r="R882" s="25" t="str">
        <f t="shared" si="13"/>
        <v/>
      </c>
    </row>
    <row r="883" spans="1:18">
      <c r="A883" s="28"/>
      <c r="B883" s="48"/>
      <c r="C883" s="48"/>
      <c r="D883" s="21"/>
      <c r="E883" s="21"/>
      <c r="F883" s="21"/>
      <c r="G883" s="21"/>
      <c r="H883" s="21"/>
      <c r="I883" s="21"/>
      <c r="J883" s="45"/>
      <c r="K883" s="45"/>
      <c r="L883" s="45"/>
      <c r="M883" s="45"/>
      <c r="N883" s="45"/>
      <c r="O883" s="21"/>
      <c r="P883" s="21"/>
      <c r="Q883" s="21"/>
      <c r="R883" s="25" t="str">
        <f t="shared" ref="R883:R946" si="14">IF(COUNTIF($A$17:$A$2010,$A883)&gt;1,"Possible Duplicate","")</f>
        <v/>
      </c>
    </row>
    <row r="884" spans="1:18">
      <c r="A884" s="28"/>
      <c r="B884" s="48"/>
      <c r="C884" s="48"/>
      <c r="D884" s="21"/>
      <c r="E884" s="21"/>
      <c r="F884" s="21"/>
      <c r="G884" s="21"/>
      <c r="H884" s="21"/>
      <c r="I884" s="21"/>
      <c r="J884" s="45"/>
      <c r="K884" s="45"/>
      <c r="L884" s="45"/>
      <c r="M884" s="45"/>
      <c r="N884" s="45"/>
      <c r="O884" s="21"/>
      <c r="P884" s="21"/>
      <c r="Q884" s="21"/>
      <c r="R884" s="25" t="str">
        <f t="shared" si="14"/>
        <v/>
      </c>
    </row>
    <row r="885" spans="1:18">
      <c r="A885" s="28"/>
      <c r="B885" s="48"/>
      <c r="C885" s="48"/>
      <c r="D885" s="21"/>
      <c r="E885" s="21"/>
      <c r="F885" s="21"/>
      <c r="G885" s="21"/>
      <c r="H885" s="21"/>
      <c r="I885" s="21"/>
      <c r="J885" s="45"/>
      <c r="K885" s="45"/>
      <c r="L885" s="45"/>
      <c r="M885" s="45"/>
      <c r="N885" s="45"/>
      <c r="O885" s="21"/>
      <c r="P885" s="21"/>
      <c r="Q885" s="21"/>
      <c r="R885" s="25" t="str">
        <f t="shared" si="14"/>
        <v/>
      </c>
    </row>
    <row r="886" spans="1:18">
      <c r="A886" s="28"/>
      <c r="B886" s="48"/>
      <c r="C886" s="48"/>
      <c r="D886" s="21"/>
      <c r="E886" s="21"/>
      <c r="F886" s="21"/>
      <c r="G886" s="21"/>
      <c r="H886" s="21"/>
      <c r="I886" s="21"/>
      <c r="J886" s="45"/>
      <c r="K886" s="45"/>
      <c r="L886" s="45"/>
      <c r="M886" s="45"/>
      <c r="N886" s="45"/>
      <c r="O886" s="21"/>
      <c r="P886" s="21"/>
      <c r="Q886" s="21"/>
      <c r="R886" s="25" t="str">
        <f t="shared" si="14"/>
        <v/>
      </c>
    </row>
    <row r="887" spans="1:18">
      <c r="A887" s="28"/>
      <c r="B887" s="48"/>
      <c r="C887" s="48"/>
      <c r="D887" s="21"/>
      <c r="E887" s="21"/>
      <c r="F887" s="21"/>
      <c r="G887" s="21"/>
      <c r="H887" s="21"/>
      <c r="I887" s="21"/>
      <c r="J887" s="45"/>
      <c r="K887" s="45"/>
      <c r="L887" s="45"/>
      <c r="M887" s="45"/>
      <c r="N887" s="45"/>
      <c r="O887" s="21"/>
      <c r="P887" s="21"/>
      <c r="Q887" s="21"/>
      <c r="R887" s="25" t="str">
        <f t="shared" si="14"/>
        <v/>
      </c>
    </row>
    <row r="888" spans="1:18">
      <c r="A888" s="28"/>
      <c r="B888" s="48"/>
      <c r="C888" s="48"/>
      <c r="D888" s="21"/>
      <c r="E888" s="21"/>
      <c r="F888" s="21"/>
      <c r="G888" s="21"/>
      <c r="H888" s="21"/>
      <c r="I888" s="21"/>
      <c r="J888" s="45"/>
      <c r="K888" s="45"/>
      <c r="L888" s="45"/>
      <c r="M888" s="45"/>
      <c r="N888" s="45"/>
      <c r="O888" s="21"/>
      <c r="P888" s="21"/>
      <c r="Q888" s="21"/>
      <c r="R888" s="25" t="str">
        <f t="shared" si="14"/>
        <v/>
      </c>
    </row>
    <row r="889" spans="1:18">
      <c r="A889" s="28"/>
      <c r="B889" s="48"/>
      <c r="C889" s="48"/>
      <c r="D889" s="21"/>
      <c r="E889" s="21"/>
      <c r="F889" s="21"/>
      <c r="G889" s="21"/>
      <c r="H889" s="21"/>
      <c r="I889" s="21"/>
      <c r="J889" s="45"/>
      <c r="K889" s="45"/>
      <c r="L889" s="45"/>
      <c r="M889" s="45"/>
      <c r="N889" s="45"/>
      <c r="O889" s="21"/>
      <c r="P889" s="21"/>
      <c r="Q889" s="21"/>
      <c r="R889" s="25" t="str">
        <f t="shared" si="14"/>
        <v/>
      </c>
    </row>
    <row r="890" spans="1:18">
      <c r="A890" s="28"/>
      <c r="B890" s="48"/>
      <c r="C890" s="48"/>
      <c r="D890" s="21"/>
      <c r="E890" s="21"/>
      <c r="F890" s="21"/>
      <c r="G890" s="21"/>
      <c r="H890" s="21"/>
      <c r="I890" s="21"/>
      <c r="J890" s="45"/>
      <c r="K890" s="45"/>
      <c r="L890" s="45"/>
      <c r="M890" s="45"/>
      <c r="N890" s="45"/>
      <c r="O890" s="21"/>
      <c r="P890" s="21"/>
      <c r="Q890" s="21"/>
      <c r="R890" s="25" t="str">
        <f t="shared" si="14"/>
        <v/>
      </c>
    </row>
    <row r="891" spans="1:18">
      <c r="A891" s="28"/>
      <c r="B891" s="48"/>
      <c r="C891" s="48"/>
      <c r="D891" s="21"/>
      <c r="E891" s="21"/>
      <c r="F891" s="21"/>
      <c r="G891" s="21"/>
      <c r="H891" s="21"/>
      <c r="I891" s="21"/>
      <c r="J891" s="45"/>
      <c r="K891" s="45"/>
      <c r="L891" s="45"/>
      <c r="M891" s="45"/>
      <c r="N891" s="45"/>
      <c r="O891" s="21"/>
      <c r="P891" s="21"/>
      <c r="Q891" s="21"/>
      <c r="R891" s="25" t="str">
        <f t="shared" si="14"/>
        <v/>
      </c>
    </row>
    <row r="892" spans="1:18">
      <c r="A892" s="28"/>
      <c r="B892" s="48"/>
      <c r="C892" s="48"/>
      <c r="D892" s="21"/>
      <c r="E892" s="21"/>
      <c r="F892" s="21"/>
      <c r="G892" s="21"/>
      <c r="H892" s="21"/>
      <c r="I892" s="21"/>
      <c r="J892" s="45"/>
      <c r="K892" s="45"/>
      <c r="L892" s="45"/>
      <c r="M892" s="45"/>
      <c r="N892" s="45"/>
      <c r="O892" s="21"/>
      <c r="P892" s="21"/>
      <c r="Q892" s="21"/>
      <c r="R892" s="25" t="str">
        <f t="shared" si="14"/>
        <v/>
      </c>
    </row>
    <row r="893" spans="1:18">
      <c r="A893" s="28"/>
      <c r="B893" s="48"/>
      <c r="C893" s="48"/>
      <c r="D893" s="21"/>
      <c r="E893" s="21"/>
      <c r="F893" s="21"/>
      <c r="G893" s="21"/>
      <c r="H893" s="21"/>
      <c r="I893" s="21"/>
      <c r="J893" s="45"/>
      <c r="K893" s="45"/>
      <c r="L893" s="45"/>
      <c r="M893" s="45"/>
      <c r="N893" s="45"/>
      <c r="O893" s="21"/>
      <c r="P893" s="21"/>
      <c r="Q893" s="21"/>
      <c r="R893" s="25" t="str">
        <f t="shared" si="14"/>
        <v/>
      </c>
    </row>
    <row r="894" spans="1:18">
      <c r="A894" s="28"/>
      <c r="B894" s="48"/>
      <c r="C894" s="48"/>
      <c r="D894" s="21"/>
      <c r="E894" s="21"/>
      <c r="F894" s="21"/>
      <c r="G894" s="21"/>
      <c r="H894" s="21"/>
      <c r="I894" s="21"/>
      <c r="J894" s="45"/>
      <c r="K894" s="45"/>
      <c r="L894" s="45"/>
      <c r="M894" s="45"/>
      <c r="N894" s="45"/>
      <c r="O894" s="21"/>
      <c r="P894" s="21"/>
      <c r="Q894" s="21"/>
      <c r="R894" s="25" t="str">
        <f t="shared" si="14"/>
        <v/>
      </c>
    </row>
    <row r="895" spans="1:18">
      <c r="A895" s="28"/>
      <c r="B895" s="48"/>
      <c r="C895" s="48"/>
      <c r="D895" s="21"/>
      <c r="E895" s="21"/>
      <c r="F895" s="21"/>
      <c r="G895" s="21"/>
      <c r="H895" s="21"/>
      <c r="I895" s="21"/>
      <c r="J895" s="45"/>
      <c r="K895" s="45"/>
      <c r="L895" s="45"/>
      <c r="M895" s="45"/>
      <c r="N895" s="45"/>
      <c r="O895" s="21"/>
      <c r="P895" s="21"/>
      <c r="Q895" s="21"/>
      <c r="R895" s="25" t="str">
        <f t="shared" si="14"/>
        <v/>
      </c>
    </row>
    <row r="896" spans="1:18">
      <c r="A896" s="28"/>
      <c r="B896" s="48"/>
      <c r="C896" s="48"/>
      <c r="D896" s="21"/>
      <c r="E896" s="21"/>
      <c r="F896" s="21"/>
      <c r="G896" s="21"/>
      <c r="H896" s="21"/>
      <c r="I896" s="21"/>
      <c r="J896" s="45"/>
      <c r="K896" s="45"/>
      <c r="L896" s="45"/>
      <c r="M896" s="45"/>
      <c r="N896" s="45"/>
      <c r="O896" s="21"/>
      <c r="P896" s="21"/>
      <c r="Q896" s="21"/>
      <c r="R896" s="25" t="str">
        <f t="shared" si="14"/>
        <v/>
      </c>
    </row>
    <row r="897" spans="1:18">
      <c r="A897" s="28"/>
      <c r="B897" s="48"/>
      <c r="C897" s="48"/>
      <c r="D897" s="21"/>
      <c r="E897" s="21"/>
      <c r="F897" s="21"/>
      <c r="G897" s="21"/>
      <c r="H897" s="21"/>
      <c r="I897" s="21"/>
      <c r="J897" s="45"/>
      <c r="K897" s="45"/>
      <c r="L897" s="45"/>
      <c r="M897" s="45"/>
      <c r="N897" s="45"/>
      <c r="O897" s="21"/>
      <c r="P897" s="21"/>
      <c r="Q897" s="21"/>
      <c r="R897" s="25" t="str">
        <f t="shared" si="14"/>
        <v/>
      </c>
    </row>
    <row r="898" spans="1:18">
      <c r="A898" s="28"/>
      <c r="B898" s="48"/>
      <c r="C898" s="48"/>
      <c r="D898" s="21"/>
      <c r="E898" s="21"/>
      <c r="F898" s="21"/>
      <c r="G898" s="21"/>
      <c r="H898" s="21"/>
      <c r="I898" s="21"/>
      <c r="J898" s="45"/>
      <c r="K898" s="45"/>
      <c r="L898" s="45"/>
      <c r="M898" s="45"/>
      <c r="N898" s="45"/>
      <c r="O898" s="21"/>
      <c r="P898" s="21"/>
      <c r="Q898" s="21"/>
      <c r="R898" s="25" t="str">
        <f t="shared" si="14"/>
        <v/>
      </c>
    </row>
    <row r="899" spans="1:18">
      <c r="A899" s="28"/>
      <c r="B899" s="48"/>
      <c r="C899" s="48"/>
      <c r="D899" s="21"/>
      <c r="E899" s="21"/>
      <c r="F899" s="21"/>
      <c r="G899" s="21"/>
      <c r="H899" s="21"/>
      <c r="I899" s="21"/>
      <c r="J899" s="45"/>
      <c r="K899" s="45"/>
      <c r="L899" s="45"/>
      <c r="M899" s="45"/>
      <c r="N899" s="45"/>
      <c r="O899" s="21"/>
      <c r="P899" s="21"/>
      <c r="Q899" s="21"/>
      <c r="R899" s="25" t="str">
        <f t="shared" si="14"/>
        <v/>
      </c>
    </row>
    <row r="900" spans="1:18">
      <c r="A900" s="28"/>
      <c r="B900" s="48"/>
      <c r="C900" s="48"/>
      <c r="D900" s="21"/>
      <c r="E900" s="21"/>
      <c r="F900" s="21"/>
      <c r="G900" s="21"/>
      <c r="H900" s="21"/>
      <c r="I900" s="21"/>
      <c r="J900" s="45"/>
      <c r="K900" s="45"/>
      <c r="L900" s="45"/>
      <c r="M900" s="45"/>
      <c r="N900" s="45"/>
      <c r="O900" s="21"/>
      <c r="P900" s="21"/>
      <c r="Q900" s="21"/>
      <c r="R900" s="25" t="str">
        <f t="shared" si="14"/>
        <v/>
      </c>
    </row>
    <row r="901" spans="1:18">
      <c r="A901" s="28"/>
      <c r="B901" s="48"/>
      <c r="C901" s="48"/>
      <c r="D901" s="21"/>
      <c r="E901" s="21"/>
      <c r="F901" s="21"/>
      <c r="G901" s="21"/>
      <c r="H901" s="21"/>
      <c r="I901" s="21"/>
      <c r="J901" s="45"/>
      <c r="K901" s="45"/>
      <c r="L901" s="45"/>
      <c r="M901" s="45"/>
      <c r="N901" s="45"/>
      <c r="O901" s="21"/>
      <c r="P901" s="21"/>
      <c r="Q901" s="21"/>
      <c r="R901" s="25" t="str">
        <f t="shared" si="14"/>
        <v/>
      </c>
    </row>
    <row r="902" spans="1:18">
      <c r="A902" s="28"/>
      <c r="B902" s="48"/>
      <c r="C902" s="48"/>
      <c r="D902" s="21"/>
      <c r="E902" s="21"/>
      <c r="F902" s="21"/>
      <c r="G902" s="21"/>
      <c r="H902" s="21"/>
      <c r="I902" s="21"/>
      <c r="J902" s="45"/>
      <c r="K902" s="45"/>
      <c r="L902" s="45"/>
      <c r="M902" s="45"/>
      <c r="N902" s="45"/>
      <c r="O902" s="21"/>
      <c r="P902" s="21"/>
      <c r="Q902" s="21"/>
      <c r="R902" s="25" t="str">
        <f t="shared" si="14"/>
        <v/>
      </c>
    </row>
    <row r="903" spans="1:18">
      <c r="A903" s="28"/>
      <c r="B903" s="48"/>
      <c r="C903" s="48"/>
      <c r="D903" s="21"/>
      <c r="E903" s="21"/>
      <c r="F903" s="21"/>
      <c r="G903" s="21"/>
      <c r="H903" s="21"/>
      <c r="I903" s="21"/>
      <c r="J903" s="45"/>
      <c r="K903" s="45"/>
      <c r="L903" s="45"/>
      <c r="M903" s="45"/>
      <c r="N903" s="45"/>
      <c r="O903" s="21"/>
      <c r="P903" s="21"/>
      <c r="Q903" s="21"/>
      <c r="R903" s="25" t="str">
        <f t="shared" si="14"/>
        <v/>
      </c>
    </row>
    <row r="904" spans="1:18">
      <c r="A904" s="28"/>
      <c r="B904" s="48"/>
      <c r="C904" s="48"/>
      <c r="D904" s="21"/>
      <c r="E904" s="21"/>
      <c r="F904" s="21"/>
      <c r="G904" s="21"/>
      <c r="H904" s="21"/>
      <c r="I904" s="21"/>
      <c r="J904" s="45"/>
      <c r="K904" s="45"/>
      <c r="L904" s="45"/>
      <c r="M904" s="45"/>
      <c r="N904" s="45"/>
      <c r="O904" s="21"/>
      <c r="P904" s="21"/>
      <c r="Q904" s="21"/>
      <c r="R904" s="25" t="str">
        <f t="shared" si="14"/>
        <v/>
      </c>
    </row>
    <row r="905" spans="1:18">
      <c r="A905" s="28"/>
      <c r="B905" s="48"/>
      <c r="C905" s="48"/>
      <c r="D905" s="21"/>
      <c r="E905" s="21"/>
      <c r="F905" s="21"/>
      <c r="G905" s="21"/>
      <c r="H905" s="21"/>
      <c r="I905" s="21"/>
      <c r="J905" s="45"/>
      <c r="K905" s="45"/>
      <c r="L905" s="45"/>
      <c r="M905" s="45"/>
      <c r="N905" s="45"/>
      <c r="O905" s="21"/>
      <c r="P905" s="21"/>
      <c r="Q905" s="21"/>
      <c r="R905" s="25" t="str">
        <f t="shared" si="14"/>
        <v/>
      </c>
    </row>
    <row r="906" spans="1:18">
      <c r="A906" s="28"/>
      <c r="B906" s="48"/>
      <c r="C906" s="48"/>
      <c r="D906" s="21"/>
      <c r="E906" s="21"/>
      <c r="F906" s="21"/>
      <c r="G906" s="21"/>
      <c r="H906" s="21"/>
      <c r="I906" s="21"/>
      <c r="J906" s="45"/>
      <c r="K906" s="45"/>
      <c r="L906" s="45"/>
      <c r="M906" s="45"/>
      <c r="N906" s="45"/>
      <c r="O906" s="21"/>
      <c r="P906" s="21"/>
      <c r="Q906" s="21"/>
      <c r="R906" s="25" t="str">
        <f t="shared" si="14"/>
        <v/>
      </c>
    </row>
    <row r="907" spans="1:18">
      <c r="A907" s="28"/>
      <c r="B907" s="48"/>
      <c r="C907" s="48"/>
      <c r="D907" s="21"/>
      <c r="E907" s="21"/>
      <c r="F907" s="21"/>
      <c r="G907" s="21"/>
      <c r="H907" s="21"/>
      <c r="I907" s="21"/>
      <c r="J907" s="45"/>
      <c r="K907" s="45"/>
      <c r="L907" s="45"/>
      <c r="M907" s="45"/>
      <c r="N907" s="45"/>
      <c r="O907" s="21"/>
      <c r="P907" s="21"/>
      <c r="Q907" s="21"/>
      <c r="R907" s="25" t="str">
        <f t="shared" si="14"/>
        <v/>
      </c>
    </row>
    <row r="908" spans="1:18">
      <c r="A908" s="28"/>
      <c r="B908" s="48"/>
      <c r="C908" s="48"/>
      <c r="D908" s="21"/>
      <c r="E908" s="21"/>
      <c r="F908" s="21"/>
      <c r="G908" s="21"/>
      <c r="H908" s="21"/>
      <c r="I908" s="21"/>
      <c r="J908" s="45"/>
      <c r="K908" s="45"/>
      <c r="L908" s="45"/>
      <c r="M908" s="45"/>
      <c r="N908" s="45"/>
      <c r="O908" s="21"/>
      <c r="P908" s="21"/>
      <c r="Q908" s="21"/>
      <c r="R908" s="25" t="str">
        <f t="shared" si="14"/>
        <v/>
      </c>
    </row>
    <row r="909" spans="1:18">
      <c r="A909" s="28"/>
      <c r="B909" s="48"/>
      <c r="C909" s="48"/>
      <c r="D909" s="21"/>
      <c r="E909" s="21"/>
      <c r="F909" s="21"/>
      <c r="G909" s="21"/>
      <c r="H909" s="21"/>
      <c r="I909" s="21"/>
      <c r="J909" s="45"/>
      <c r="K909" s="45"/>
      <c r="L909" s="45"/>
      <c r="M909" s="45"/>
      <c r="N909" s="45"/>
      <c r="O909" s="21"/>
      <c r="P909" s="21"/>
      <c r="Q909" s="21"/>
      <c r="R909" s="25" t="str">
        <f t="shared" si="14"/>
        <v/>
      </c>
    </row>
    <row r="910" spans="1:18">
      <c r="A910" s="28"/>
      <c r="B910" s="48"/>
      <c r="C910" s="48"/>
      <c r="D910" s="21"/>
      <c r="E910" s="21"/>
      <c r="F910" s="21"/>
      <c r="G910" s="21"/>
      <c r="H910" s="21"/>
      <c r="I910" s="21"/>
      <c r="J910" s="45"/>
      <c r="K910" s="45"/>
      <c r="L910" s="45"/>
      <c r="M910" s="45"/>
      <c r="N910" s="45"/>
      <c r="O910" s="21"/>
      <c r="P910" s="21"/>
      <c r="Q910" s="21"/>
      <c r="R910" s="25" t="str">
        <f t="shared" si="14"/>
        <v/>
      </c>
    </row>
    <row r="911" spans="1:18">
      <c r="A911" s="28"/>
      <c r="B911" s="48"/>
      <c r="C911" s="48"/>
      <c r="D911" s="21"/>
      <c r="E911" s="21"/>
      <c r="F911" s="21"/>
      <c r="G911" s="21"/>
      <c r="H911" s="21"/>
      <c r="I911" s="21"/>
      <c r="J911" s="45"/>
      <c r="K911" s="45"/>
      <c r="L911" s="45"/>
      <c r="M911" s="45"/>
      <c r="N911" s="45"/>
      <c r="O911" s="21"/>
      <c r="P911" s="21"/>
      <c r="Q911" s="21"/>
      <c r="R911" s="25" t="str">
        <f t="shared" si="14"/>
        <v/>
      </c>
    </row>
    <row r="912" spans="1:18">
      <c r="A912" s="28"/>
      <c r="B912" s="48"/>
      <c r="C912" s="48"/>
      <c r="D912" s="21"/>
      <c r="E912" s="21"/>
      <c r="F912" s="21"/>
      <c r="G912" s="21"/>
      <c r="H912" s="21"/>
      <c r="I912" s="21"/>
      <c r="J912" s="45"/>
      <c r="K912" s="45"/>
      <c r="L912" s="45"/>
      <c r="M912" s="45"/>
      <c r="N912" s="45"/>
      <c r="O912" s="21"/>
      <c r="P912" s="21"/>
      <c r="Q912" s="21"/>
      <c r="R912" s="25" t="str">
        <f t="shared" si="14"/>
        <v/>
      </c>
    </row>
    <row r="913" spans="1:18">
      <c r="A913" s="28"/>
      <c r="B913" s="48"/>
      <c r="C913" s="48"/>
      <c r="D913" s="21"/>
      <c r="E913" s="21"/>
      <c r="F913" s="21"/>
      <c r="G913" s="21"/>
      <c r="H913" s="21"/>
      <c r="I913" s="21"/>
      <c r="J913" s="45"/>
      <c r="K913" s="45"/>
      <c r="L913" s="45"/>
      <c r="M913" s="45"/>
      <c r="N913" s="45"/>
      <c r="O913" s="21"/>
      <c r="P913" s="21"/>
      <c r="Q913" s="21"/>
      <c r="R913" s="25" t="str">
        <f t="shared" si="14"/>
        <v/>
      </c>
    </row>
    <row r="914" spans="1:18">
      <c r="A914" s="28"/>
      <c r="B914" s="48"/>
      <c r="C914" s="48"/>
      <c r="D914" s="21"/>
      <c r="E914" s="21"/>
      <c r="F914" s="21"/>
      <c r="G914" s="21"/>
      <c r="H914" s="21"/>
      <c r="I914" s="21"/>
      <c r="J914" s="45"/>
      <c r="K914" s="45"/>
      <c r="L914" s="45"/>
      <c r="M914" s="45"/>
      <c r="N914" s="45"/>
      <c r="O914" s="21"/>
      <c r="P914" s="21"/>
      <c r="Q914" s="21"/>
      <c r="R914" s="25" t="str">
        <f t="shared" si="14"/>
        <v/>
      </c>
    </row>
    <row r="915" spans="1:18">
      <c r="A915" s="28"/>
      <c r="B915" s="48"/>
      <c r="C915" s="48"/>
      <c r="D915" s="21"/>
      <c r="E915" s="21"/>
      <c r="F915" s="21"/>
      <c r="G915" s="21"/>
      <c r="H915" s="21"/>
      <c r="I915" s="21"/>
      <c r="J915" s="45"/>
      <c r="K915" s="45"/>
      <c r="L915" s="45"/>
      <c r="M915" s="45"/>
      <c r="N915" s="45"/>
      <c r="O915" s="21"/>
      <c r="P915" s="21"/>
      <c r="Q915" s="21"/>
      <c r="R915" s="25" t="str">
        <f t="shared" si="14"/>
        <v/>
      </c>
    </row>
    <row r="916" spans="1:18">
      <c r="A916" s="28"/>
      <c r="B916" s="48"/>
      <c r="C916" s="48"/>
      <c r="D916" s="21"/>
      <c r="E916" s="21"/>
      <c r="F916" s="21"/>
      <c r="G916" s="21"/>
      <c r="H916" s="21"/>
      <c r="I916" s="21"/>
      <c r="J916" s="45"/>
      <c r="K916" s="45"/>
      <c r="L916" s="45"/>
      <c r="M916" s="45"/>
      <c r="N916" s="45"/>
      <c r="O916" s="21"/>
      <c r="P916" s="21"/>
      <c r="Q916" s="21"/>
      <c r="R916" s="25" t="str">
        <f t="shared" si="14"/>
        <v/>
      </c>
    </row>
    <row r="917" spans="1:18">
      <c r="A917" s="28"/>
      <c r="B917" s="48"/>
      <c r="C917" s="48"/>
      <c r="D917" s="21"/>
      <c r="E917" s="21"/>
      <c r="F917" s="21"/>
      <c r="G917" s="21"/>
      <c r="H917" s="21"/>
      <c r="I917" s="21"/>
      <c r="J917" s="45"/>
      <c r="K917" s="45"/>
      <c r="L917" s="45"/>
      <c r="M917" s="45"/>
      <c r="N917" s="45"/>
      <c r="O917" s="21"/>
      <c r="P917" s="21"/>
      <c r="Q917" s="21"/>
      <c r="R917" s="25" t="str">
        <f t="shared" si="14"/>
        <v/>
      </c>
    </row>
    <row r="918" spans="1:18">
      <c r="A918" s="28"/>
      <c r="B918" s="48"/>
      <c r="C918" s="48"/>
      <c r="D918" s="21"/>
      <c r="E918" s="21"/>
      <c r="F918" s="21"/>
      <c r="G918" s="21"/>
      <c r="H918" s="21"/>
      <c r="I918" s="21"/>
      <c r="J918" s="45"/>
      <c r="K918" s="45"/>
      <c r="L918" s="45"/>
      <c r="M918" s="45"/>
      <c r="N918" s="45"/>
      <c r="O918" s="21"/>
      <c r="P918" s="21"/>
      <c r="Q918" s="21"/>
      <c r="R918" s="25" t="str">
        <f t="shared" si="14"/>
        <v/>
      </c>
    </row>
    <row r="919" spans="1:18">
      <c r="A919" s="28"/>
      <c r="B919" s="48"/>
      <c r="C919" s="48"/>
      <c r="D919" s="21"/>
      <c r="E919" s="21"/>
      <c r="F919" s="21"/>
      <c r="G919" s="21"/>
      <c r="H919" s="21"/>
      <c r="I919" s="21"/>
      <c r="J919" s="45"/>
      <c r="K919" s="45"/>
      <c r="L919" s="45"/>
      <c r="M919" s="45"/>
      <c r="N919" s="45"/>
      <c r="O919" s="21"/>
      <c r="P919" s="21"/>
      <c r="Q919" s="21"/>
      <c r="R919" s="25" t="str">
        <f t="shared" si="14"/>
        <v/>
      </c>
    </row>
    <row r="920" spans="1:18">
      <c r="A920" s="28"/>
      <c r="B920" s="48"/>
      <c r="C920" s="48"/>
      <c r="D920" s="21"/>
      <c r="E920" s="21"/>
      <c r="F920" s="21"/>
      <c r="G920" s="21"/>
      <c r="H920" s="21"/>
      <c r="I920" s="21"/>
      <c r="J920" s="45"/>
      <c r="K920" s="45"/>
      <c r="L920" s="45"/>
      <c r="M920" s="45"/>
      <c r="N920" s="45"/>
      <c r="O920" s="21"/>
      <c r="P920" s="21"/>
      <c r="Q920" s="21"/>
      <c r="R920" s="25" t="str">
        <f t="shared" si="14"/>
        <v/>
      </c>
    </row>
    <row r="921" spans="1:18">
      <c r="A921" s="28"/>
      <c r="B921" s="48"/>
      <c r="C921" s="48"/>
      <c r="D921" s="21"/>
      <c r="E921" s="21"/>
      <c r="F921" s="21"/>
      <c r="G921" s="21"/>
      <c r="H921" s="21"/>
      <c r="I921" s="21"/>
      <c r="J921" s="45"/>
      <c r="K921" s="45"/>
      <c r="L921" s="45"/>
      <c r="M921" s="45"/>
      <c r="N921" s="45"/>
      <c r="O921" s="21"/>
      <c r="P921" s="21"/>
      <c r="Q921" s="21"/>
      <c r="R921" s="25" t="str">
        <f t="shared" si="14"/>
        <v/>
      </c>
    </row>
    <row r="922" spans="1:18">
      <c r="A922" s="28"/>
      <c r="B922" s="48"/>
      <c r="C922" s="48"/>
      <c r="D922" s="21"/>
      <c r="E922" s="21"/>
      <c r="F922" s="21"/>
      <c r="G922" s="21"/>
      <c r="H922" s="21"/>
      <c r="I922" s="21"/>
      <c r="J922" s="45"/>
      <c r="K922" s="45"/>
      <c r="L922" s="45"/>
      <c r="M922" s="45"/>
      <c r="N922" s="45"/>
      <c r="O922" s="21"/>
      <c r="P922" s="21"/>
      <c r="Q922" s="21"/>
      <c r="R922" s="25" t="str">
        <f t="shared" si="14"/>
        <v/>
      </c>
    </row>
    <row r="923" spans="1:18">
      <c r="A923" s="28"/>
      <c r="B923" s="48"/>
      <c r="C923" s="48"/>
      <c r="D923" s="21"/>
      <c r="E923" s="21"/>
      <c r="F923" s="21"/>
      <c r="G923" s="21"/>
      <c r="H923" s="21"/>
      <c r="I923" s="21"/>
      <c r="J923" s="45"/>
      <c r="K923" s="45"/>
      <c r="L923" s="45"/>
      <c r="M923" s="45"/>
      <c r="N923" s="45"/>
      <c r="O923" s="21"/>
      <c r="P923" s="21"/>
      <c r="Q923" s="21"/>
      <c r="R923" s="25" t="str">
        <f t="shared" si="14"/>
        <v/>
      </c>
    </row>
    <row r="924" spans="1:18">
      <c r="A924" s="28"/>
      <c r="B924" s="48"/>
      <c r="C924" s="48"/>
      <c r="D924" s="21"/>
      <c r="E924" s="21"/>
      <c r="F924" s="21"/>
      <c r="G924" s="21"/>
      <c r="H924" s="21"/>
      <c r="I924" s="21"/>
      <c r="J924" s="45"/>
      <c r="K924" s="45"/>
      <c r="L924" s="45"/>
      <c r="M924" s="45"/>
      <c r="N924" s="45"/>
      <c r="O924" s="21"/>
      <c r="P924" s="21"/>
      <c r="Q924" s="21"/>
      <c r="R924" s="25" t="str">
        <f t="shared" si="14"/>
        <v/>
      </c>
    </row>
    <row r="925" spans="1:18">
      <c r="A925" s="28"/>
      <c r="B925" s="48"/>
      <c r="C925" s="48"/>
      <c r="D925" s="21"/>
      <c r="E925" s="21"/>
      <c r="F925" s="21"/>
      <c r="G925" s="21"/>
      <c r="H925" s="21"/>
      <c r="I925" s="21"/>
      <c r="J925" s="45"/>
      <c r="K925" s="45"/>
      <c r="L925" s="45"/>
      <c r="M925" s="45"/>
      <c r="N925" s="45"/>
      <c r="O925" s="21"/>
      <c r="P925" s="21"/>
      <c r="Q925" s="21"/>
      <c r="R925" s="25" t="str">
        <f t="shared" si="14"/>
        <v/>
      </c>
    </row>
    <row r="926" spans="1:18">
      <c r="A926" s="28"/>
      <c r="B926" s="48"/>
      <c r="C926" s="48"/>
      <c r="D926" s="21"/>
      <c r="E926" s="21"/>
      <c r="F926" s="21"/>
      <c r="G926" s="21"/>
      <c r="H926" s="21"/>
      <c r="I926" s="21"/>
      <c r="J926" s="45"/>
      <c r="K926" s="45"/>
      <c r="L926" s="45"/>
      <c r="M926" s="45"/>
      <c r="N926" s="45"/>
      <c r="O926" s="21"/>
      <c r="P926" s="21"/>
      <c r="Q926" s="21"/>
      <c r="R926" s="25" t="str">
        <f t="shared" si="14"/>
        <v/>
      </c>
    </row>
    <row r="927" spans="1:18">
      <c r="A927" s="28"/>
      <c r="B927" s="48"/>
      <c r="C927" s="48"/>
      <c r="D927" s="21"/>
      <c r="E927" s="21"/>
      <c r="F927" s="21"/>
      <c r="G927" s="21"/>
      <c r="H927" s="21"/>
      <c r="I927" s="21"/>
      <c r="J927" s="45"/>
      <c r="K927" s="45"/>
      <c r="L927" s="45"/>
      <c r="M927" s="45"/>
      <c r="N927" s="45"/>
      <c r="O927" s="21"/>
      <c r="P927" s="21"/>
      <c r="Q927" s="21"/>
      <c r="R927" s="25" t="str">
        <f t="shared" si="14"/>
        <v/>
      </c>
    </row>
    <row r="928" spans="1:18">
      <c r="A928" s="28"/>
      <c r="B928" s="48"/>
      <c r="C928" s="48"/>
      <c r="D928" s="21"/>
      <c r="E928" s="21"/>
      <c r="F928" s="21"/>
      <c r="G928" s="21"/>
      <c r="H928" s="21"/>
      <c r="I928" s="21"/>
      <c r="J928" s="45"/>
      <c r="K928" s="45"/>
      <c r="L928" s="45"/>
      <c r="M928" s="45"/>
      <c r="N928" s="45"/>
      <c r="O928" s="21"/>
      <c r="P928" s="21"/>
      <c r="Q928" s="21"/>
      <c r="R928" s="25" t="str">
        <f t="shared" si="14"/>
        <v/>
      </c>
    </row>
    <row r="929" spans="1:18">
      <c r="A929" s="28"/>
      <c r="B929" s="48"/>
      <c r="C929" s="48"/>
      <c r="D929" s="21"/>
      <c r="E929" s="21"/>
      <c r="F929" s="21"/>
      <c r="G929" s="21"/>
      <c r="H929" s="21"/>
      <c r="I929" s="21"/>
      <c r="J929" s="45"/>
      <c r="K929" s="45"/>
      <c r="L929" s="45"/>
      <c r="M929" s="45"/>
      <c r="N929" s="45"/>
      <c r="O929" s="21"/>
      <c r="P929" s="21"/>
      <c r="Q929" s="21"/>
      <c r="R929" s="25" t="str">
        <f t="shared" si="14"/>
        <v/>
      </c>
    </row>
    <row r="930" spans="1:18">
      <c r="A930" s="28"/>
      <c r="B930" s="48"/>
      <c r="C930" s="48"/>
      <c r="D930" s="21"/>
      <c r="E930" s="21"/>
      <c r="F930" s="21"/>
      <c r="G930" s="21"/>
      <c r="H930" s="21"/>
      <c r="I930" s="21"/>
      <c r="J930" s="45"/>
      <c r="K930" s="45"/>
      <c r="L930" s="45"/>
      <c r="M930" s="45"/>
      <c r="N930" s="45"/>
      <c r="O930" s="21"/>
      <c r="P930" s="21"/>
      <c r="Q930" s="21"/>
      <c r="R930" s="25" t="str">
        <f t="shared" si="14"/>
        <v/>
      </c>
    </row>
    <row r="931" spans="1:18">
      <c r="A931" s="28"/>
      <c r="B931" s="48"/>
      <c r="C931" s="48"/>
      <c r="D931" s="21"/>
      <c r="E931" s="21"/>
      <c r="F931" s="21"/>
      <c r="G931" s="21"/>
      <c r="H931" s="21"/>
      <c r="I931" s="21"/>
      <c r="J931" s="45"/>
      <c r="K931" s="45"/>
      <c r="L931" s="45"/>
      <c r="M931" s="45"/>
      <c r="N931" s="45"/>
      <c r="O931" s="21"/>
      <c r="P931" s="21"/>
      <c r="Q931" s="21"/>
      <c r="R931" s="25" t="str">
        <f t="shared" si="14"/>
        <v/>
      </c>
    </row>
    <row r="932" spans="1:18">
      <c r="A932" s="28"/>
      <c r="B932" s="48"/>
      <c r="C932" s="48"/>
      <c r="D932" s="21"/>
      <c r="E932" s="21"/>
      <c r="F932" s="21"/>
      <c r="G932" s="21"/>
      <c r="H932" s="21"/>
      <c r="I932" s="21"/>
      <c r="J932" s="45"/>
      <c r="K932" s="45"/>
      <c r="L932" s="45"/>
      <c r="M932" s="45"/>
      <c r="N932" s="45"/>
      <c r="O932" s="21"/>
      <c r="P932" s="21"/>
      <c r="Q932" s="21"/>
      <c r="R932" s="25" t="str">
        <f t="shared" si="14"/>
        <v/>
      </c>
    </row>
    <row r="933" spans="1:18">
      <c r="A933" s="28"/>
      <c r="B933" s="48"/>
      <c r="C933" s="48"/>
      <c r="D933" s="21"/>
      <c r="E933" s="21"/>
      <c r="F933" s="21"/>
      <c r="G933" s="21"/>
      <c r="H933" s="21"/>
      <c r="I933" s="21"/>
      <c r="J933" s="45"/>
      <c r="K933" s="45"/>
      <c r="L933" s="45"/>
      <c r="M933" s="45"/>
      <c r="N933" s="45"/>
      <c r="O933" s="21"/>
      <c r="P933" s="21"/>
      <c r="Q933" s="21"/>
      <c r="R933" s="25" t="str">
        <f t="shared" si="14"/>
        <v/>
      </c>
    </row>
    <row r="934" spans="1:18">
      <c r="A934" s="28"/>
      <c r="B934" s="48"/>
      <c r="C934" s="48"/>
      <c r="D934" s="21"/>
      <c r="E934" s="21"/>
      <c r="F934" s="21"/>
      <c r="G934" s="21"/>
      <c r="H934" s="21"/>
      <c r="I934" s="21"/>
      <c r="J934" s="45"/>
      <c r="K934" s="45"/>
      <c r="L934" s="45"/>
      <c r="M934" s="45"/>
      <c r="N934" s="45"/>
      <c r="O934" s="21"/>
      <c r="P934" s="21"/>
      <c r="Q934" s="21"/>
      <c r="R934" s="25" t="str">
        <f t="shared" si="14"/>
        <v/>
      </c>
    </row>
    <row r="935" spans="1:18">
      <c r="A935" s="28"/>
      <c r="B935" s="48"/>
      <c r="C935" s="48"/>
      <c r="D935" s="21"/>
      <c r="E935" s="21"/>
      <c r="F935" s="21"/>
      <c r="G935" s="21"/>
      <c r="H935" s="21"/>
      <c r="I935" s="21"/>
      <c r="J935" s="45"/>
      <c r="K935" s="45"/>
      <c r="L935" s="45"/>
      <c r="M935" s="45"/>
      <c r="N935" s="45"/>
      <c r="O935" s="21"/>
      <c r="P935" s="21"/>
      <c r="Q935" s="21"/>
      <c r="R935" s="25" t="str">
        <f t="shared" si="14"/>
        <v/>
      </c>
    </row>
    <row r="936" spans="1:18">
      <c r="A936" s="28"/>
      <c r="B936" s="48"/>
      <c r="C936" s="48"/>
      <c r="D936" s="21"/>
      <c r="E936" s="21"/>
      <c r="F936" s="21"/>
      <c r="G936" s="21"/>
      <c r="H936" s="21"/>
      <c r="I936" s="21"/>
      <c r="J936" s="45"/>
      <c r="K936" s="45"/>
      <c r="L936" s="45"/>
      <c r="M936" s="45"/>
      <c r="N936" s="45"/>
      <c r="O936" s="21"/>
      <c r="P936" s="21"/>
      <c r="Q936" s="21"/>
      <c r="R936" s="25" t="str">
        <f t="shared" si="14"/>
        <v/>
      </c>
    </row>
    <row r="937" spans="1:18">
      <c r="A937" s="28"/>
      <c r="B937" s="48"/>
      <c r="C937" s="48"/>
      <c r="D937" s="21"/>
      <c r="E937" s="21"/>
      <c r="F937" s="21"/>
      <c r="G937" s="21"/>
      <c r="H937" s="21"/>
      <c r="I937" s="21"/>
      <c r="J937" s="45"/>
      <c r="K937" s="45"/>
      <c r="L937" s="45"/>
      <c r="M937" s="45"/>
      <c r="N937" s="45"/>
      <c r="O937" s="21"/>
      <c r="P937" s="21"/>
      <c r="Q937" s="21"/>
      <c r="R937" s="25" t="str">
        <f t="shared" si="14"/>
        <v/>
      </c>
    </row>
    <row r="938" spans="1:18">
      <c r="A938" s="28"/>
      <c r="B938" s="48"/>
      <c r="C938" s="48"/>
      <c r="D938" s="21"/>
      <c r="E938" s="21"/>
      <c r="F938" s="21"/>
      <c r="G938" s="21"/>
      <c r="H938" s="21"/>
      <c r="I938" s="21"/>
      <c r="J938" s="45"/>
      <c r="K938" s="45"/>
      <c r="L938" s="45"/>
      <c r="M938" s="45"/>
      <c r="N938" s="45"/>
      <c r="O938" s="21"/>
      <c r="P938" s="21"/>
      <c r="Q938" s="21"/>
      <c r="R938" s="25" t="str">
        <f t="shared" si="14"/>
        <v/>
      </c>
    </row>
    <row r="939" spans="1:18">
      <c r="A939" s="28"/>
      <c r="B939" s="48"/>
      <c r="C939" s="48"/>
      <c r="D939" s="21"/>
      <c r="E939" s="21"/>
      <c r="F939" s="21"/>
      <c r="G939" s="21"/>
      <c r="H939" s="21"/>
      <c r="I939" s="21"/>
      <c r="J939" s="45"/>
      <c r="K939" s="45"/>
      <c r="L939" s="45"/>
      <c r="M939" s="45"/>
      <c r="N939" s="45"/>
      <c r="O939" s="21"/>
      <c r="P939" s="21"/>
      <c r="Q939" s="21"/>
      <c r="R939" s="25" t="str">
        <f t="shared" si="14"/>
        <v/>
      </c>
    </row>
    <row r="940" spans="1:18">
      <c r="A940" s="28"/>
      <c r="B940" s="48"/>
      <c r="C940" s="48"/>
      <c r="D940" s="21"/>
      <c r="E940" s="21"/>
      <c r="F940" s="21"/>
      <c r="G940" s="21"/>
      <c r="H940" s="21"/>
      <c r="I940" s="21"/>
      <c r="J940" s="45"/>
      <c r="K940" s="45"/>
      <c r="L940" s="45"/>
      <c r="M940" s="45"/>
      <c r="N940" s="45"/>
      <c r="O940" s="21"/>
      <c r="P940" s="21"/>
      <c r="Q940" s="21"/>
      <c r="R940" s="25" t="str">
        <f t="shared" si="14"/>
        <v/>
      </c>
    </row>
    <row r="941" spans="1:18">
      <c r="A941" s="28"/>
      <c r="B941" s="48"/>
      <c r="C941" s="48"/>
      <c r="D941" s="21"/>
      <c r="E941" s="21"/>
      <c r="F941" s="21"/>
      <c r="G941" s="21"/>
      <c r="H941" s="21"/>
      <c r="I941" s="21"/>
      <c r="J941" s="45"/>
      <c r="K941" s="45"/>
      <c r="L941" s="45"/>
      <c r="M941" s="45"/>
      <c r="N941" s="45"/>
      <c r="O941" s="21"/>
      <c r="P941" s="21"/>
      <c r="Q941" s="21"/>
      <c r="R941" s="25" t="str">
        <f t="shared" si="14"/>
        <v/>
      </c>
    </row>
    <row r="942" spans="1:18">
      <c r="A942" s="28"/>
      <c r="B942" s="48"/>
      <c r="C942" s="48"/>
      <c r="D942" s="21"/>
      <c r="E942" s="21"/>
      <c r="F942" s="21"/>
      <c r="G942" s="21"/>
      <c r="H942" s="21"/>
      <c r="I942" s="21"/>
      <c r="J942" s="45"/>
      <c r="K942" s="45"/>
      <c r="L942" s="45"/>
      <c r="M942" s="45"/>
      <c r="N942" s="45"/>
      <c r="O942" s="21"/>
      <c r="P942" s="21"/>
      <c r="Q942" s="21"/>
      <c r="R942" s="25" t="str">
        <f t="shared" si="14"/>
        <v/>
      </c>
    </row>
    <row r="943" spans="1:18">
      <c r="A943" s="28"/>
      <c r="B943" s="48"/>
      <c r="C943" s="48"/>
      <c r="D943" s="21"/>
      <c r="E943" s="21"/>
      <c r="F943" s="21"/>
      <c r="G943" s="21"/>
      <c r="H943" s="21"/>
      <c r="I943" s="21"/>
      <c r="J943" s="45"/>
      <c r="K943" s="45"/>
      <c r="L943" s="45"/>
      <c r="M943" s="45"/>
      <c r="N943" s="45"/>
      <c r="O943" s="21"/>
      <c r="P943" s="21"/>
      <c r="Q943" s="21"/>
      <c r="R943" s="25" t="str">
        <f t="shared" si="14"/>
        <v/>
      </c>
    </row>
    <row r="944" spans="1:18">
      <c r="A944" s="28"/>
      <c r="B944" s="48"/>
      <c r="C944" s="48"/>
      <c r="D944" s="21"/>
      <c r="E944" s="21"/>
      <c r="F944" s="21"/>
      <c r="G944" s="21"/>
      <c r="H944" s="21"/>
      <c r="I944" s="21"/>
      <c r="J944" s="45"/>
      <c r="K944" s="45"/>
      <c r="L944" s="45"/>
      <c r="M944" s="45"/>
      <c r="N944" s="45"/>
      <c r="O944" s="21"/>
      <c r="P944" s="21"/>
      <c r="Q944" s="21"/>
      <c r="R944" s="25" t="str">
        <f t="shared" si="14"/>
        <v/>
      </c>
    </row>
    <row r="945" spans="1:18">
      <c r="A945" s="28"/>
      <c r="B945" s="48"/>
      <c r="C945" s="48"/>
      <c r="D945" s="21"/>
      <c r="E945" s="21"/>
      <c r="F945" s="21"/>
      <c r="G945" s="21"/>
      <c r="H945" s="21"/>
      <c r="I945" s="21"/>
      <c r="J945" s="45"/>
      <c r="K945" s="45"/>
      <c r="L945" s="45"/>
      <c r="M945" s="45"/>
      <c r="N945" s="45"/>
      <c r="O945" s="21"/>
      <c r="P945" s="21"/>
      <c r="Q945" s="21"/>
      <c r="R945" s="25" t="str">
        <f t="shared" si="14"/>
        <v/>
      </c>
    </row>
    <row r="946" spans="1:18">
      <c r="A946" s="28"/>
      <c r="B946" s="48"/>
      <c r="C946" s="48"/>
      <c r="D946" s="21"/>
      <c r="E946" s="21"/>
      <c r="F946" s="21"/>
      <c r="G946" s="21"/>
      <c r="H946" s="21"/>
      <c r="I946" s="21"/>
      <c r="J946" s="45"/>
      <c r="K946" s="45"/>
      <c r="L946" s="45"/>
      <c r="M946" s="45"/>
      <c r="N946" s="45"/>
      <c r="O946" s="21"/>
      <c r="P946" s="21"/>
      <c r="Q946" s="21"/>
      <c r="R946" s="25" t="str">
        <f t="shared" si="14"/>
        <v/>
      </c>
    </row>
    <row r="947" spans="1:18">
      <c r="A947" s="28"/>
      <c r="B947" s="48"/>
      <c r="C947" s="48"/>
      <c r="D947" s="21"/>
      <c r="E947" s="21"/>
      <c r="F947" s="21"/>
      <c r="G947" s="21"/>
      <c r="H947" s="21"/>
      <c r="I947" s="21"/>
      <c r="J947" s="45"/>
      <c r="K947" s="45"/>
      <c r="L947" s="45"/>
      <c r="M947" s="45"/>
      <c r="N947" s="45"/>
      <c r="O947" s="21"/>
      <c r="P947" s="21"/>
      <c r="Q947" s="21"/>
      <c r="R947" s="25" t="str">
        <f t="shared" ref="R947:R1010" si="15">IF(COUNTIF($A$17:$A$2010,$A947)&gt;1,"Possible Duplicate","")</f>
        <v/>
      </c>
    </row>
    <row r="948" spans="1:18">
      <c r="A948" s="28"/>
      <c r="B948" s="48"/>
      <c r="C948" s="48"/>
      <c r="D948" s="21"/>
      <c r="E948" s="21"/>
      <c r="F948" s="21"/>
      <c r="G948" s="21"/>
      <c r="H948" s="21"/>
      <c r="I948" s="21"/>
      <c r="J948" s="45"/>
      <c r="K948" s="45"/>
      <c r="L948" s="45"/>
      <c r="M948" s="45"/>
      <c r="N948" s="45"/>
      <c r="O948" s="21"/>
      <c r="P948" s="21"/>
      <c r="Q948" s="21"/>
      <c r="R948" s="25" t="str">
        <f t="shared" si="15"/>
        <v/>
      </c>
    </row>
    <row r="949" spans="1:18">
      <c r="A949" s="28"/>
      <c r="B949" s="48"/>
      <c r="C949" s="48"/>
      <c r="D949" s="21"/>
      <c r="E949" s="21"/>
      <c r="F949" s="21"/>
      <c r="G949" s="21"/>
      <c r="H949" s="21"/>
      <c r="I949" s="21"/>
      <c r="J949" s="45"/>
      <c r="K949" s="45"/>
      <c r="L949" s="45"/>
      <c r="M949" s="45"/>
      <c r="N949" s="45"/>
      <c r="O949" s="21"/>
      <c r="P949" s="21"/>
      <c r="Q949" s="21"/>
      <c r="R949" s="25" t="str">
        <f t="shared" si="15"/>
        <v/>
      </c>
    </row>
    <row r="950" spans="1:18">
      <c r="A950" s="28"/>
      <c r="B950" s="48"/>
      <c r="C950" s="48"/>
      <c r="D950" s="21"/>
      <c r="E950" s="21"/>
      <c r="F950" s="21"/>
      <c r="G950" s="21"/>
      <c r="H950" s="21"/>
      <c r="I950" s="21"/>
      <c r="J950" s="45"/>
      <c r="K950" s="45"/>
      <c r="L950" s="45"/>
      <c r="M950" s="45"/>
      <c r="N950" s="45"/>
      <c r="O950" s="21"/>
      <c r="P950" s="21"/>
      <c r="Q950" s="21"/>
      <c r="R950" s="25" t="str">
        <f t="shared" si="15"/>
        <v/>
      </c>
    </row>
    <row r="951" spans="1:18">
      <c r="A951" s="28"/>
      <c r="B951" s="48"/>
      <c r="C951" s="48"/>
      <c r="D951" s="21"/>
      <c r="E951" s="21"/>
      <c r="F951" s="21"/>
      <c r="G951" s="21"/>
      <c r="H951" s="21"/>
      <c r="I951" s="21"/>
      <c r="J951" s="45"/>
      <c r="K951" s="45"/>
      <c r="L951" s="45"/>
      <c r="M951" s="45"/>
      <c r="N951" s="45"/>
      <c r="O951" s="21"/>
      <c r="P951" s="21"/>
      <c r="Q951" s="21"/>
      <c r="R951" s="25" t="str">
        <f t="shared" si="15"/>
        <v/>
      </c>
    </row>
    <row r="952" spans="1:18">
      <c r="A952" s="28"/>
      <c r="B952" s="48"/>
      <c r="C952" s="48"/>
      <c r="D952" s="21"/>
      <c r="E952" s="21"/>
      <c r="F952" s="21"/>
      <c r="G952" s="21"/>
      <c r="H952" s="21"/>
      <c r="I952" s="21"/>
      <c r="J952" s="45"/>
      <c r="K952" s="45"/>
      <c r="L952" s="45"/>
      <c r="M952" s="45"/>
      <c r="N952" s="45"/>
      <c r="O952" s="21"/>
      <c r="P952" s="21"/>
      <c r="Q952" s="21"/>
      <c r="R952" s="25" t="str">
        <f t="shared" si="15"/>
        <v/>
      </c>
    </row>
    <row r="953" spans="1:18">
      <c r="A953" s="28"/>
      <c r="B953" s="48"/>
      <c r="C953" s="48"/>
      <c r="D953" s="21"/>
      <c r="E953" s="21"/>
      <c r="F953" s="21"/>
      <c r="G953" s="21"/>
      <c r="H953" s="21"/>
      <c r="I953" s="21"/>
      <c r="J953" s="45"/>
      <c r="K953" s="45"/>
      <c r="L953" s="45"/>
      <c r="M953" s="45"/>
      <c r="N953" s="45"/>
      <c r="O953" s="21"/>
      <c r="P953" s="21"/>
      <c r="Q953" s="21"/>
      <c r="R953" s="25" t="str">
        <f t="shared" si="15"/>
        <v/>
      </c>
    </row>
    <row r="954" spans="1:18">
      <c r="A954" s="28"/>
      <c r="B954" s="48"/>
      <c r="C954" s="48"/>
      <c r="D954" s="21"/>
      <c r="E954" s="21"/>
      <c r="F954" s="21"/>
      <c r="G954" s="21"/>
      <c r="H954" s="21"/>
      <c r="I954" s="21"/>
      <c r="J954" s="45"/>
      <c r="K954" s="45"/>
      <c r="L954" s="45"/>
      <c r="M954" s="45"/>
      <c r="N954" s="45"/>
      <c r="O954" s="21"/>
      <c r="P954" s="21"/>
      <c r="Q954" s="21"/>
      <c r="R954" s="25" t="str">
        <f t="shared" si="15"/>
        <v/>
      </c>
    </row>
    <row r="955" spans="1:18">
      <c r="A955" s="28"/>
      <c r="B955" s="48"/>
      <c r="C955" s="48"/>
      <c r="D955" s="21"/>
      <c r="E955" s="21"/>
      <c r="F955" s="21"/>
      <c r="G955" s="21"/>
      <c r="H955" s="21"/>
      <c r="I955" s="21"/>
      <c r="J955" s="45"/>
      <c r="K955" s="45"/>
      <c r="L955" s="45"/>
      <c r="M955" s="45"/>
      <c r="N955" s="45"/>
      <c r="O955" s="21"/>
      <c r="P955" s="21"/>
      <c r="Q955" s="21"/>
      <c r="R955" s="25" t="str">
        <f t="shared" si="15"/>
        <v/>
      </c>
    </row>
    <row r="956" spans="1:18">
      <c r="A956" s="28"/>
      <c r="B956" s="48"/>
      <c r="C956" s="48"/>
      <c r="D956" s="21"/>
      <c r="E956" s="21"/>
      <c r="F956" s="21"/>
      <c r="G956" s="21"/>
      <c r="H956" s="21"/>
      <c r="I956" s="21"/>
      <c r="J956" s="45"/>
      <c r="K956" s="45"/>
      <c r="L956" s="45"/>
      <c r="M956" s="45"/>
      <c r="N956" s="45"/>
      <c r="O956" s="21"/>
      <c r="P956" s="21"/>
      <c r="Q956" s="21"/>
      <c r="R956" s="25" t="str">
        <f t="shared" si="15"/>
        <v/>
      </c>
    </row>
    <row r="957" spans="1:18">
      <c r="A957" s="28"/>
      <c r="B957" s="48"/>
      <c r="C957" s="48"/>
      <c r="D957" s="21"/>
      <c r="E957" s="21"/>
      <c r="F957" s="21"/>
      <c r="G957" s="21"/>
      <c r="H957" s="21"/>
      <c r="I957" s="21"/>
      <c r="J957" s="45"/>
      <c r="K957" s="45"/>
      <c r="L957" s="45"/>
      <c r="M957" s="45"/>
      <c r="N957" s="45"/>
      <c r="O957" s="21"/>
      <c r="P957" s="21"/>
      <c r="Q957" s="21"/>
      <c r="R957" s="25" t="str">
        <f t="shared" si="15"/>
        <v/>
      </c>
    </row>
    <row r="958" spans="1:18">
      <c r="A958" s="28"/>
      <c r="B958" s="48"/>
      <c r="C958" s="48"/>
      <c r="D958" s="21"/>
      <c r="E958" s="21"/>
      <c r="F958" s="21"/>
      <c r="G958" s="21"/>
      <c r="H958" s="21"/>
      <c r="I958" s="21"/>
      <c r="J958" s="45"/>
      <c r="K958" s="45"/>
      <c r="L958" s="45"/>
      <c r="M958" s="45"/>
      <c r="N958" s="45"/>
      <c r="O958" s="21"/>
      <c r="P958" s="21"/>
      <c r="Q958" s="21"/>
      <c r="R958" s="25" t="str">
        <f t="shared" si="15"/>
        <v/>
      </c>
    </row>
    <row r="959" spans="1:18">
      <c r="A959" s="28"/>
      <c r="B959" s="48"/>
      <c r="C959" s="48"/>
      <c r="D959" s="21"/>
      <c r="E959" s="21"/>
      <c r="F959" s="21"/>
      <c r="G959" s="21"/>
      <c r="H959" s="21"/>
      <c r="I959" s="21"/>
      <c r="J959" s="45"/>
      <c r="K959" s="45"/>
      <c r="L959" s="45"/>
      <c r="M959" s="45"/>
      <c r="N959" s="45"/>
      <c r="O959" s="21"/>
      <c r="P959" s="21"/>
      <c r="Q959" s="21"/>
      <c r="R959" s="25" t="str">
        <f t="shared" si="15"/>
        <v/>
      </c>
    </row>
    <row r="960" spans="1:18">
      <c r="A960" s="28"/>
      <c r="B960" s="48"/>
      <c r="C960" s="48"/>
      <c r="D960" s="21"/>
      <c r="E960" s="21"/>
      <c r="F960" s="21"/>
      <c r="G960" s="21"/>
      <c r="H960" s="21"/>
      <c r="I960" s="21"/>
      <c r="J960" s="45"/>
      <c r="K960" s="45"/>
      <c r="L960" s="45"/>
      <c r="M960" s="45"/>
      <c r="N960" s="45"/>
      <c r="O960" s="21"/>
      <c r="P960" s="21"/>
      <c r="Q960" s="21"/>
      <c r="R960" s="25" t="str">
        <f t="shared" si="15"/>
        <v/>
      </c>
    </row>
    <row r="961" spans="1:18">
      <c r="A961" s="28"/>
      <c r="B961" s="48"/>
      <c r="C961" s="48"/>
      <c r="D961" s="21"/>
      <c r="E961" s="21"/>
      <c r="F961" s="21"/>
      <c r="G961" s="21"/>
      <c r="H961" s="21"/>
      <c r="I961" s="21"/>
      <c r="J961" s="45"/>
      <c r="K961" s="45"/>
      <c r="L961" s="45"/>
      <c r="M961" s="45"/>
      <c r="N961" s="45"/>
      <c r="O961" s="21"/>
      <c r="P961" s="21"/>
      <c r="Q961" s="21"/>
      <c r="R961" s="25" t="str">
        <f t="shared" si="15"/>
        <v/>
      </c>
    </row>
    <row r="962" spans="1:18">
      <c r="A962" s="28"/>
      <c r="B962" s="48"/>
      <c r="C962" s="48"/>
      <c r="D962" s="21"/>
      <c r="E962" s="21"/>
      <c r="F962" s="21"/>
      <c r="G962" s="21"/>
      <c r="H962" s="21"/>
      <c r="I962" s="21"/>
      <c r="J962" s="45"/>
      <c r="K962" s="45"/>
      <c r="L962" s="45"/>
      <c r="M962" s="45"/>
      <c r="N962" s="45"/>
      <c r="O962" s="21"/>
      <c r="P962" s="21"/>
      <c r="Q962" s="21"/>
      <c r="R962" s="25" t="str">
        <f t="shared" si="15"/>
        <v/>
      </c>
    </row>
    <row r="963" spans="1:18">
      <c r="A963" s="28"/>
      <c r="B963" s="48"/>
      <c r="C963" s="48"/>
      <c r="D963" s="21"/>
      <c r="E963" s="21"/>
      <c r="F963" s="21"/>
      <c r="G963" s="21"/>
      <c r="H963" s="21"/>
      <c r="I963" s="21"/>
      <c r="J963" s="45"/>
      <c r="K963" s="45"/>
      <c r="L963" s="45"/>
      <c r="M963" s="45"/>
      <c r="N963" s="45"/>
      <c r="O963" s="21"/>
      <c r="P963" s="21"/>
      <c r="Q963" s="21"/>
      <c r="R963" s="25" t="str">
        <f t="shared" si="15"/>
        <v/>
      </c>
    </row>
    <row r="964" spans="1:18">
      <c r="A964" s="28"/>
      <c r="B964" s="48"/>
      <c r="C964" s="48"/>
      <c r="D964" s="21"/>
      <c r="E964" s="21"/>
      <c r="F964" s="21"/>
      <c r="G964" s="21"/>
      <c r="H964" s="21"/>
      <c r="I964" s="21"/>
      <c r="J964" s="45"/>
      <c r="K964" s="45"/>
      <c r="L964" s="45"/>
      <c r="M964" s="45"/>
      <c r="N964" s="45"/>
      <c r="O964" s="21"/>
      <c r="P964" s="21"/>
      <c r="Q964" s="21"/>
      <c r="R964" s="25" t="str">
        <f t="shared" si="15"/>
        <v/>
      </c>
    </row>
    <row r="965" spans="1:18">
      <c r="A965" s="28"/>
      <c r="B965" s="48"/>
      <c r="C965" s="48"/>
      <c r="D965" s="21"/>
      <c r="E965" s="21"/>
      <c r="F965" s="21"/>
      <c r="G965" s="21"/>
      <c r="H965" s="21"/>
      <c r="I965" s="21"/>
      <c r="J965" s="45"/>
      <c r="K965" s="45"/>
      <c r="L965" s="45"/>
      <c r="M965" s="45"/>
      <c r="N965" s="45"/>
      <c r="O965" s="21"/>
      <c r="P965" s="21"/>
      <c r="Q965" s="21"/>
      <c r="R965" s="25" t="str">
        <f t="shared" si="15"/>
        <v/>
      </c>
    </row>
    <row r="966" spans="1:18">
      <c r="A966" s="28"/>
      <c r="B966" s="48"/>
      <c r="C966" s="48"/>
      <c r="D966" s="21"/>
      <c r="E966" s="21"/>
      <c r="F966" s="21"/>
      <c r="G966" s="21"/>
      <c r="H966" s="21"/>
      <c r="I966" s="21"/>
      <c r="J966" s="45"/>
      <c r="K966" s="45"/>
      <c r="L966" s="45"/>
      <c r="M966" s="45"/>
      <c r="N966" s="45"/>
      <c r="O966" s="21"/>
      <c r="P966" s="21"/>
      <c r="Q966" s="21"/>
      <c r="R966" s="25" t="str">
        <f t="shared" si="15"/>
        <v/>
      </c>
    </row>
    <row r="967" spans="1:18">
      <c r="A967" s="28"/>
      <c r="B967" s="48"/>
      <c r="C967" s="48"/>
      <c r="D967" s="21"/>
      <c r="E967" s="21"/>
      <c r="F967" s="21"/>
      <c r="G967" s="21"/>
      <c r="H967" s="21"/>
      <c r="I967" s="21"/>
      <c r="J967" s="45"/>
      <c r="K967" s="45"/>
      <c r="L967" s="45"/>
      <c r="M967" s="45"/>
      <c r="N967" s="45"/>
      <c r="O967" s="21"/>
      <c r="P967" s="21"/>
      <c r="Q967" s="21"/>
      <c r="R967" s="25" t="str">
        <f t="shared" si="15"/>
        <v/>
      </c>
    </row>
    <row r="968" spans="1:18">
      <c r="A968" s="28"/>
      <c r="B968" s="48"/>
      <c r="C968" s="48"/>
      <c r="D968" s="21"/>
      <c r="E968" s="21"/>
      <c r="F968" s="21"/>
      <c r="G968" s="21"/>
      <c r="H968" s="21"/>
      <c r="I968" s="21"/>
      <c r="J968" s="45"/>
      <c r="K968" s="45"/>
      <c r="L968" s="45"/>
      <c r="M968" s="45"/>
      <c r="N968" s="45"/>
      <c r="O968" s="21"/>
      <c r="P968" s="21"/>
      <c r="Q968" s="21"/>
      <c r="R968" s="25" t="str">
        <f t="shared" si="15"/>
        <v/>
      </c>
    </row>
    <row r="969" spans="1:18">
      <c r="A969" s="28"/>
      <c r="B969" s="48"/>
      <c r="C969" s="48"/>
      <c r="D969" s="21"/>
      <c r="E969" s="21"/>
      <c r="F969" s="21"/>
      <c r="G969" s="21"/>
      <c r="H969" s="21"/>
      <c r="I969" s="21"/>
      <c r="J969" s="45"/>
      <c r="K969" s="45"/>
      <c r="L969" s="45"/>
      <c r="M969" s="45"/>
      <c r="N969" s="45"/>
      <c r="O969" s="21"/>
      <c r="P969" s="21"/>
      <c r="Q969" s="21"/>
      <c r="R969" s="25" t="str">
        <f t="shared" si="15"/>
        <v/>
      </c>
    </row>
    <row r="970" spans="1:18">
      <c r="A970" s="28"/>
      <c r="B970" s="48"/>
      <c r="C970" s="48"/>
      <c r="D970" s="21"/>
      <c r="E970" s="21"/>
      <c r="F970" s="21"/>
      <c r="G970" s="21"/>
      <c r="H970" s="21"/>
      <c r="I970" s="21"/>
      <c r="J970" s="45"/>
      <c r="K970" s="45"/>
      <c r="L970" s="45"/>
      <c r="M970" s="45"/>
      <c r="N970" s="45"/>
      <c r="O970" s="21"/>
      <c r="P970" s="21"/>
      <c r="Q970" s="21"/>
      <c r="R970" s="25" t="str">
        <f t="shared" si="15"/>
        <v/>
      </c>
    </row>
    <row r="971" spans="1:18">
      <c r="A971" s="28"/>
      <c r="B971" s="48"/>
      <c r="C971" s="48"/>
      <c r="D971" s="21"/>
      <c r="E971" s="21"/>
      <c r="F971" s="21"/>
      <c r="G971" s="21"/>
      <c r="H971" s="21"/>
      <c r="I971" s="21"/>
      <c r="J971" s="45"/>
      <c r="K971" s="45"/>
      <c r="L971" s="45"/>
      <c r="M971" s="45"/>
      <c r="N971" s="45"/>
      <c r="O971" s="21"/>
      <c r="P971" s="21"/>
      <c r="Q971" s="21"/>
      <c r="R971" s="25" t="str">
        <f t="shared" si="15"/>
        <v/>
      </c>
    </row>
    <row r="972" spans="1:18">
      <c r="A972" s="28"/>
      <c r="B972" s="48"/>
      <c r="C972" s="48"/>
      <c r="D972" s="21"/>
      <c r="E972" s="21"/>
      <c r="F972" s="21"/>
      <c r="G972" s="21"/>
      <c r="H972" s="21"/>
      <c r="I972" s="21"/>
      <c r="J972" s="45"/>
      <c r="K972" s="45"/>
      <c r="L972" s="45"/>
      <c r="M972" s="45"/>
      <c r="N972" s="45"/>
      <c r="O972" s="21"/>
      <c r="P972" s="21"/>
      <c r="Q972" s="21"/>
      <c r="R972" s="25" t="str">
        <f t="shared" si="15"/>
        <v/>
      </c>
    </row>
    <row r="973" spans="1:18">
      <c r="A973" s="28"/>
      <c r="B973" s="48"/>
      <c r="C973" s="48"/>
      <c r="D973" s="21"/>
      <c r="E973" s="21"/>
      <c r="F973" s="21"/>
      <c r="G973" s="21"/>
      <c r="H973" s="21"/>
      <c r="I973" s="21"/>
      <c r="J973" s="45"/>
      <c r="K973" s="45"/>
      <c r="L973" s="45"/>
      <c r="M973" s="45"/>
      <c r="N973" s="45"/>
      <c r="O973" s="21"/>
      <c r="P973" s="21"/>
      <c r="Q973" s="21"/>
      <c r="R973" s="25" t="str">
        <f t="shared" si="15"/>
        <v/>
      </c>
    </row>
    <row r="974" spans="1:18">
      <c r="A974" s="28"/>
      <c r="B974" s="48"/>
      <c r="C974" s="48"/>
      <c r="D974" s="21"/>
      <c r="E974" s="21"/>
      <c r="F974" s="21"/>
      <c r="G974" s="21"/>
      <c r="H974" s="21"/>
      <c r="I974" s="21"/>
      <c r="J974" s="45"/>
      <c r="K974" s="45"/>
      <c r="L974" s="45"/>
      <c r="M974" s="45"/>
      <c r="N974" s="45"/>
      <c r="O974" s="21"/>
      <c r="P974" s="21"/>
      <c r="Q974" s="21"/>
      <c r="R974" s="25" t="str">
        <f t="shared" si="15"/>
        <v/>
      </c>
    </row>
    <row r="975" spans="1:18">
      <c r="A975" s="28"/>
      <c r="B975" s="48"/>
      <c r="C975" s="48"/>
      <c r="D975" s="21"/>
      <c r="E975" s="21"/>
      <c r="F975" s="21"/>
      <c r="G975" s="21"/>
      <c r="H975" s="21"/>
      <c r="I975" s="21"/>
      <c r="J975" s="45"/>
      <c r="K975" s="45"/>
      <c r="L975" s="45"/>
      <c r="M975" s="45"/>
      <c r="N975" s="45"/>
      <c r="O975" s="21"/>
      <c r="P975" s="21"/>
      <c r="Q975" s="21"/>
      <c r="R975" s="25" t="str">
        <f t="shared" si="15"/>
        <v/>
      </c>
    </row>
    <row r="976" spans="1:18">
      <c r="A976" s="28"/>
      <c r="B976" s="48"/>
      <c r="C976" s="48"/>
      <c r="D976" s="21"/>
      <c r="E976" s="21"/>
      <c r="F976" s="21"/>
      <c r="G976" s="21"/>
      <c r="H976" s="21"/>
      <c r="I976" s="21"/>
      <c r="J976" s="45"/>
      <c r="K976" s="45"/>
      <c r="L976" s="45"/>
      <c r="M976" s="45"/>
      <c r="N976" s="45"/>
      <c r="O976" s="21"/>
      <c r="P976" s="21"/>
      <c r="Q976" s="21"/>
      <c r="R976" s="25" t="str">
        <f t="shared" si="15"/>
        <v/>
      </c>
    </row>
    <row r="977" spans="1:18">
      <c r="A977" s="28"/>
      <c r="B977" s="48"/>
      <c r="C977" s="48"/>
      <c r="D977" s="21"/>
      <c r="E977" s="21"/>
      <c r="F977" s="21"/>
      <c r="G977" s="21"/>
      <c r="H977" s="21"/>
      <c r="I977" s="21"/>
      <c r="J977" s="45"/>
      <c r="K977" s="45"/>
      <c r="L977" s="45"/>
      <c r="M977" s="45"/>
      <c r="N977" s="45"/>
      <c r="O977" s="21"/>
      <c r="P977" s="21"/>
      <c r="Q977" s="21"/>
      <c r="R977" s="25" t="str">
        <f t="shared" si="15"/>
        <v/>
      </c>
    </row>
    <row r="978" spans="1:18">
      <c r="A978" s="28"/>
      <c r="B978" s="48"/>
      <c r="C978" s="48"/>
      <c r="D978" s="21"/>
      <c r="E978" s="21"/>
      <c r="F978" s="21"/>
      <c r="G978" s="21"/>
      <c r="H978" s="21"/>
      <c r="I978" s="21"/>
      <c r="J978" s="45"/>
      <c r="K978" s="45"/>
      <c r="L978" s="45"/>
      <c r="M978" s="45"/>
      <c r="N978" s="45"/>
      <c r="O978" s="21"/>
      <c r="P978" s="21"/>
      <c r="Q978" s="21"/>
      <c r="R978" s="25" t="str">
        <f t="shared" si="15"/>
        <v/>
      </c>
    </row>
    <row r="979" spans="1:18">
      <c r="A979" s="28"/>
      <c r="B979" s="48"/>
      <c r="C979" s="48"/>
      <c r="D979" s="21"/>
      <c r="E979" s="21"/>
      <c r="F979" s="21"/>
      <c r="G979" s="21"/>
      <c r="H979" s="21"/>
      <c r="I979" s="21"/>
      <c r="J979" s="45"/>
      <c r="K979" s="45"/>
      <c r="L979" s="45"/>
      <c r="M979" s="45"/>
      <c r="N979" s="45"/>
      <c r="O979" s="21"/>
      <c r="P979" s="21"/>
      <c r="Q979" s="21"/>
      <c r="R979" s="25" t="str">
        <f t="shared" si="15"/>
        <v/>
      </c>
    </row>
    <row r="980" spans="1:18">
      <c r="A980" s="28"/>
      <c r="B980" s="48"/>
      <c r="C980" s="48"/>
      <c r="D980" s="21"/>
      <c r="E980" s="21"/>
      <c r="F980" s="21"/>
      <c r="G980" s="21"/>
      <c r="H980" s="21"/>
      <c r="I980" s="21"/>
      <c r="J980" s="45"/>
      <c r="K980" s="45"/>
      <c r="L980" s="45"/>
      <c r="M980" s="45"/>
      <c r="N980" s="45"/>
      <c r="O980" s="21"/>
      <c r="P980" s="21"/>
      <c r="Q980" s="21"/>
      <c r="R980" s="25" t="str">
        <f t="shared" si="15"/>
        <v/>
      </c>
    </row>
    <row r="981" spans="1:18">
      <c r="A981" s="28"/>
      <c r="B981" s="48"/>
      <c r="C981" s="48"/>
      <c r="D981" s="21"/>
      <c r="E981" s="21"/>
      <c r="F981" s="21"/>
      <c r="G981" s="21"/>
      <c r="H981" s="21"/>
      <c r="I981" s="21"/>
      <c r="J981" s="45"/>
      <c r="K981" s="45"/>
      <c r="L981" s="45"/>
      <c r="M981" s="45"/>
      <c r="N981" s="45"/>
      <c r="O981" s="21"/>
      <c r="P981" s="21"/>
      <c r="Q981" s="21"/>
      <c r="R981" s="25" t="str">
        <f t="shared" si="15"/>
        <v/>
      </c>
    </row>
    <row r="982" spans="1:18">
      <c r="A982" s="28"/>
      <c r="B982" s="48"/>
      <c r="C982" s="48"/>
      <c r="D982" s="21"/>
      <c r="E982" s="21"/>
      <c r="F982" s="21"/>
      <c r="G982" s="21"/>
      <c r="H982" s="21"/>
      <c r="I982" s="21"/>
      <c r="J982" s="45"/>
      <c r="K982" s="45"/>
      <c r="L982" s="45"/>
      <c r="M982" s="45"/>
      <c r="N982" s="45"/>
      <c r="O982" s="21"/>
      <c r="P982" s="21"/>
      <c r="Q982" s="21"/>
      <c r="R982" s="25" t="str">
        <f t="shared" si="15"/>
        <v/>
      </c>
    </row>
    <row r="983" spans="1:18">
      <c r="A983" s="28"/>
      <c r="B983" s="48"/>
      <c r="C983" s="48"/>
      <c r="D983" s="21"/>
      <c r="E983" s="21"/>
      <c r="F983" s="21"/>
      <c r="G983" s="21"/>
      <c r="H983" s="21"/>
      <c r="I983" s="21"/>
      <c r="J983" s="45"/>
      <c r="K983" s="45"/>
      <c r="L983" s="45"/>
      <c r="M983" s="45"/>
      <c r="N983" s="45"/>
      <c r="O983" s="21"/>
      <c r="P983" s="21"/>
      <c r="Q983" s="21"/>
      <c r="R983" s="25" t="str">
        <f t="shared" si="15"/>
        <v/>
      </c>
    </row>
    <row r="984" spans="1:18">
      <c r="A984" s="28"/>
      <c r="B984" s="48"/>
      <c r="C984" s="48"/>
      <c r="D984" s="21"/>
      <c r="E984" s="21"/>
      <c r="F984" s="21"/>
      <c r="G984" s="21"/>
      <c r="H984" s="21"/>
      <c r="I984" s="21"/>
      <c r="J984" s="45"/>
      <c r="K984" s="45"/>
      <c r="L984" s="45"/>
      <c r="M984" s="45"/>
      <c r="N984" s="45"/>
      <c r="O984" s="21"/>
      <c r="P984" s="21"/>
      <c r="Q984" s="21"/>
      <c r="R984" s="25" t="str">
        <f t="shared" si="15"/>
        <v/>
      </c>
    </row>
    <row r="985" spans="1:18">
      <c r="A985" s="28"/>
      <c r="B985" s="48"/>
      <c r="C985" s="48"/>
      <c r="D985" s="21"/>
      <c r="E985" s="21"/>
      <c r="F985" s="21"/>
      <c r="G985" s="21"/>
      <c r="H985" s="21"/>
      <c r="I985" s="21"/>
      <c r="J985" s="45"/>
      <c r="K985" s="45"/>
      <c r="L985" s="45"/>
      <c r="M985" s="45"/>
      <c r="N985" s="45"/>
      <c r="O985" s="21"/>
      <c r="P985" s="21"/>
      <c r="Q985" s="21"/>
      <c r="R985" s="25" t="str">
        <f t="shared" si="15"/>
        <v/>
      </c>
    </row>
    <row r="986" spans="1:18">
      <c r="A986" s="28"/>
      <c r="B986" s="48"/>
      <c r="C986" s="48"/>
      <c r="D986" s="21"/>
      <c r="E986" s="21"/>
      <c r="F986" s="21"/>
      <c r="G986" s="21"/>
      <c r="H986" s="21"/>
      <c r="I986" s="21"/>
      <c r="J986" s="45"/>
      <c r="K986" s="45"/>
      <c r="L986" s="45"/>
      <c r="M986" s="45"/>
      <c r="N986" s="45"/>
      <c r="O986" s="21"/>
      <c r="P986" s="21"/>
      <c r="Q986" s="21"/>
      <c r="R986" s="25" t="str">
        <f t="shared" si="15"/>
        <v/>
      </c>
    </row>
    <row r="987" spans="1:18">
      <c r="A987" s="28"/>
      <c r="B987" s="48"/>
      <c r="C987" s="48"/>
      <c r="D987" s="21"/>
      <c r="E987" s="21"/>
      <c r="F987" s="21"/>
      <c r="G987" s="21"/>
      <c r="H987" s="21"/>
      <c r="I987" s="21"/>
      <c r="J987" s="45"/>
      <c r="K987" s="45"/>
      <c r="L987" s="45"/>
      <c r="M987" s="45"/>
      <c r="N987" s="45"/>
      <c r="O987" s="21"/>
      <c r="P987" s="21"/>
      <c r="Q987" s="21"/>
      <c r="R987" s="25" t="str">
        <f t="shared" si="15"/>
        <v/>
      </c>
    </row>
    <row r="988" spans="1:18">
      <c r="A988" s="28"/>
      <c r="B988" s="48"/>
      <c r="C988" s="48"/>
      <c r="D988" s="21"/>
      <c r="E988" s="21"/>
      <c r="F988" s="21"/>
      <c r="G988" s="21"/>
      <c r="H988" s="21"/>
      <c r="I988" s="21"/>
      <c r="J988" s="45"/>
      <c r="K988" s="45"/>
      <c r="L988" s="45"/>
      <c r="M988" s="45"/>
      <c r="N988" s="45"/>
      <c r="O988" s="21"/>
      <c r="P988" s="21"/>
      <c r="Q988" s="21"/>
      <c r="R988" s="25" t="str">
        <f t="shared" si="15"/>
        <v/>
      </c>
    </row>
    <row r="989" spans="1:18">
      <c r="A989" s="28"/>
      <c r="B989" s="48"/>
      <c r="C989" s="48"/>
      <c r="D989" s="21"/>
      <c r="E989" s="21"/>
      <c r="F989" s="21"/>
      <c r="G989" s="21"/>
      <c r="H989" s="21"/>
      <c r="I989" s="21"/>
      <c r="J989" s="45"/>
      <c r="K989" s="45"/>
      <c r="L989" s="45"/>
      <c r="M989" s="45"/>
      <c r="N989" s="45"/>
      <c r="O989" s="21"/>
      <c r="P989" s="21"/>
      <c r="Q989" s="21"/>
      <c r="R989" s="25" t="str">
        <f t="shared" si="15"/>
        <v/>
      </c>
    </row>
    <row r="990" spans="1:18">
      <c r="A990" s="28"/>
      <c r="B990" s="48"/>
      <c r="C990" s="48"/>
      <c r="D990" s="21"/>
      <c r="E990" s="21"/>
      <c r="F990" s="21"/>
      <c r="G990" s="21"/>
      <c r="H990" s="21"/>
      <c r="I990" s="21"/>
      <c r="J990" s="45"/>
      <c r="K990" s="45"/>
      <c r="L990" s="45"/>
      <c r="M990" s="45"/>
      <c r="N990" s="45"/>
      <c r="O990" s="21"/>
      <c r="P990" s="21"/>
      <c r="Q990" s="21"/>
      <c r="R990" s="25" t="str">
        <f t="shared" si="15"/>
        <v/>
      </c>
    </row>
    <row r="991" spans="1:18">
      <c r="A991" s="28"/>
      <c r="B991" s="48"/>
      <c r="C991" s="48"/>
      <c r="D991" s="21"/>
      <c r="E991" s="21"/>
      <c r="F991" s="21"/>
      <c r="G991" s="21"/>
      <c r="H991" s="21"/>
      <c r="I991" s="21"/>
      <c r="J991" s="45"/>
      <c r="K991" s="45"/>
      <c r="L991" s="45"/>
      <c r="M991" s="45"/>
      <c r="N991" s="45"/>
      <c r="O991" s="21"/>
      <c r="P991" s="21"/>
      <c r="Q991" s="21"/>
      <c r="R991" s="25" t="str">
        <f t="shared" si="15"/>
        <v/>
      </c>
    </row>
    <row r="992" spans="1:18">
      <c r="A992" s="28"/>
      <c r="B992" s="48"/>
      <c r="C992" s="48"/>
      <c r="D992" s="21"/>
      <c r="E992" s="21"/>
      <c r="F992" s="21"/>
      <c r="G992" s="21"/>
      <c r="H992" s="21"/>
      <c r="I992" s="21"/>
      <c r="J992" s="45"/>
      <c r="K992" s="45"/>
      <c r="L992" s="45"/>
      <c r="M992" s="45"/>
      <c r="N992" s="45"/>
      <c r="O992" s="21"/>
      <c r="P992" s="21"/>
      <c r="Q992" s="21"/>
      <c r="R992" s="25" t="str">
        <f t="shared" si="15"/>
        <v/>
      </c>
    </row>
    <row r="993" spans="1:18">
      <c r="A993" s="28"/>
      <c r="B993" s="48"/>
      <c r="C993" s="48"/>
      <c r="D993" s="21"/>
      <c r="E993" s="21"/>
      <c r="F993" s="21"/>
      <c r="G993" s="21"/>
      <c r="H993" s="21"/>
      <c r="I993" s="21"/>
      <c r="J993" s="45"/>
      <c r="K993" s="45"/>
      <c r="L993" s="45"/>
      <c r="M993" s="45"/>
      <c r="N993" s="45"/>
      <c r="O993" s="21"/>
      <c r="P993" s="21"/>
      <c r="Q993" s="21"/>
      <c r="R993" s="25" t="str">
        <f t="shared" si="15"/>
        <v/>
      </c>
    </row>
    <row r="994" spans="1:18">
      <c r="A994" s="28"/>
      <c r="B994" s="48"/>
      <c r="C994" s="48"/>
      <c r="D994" s="21"/>
      <c r="E994" s="21"/>
      <c r="F994" s="21"/>
      <c r="G994" s="21"/>
      <c r="H994" s="21"/>
      <c r="I994" s="21"/>
      <c r="J994" s="45"/>
      <c r="K994" s="45"/>
      <c r="L994" s="45"/>
      <c r="M994" s="45"/>
      <c r="N994" s="45"/>
      <c r="O994" s="21"/>
      <c r="P994" s="21"/>
      <c r="Q994" s="21"/>
      <c r="R994" s="25" t="str">
        <f t="shared" si="15"/>
        <v/>
      </c>
    </row>
    <row r="995" spans="1:18">
      <c r="A995" s="28"/>
      <c r="B995" s="48"/>
      <c r="C995" s="48"/>
      <c r="D995" s="21"/>
      <c r="E995" s="21"/>
      <c r="F995" s="21"/>
      <c r="G995" s="21"/>
      <c r="H995" s="21"/>
      <c r="I995" s="21"/>
      <c r="J995" s="45"/>
      <c r="K995" s="45"/>
      <c r="L995" s="45"/>
      <c r="M995" s="45"/>
      <c r="N995" s="45"/>
      <c r="O995" s="21"/>
      <c r="P995" s="21"/>
      <c r="Q995" s="21"/>
      <c r="R995" s="25" t="str">
        <f t="shared" si="15"/>
        <v/>
      </c>
    </row>
    <row r="996" spans="1:18">
      <c r="A996" s="28"/>
      <c r="B996" s="48"/>
      <c r="C996" s="48"/>
      <c r="D996" s="21"/>
      <c r="E996" s="21"/>
      <c r="F996" s="21"/>
      <c r="G996" s="21"/>
      <c r="H996" s="21"/>
      <c r="I996" s="21"/>
      <c r="J996" s="45"/>
      <c r="K996" s="45"/>
      <c r="L996" s="45"/>
      <c r="M996" s="45"/>
      <c r="N996" s="45"/>
      <c r="O996" s="21"/>
      <c r="P996" s="21"/>
      <c r="Q996" s="21"/>
      <c r="R996" s="25" t="str">
        <f t="shared" si="15"/>
        <v/>
      </c>
    </row>
    <row r="997" spans="1:18">
      <c r="A997" s="28"/>
      <c r="B997" s="48"/>
      <c r="C997" s="48"/>
      <c r="D997" s="21"/>
      <c r="E997" s="21"/>
      <c r="F997" s="21"/>
      <c r="G997" s="21"/>
      <c r="H997" s="21"/>
      <c r="I997" s="21"/>
      <c r="J997" s="45"/>
      <c r="K997" s="45"/>
      <c r="L997" s="45"/>
      <c r="M997" s="45"/>
      <c r="N997" s="45"/>
      <c r="O997" s="21"/>
      <c r="P997" s="21"/>
      <c r="Q997" s="21"/>
      <c r="R997" s="25" t="str">
        <f t="shared" si="15"/>
        <v/>
      </c>
    </row>
    <row r="998" spans="1:18">
      <c r="A998" s="28"/>
      <c r="B998" s="48"/>
      <c r="C998" s="48"/>
      <c r="D998" s="21"/>
      <c r="E998" s="21"/>
      <c r="F998" s="21"/>
      <c r="G998" s="21"/>
      <c r="H998" s="21"/>
      <c r="I998" s="21"/>
      <c r="J998" s="45"/>
      <c r="K998" s="45"/>
      <c r="L998" s="45"/>
      <c r="M998" s="45"/>
      <c r="N998" s="45"/>
      <c r="O998" s="21"/>
      <c r="P998" s="21"/>
      <c r="Q998" s="21"/>
      <c r="R998" s="25" t="str">
        <f t="shared" si="15"/>
        <v/>
      </c>
    </row>
    <row r="999" spans="1:18">
      <c r="A999" s="28"/>
      <c r="B999" s="48"/>
      <c r="C999" s="48"/>
      <c r="D999" s="21"/>
      <c r="E999" s="21"/>
      <c r="F999" s="21"/>
      <c r="G999" s="21"/>
      <c r="H999" s="21"/>
      <c r="I999" s="21"/>
      <c r="J999" s="45"/>
      <c r="K999" s="45"/>
      <c r="L999" s="45"/>
      <c r="M999" s="45"/>
      <c r="N999" s="45"/>
      <c r="O999" s="21"/>
      <c r="P999" s="21"/>
      <c r="Q999" s="21"/>
      <c r="R999" s="25" t="str">
        <f t="shared" si="15"/>
        <v/>
      </c>
    </row>
    <row r="1000" spans="1:18">
      <c r="A1000" s="28"/>
      <c r="B1000" s="48"/>
      <c r="C1000" s="48"/>
      <c r="D1000" s="21"/>
      <c r="E1000" s="21"/>
      <c r="F1000" s="21"/>
      <c r="G1000" s="21"/>
      <c r="H1000" s="21"/>
      <c r="I1000" s="21"/>
      <c r="J1000" s="45"/>
      <c r="K1000" s="45"/>
      <c r="L1000" s="45"/>
      <c r="M1000" s="45"/>
      <c r="N1000" s="45"/>
      <c r="O1000" s="21"/>
      <c r="P1000" s="21"/>
      <c r="Q1000" s="21"/>
      <c r="R1000" s="25" t="str">
        <f t="shared" si="15"/>
        <v/>
      </c>
    </row>
    <row r="1001" spans="1:18">
      <c r="A1001" s="28"/>
      <c r="B1001" s="48"/>
      <c r="C1001" s="48"/>
      <c r="D1001" s="21"/>
      <c r="E1001" s="21"/>
      <c r="F1001" s="21"/>
      <c r="G1001" s="21"/>
      <c r="H1001" s="21"/>
      <c r="I1001" s="21"/>
      <c r="J1001" s="45"/>
      <c r="K1001" s="45"/>
      <c r="L1001" s="45"/>
      <c r="M1001" s="45"/>
      <c r="N1001" s="45"/>
      <c r="O1001" s="21"/>
      <c r="P1001" s="21"/>
      <c r="Q1001" s="21"/>
      <c r="R1001" s="25" t="str">
        <f t="shared" si="15"/>
        <v/>
      </c>
    </row>
    <row r="1002" spans="1:18">
      <c r="A1002" s="28"/>
      <c r="B1002" s="48"/>
      <c r="C1002" s="48"/>
      <c r="D1002" s="21"/>
      <c r="E1002" s="21"/>
      <c r="F1002" s="21"/>
      <c r="G1002" s="21"/>
      <c r="H1002" s="21"/>
      <c r="I1002" s="21"/>
      <c r="J1002" s="45"/>
      <c r="K1002" s="45"/>
      <c r="L1002" s="45"/>
      <c r="M1002" s="45"/>
      <c r="N1002" s="45"/>
      <c r="O1002" s="21"/>
      <c r="P1002" s="21"/>
      <c r="Q1002" s="21"/>
      <c r="R1002" s="25" t="str">
        <f t="shared" si="15"/>
        <v/>
      </c>
    </row>
    <row r="1003" spans="1:18">
      <c r="A1003" s="28"/>
      <c r="B1003" s="48"/>
      <c r="C1003" s="48"/>
      <c r="D1003" s="21"/>
      <c r="E1003" s="21"/>
      <c r="F1003" s="21"/>
      <c r="G1003" s="21"/>
      <c r="H1003" s="21"/>
      <c r="I1003" s="21"/>
      <c r="J1003" s="45"/>
      <c r="K1003" s="45"/>
      <c r="L1003" s="45"/>
      <c r="M1003" s="45"/>
      <c r="N1003" s="45"/>
      <c r="O1003" s="21"/>
      <c r="P1003" s="21"/>
      <c r="Q1003" s="21"/>
      <c r="R1003" s="25" t="str">
        <f t="shared" si="15"/>
        <v/>
      </c>
    </row>
    <row r="1004" spans="1:18">
      <c r="A1004" s="28"/>
      <c r="B1004" s="48"/>
      <c r="C1004" s="48"/>
      <c r="D1004" s="21"/>
      <c r="E1004" s="21"/>
      <c r="F1004" s="21"/>
      <c r="G1004" s="21"/>
      <c r="H1004" s="21"/>
      <c r="I1004" s="21"/>
      <c r="J1004" s="45"/>
      <c r="K1004" s="45"/>
      <c r="L1004" s="45"/>
      <c r="M1004" s="45"/>
      <c r="N1004" s="45"/>
      <c r="O1004" s="21"/>
      <c r="P1004" s="21"/>
      <c r="Q1004" s="21"/>
      <c r="R1004" s="25" t="str">
        <f t="shared" si="15"/>
        <v/>
      </c>
    </row>
    <row r="1005" spans="1:18">
      <c r="A1005" s="28"/>
      <c r="B1005" s="48"/>
      <c r="C1005" s="48"/>
      <c r="D1005" s="21"/>
      <c r="E1005" s="21"/>
      <c r="F1005" s="21"/>
      <c r="G1005" s="21"/>
      <c r="H1005" s="21"/>
      <c r="I1005" s="21"/>
      <c r="J1005" s="45"/>
      <c r="K1005" s="45"/>
      <c r="L1005" s="45"/>
      <c r="M1005" s="45"/>
      <c r="N1005" s="45"/>
      <c r="O1005" s="21"/>
      <c r="P1005" s="21"/>
      <c r="Q1005" s="21"/>
      <c r="R1005" s="25" t="str">
        <f t="shared" si="15"/>
        <v/>
      </c>
    </row>
    <row r="1006" spans="1:18">
      <c r="A1006" s="28"/>
      <c r="B1006" s="48"/>
      <c r="C1006" s="48"/>
      <c r="D1006" s="21"/>
      <c r="E1006" s="21"/>
      <c r="F1006" s="21"/>
      <c r="G1006" s="21"/>
      <c r="H1006" s="21"/>
      <c r="I1006" s="21"/>
      <c r="J1006" s="45"/>
      <c r="K1006" s="45"/>
      <c r="L1006" s="45"/>
      <c r="M1006" s="45"/>
      <c r="N1006" s="45"/>
      <c r="O1006" s="21"/>
      <c r="P1006" s="21"/>
      <c r="Q1006" s="21"/>
      <c r="R1006" s="25" t="str">
        <f t="shared" si="15"/>
        <v/>
      </c>
    </row>
    <row r="1007" spans="1:18">
      <c r="A1007" s="28"/>
      <c r="B1007" s="48"/>
      <c r="C1007" s="48"/>
      <c r="D1007" s="21"/>
      <c r="E1007" s="21"/>
      <c r="F1007" s="21"/>
      <c r="G1007" s="21"/>
      <c r="H1007" s="21"/>
      <c r="I1007" s="21"/>
      <c r="J1007" s="45"/>
      <c r="K1007" s="45"/>
      <c r="L1007" s="45"/>
      <c r="M1007" s="45"/>
      <c r="N1007" s="45"/>
      <c r="O1007" s="21"/>
      <c r="P1007" s="21"/>
      <c r="Q1007" s="21"/>
      <c r="R1007" s="25" t="str">
        <f t="shared" si="15"/>
        <v/>
      </c>
    </row>
    <row r="1008" spans="1:18">
      <c r="A1008" s="28"/>
      <c r="B1008" s="48"/>
      <c r="C1008" s="48"/>
      <c r="D1008" s="21"/>
      <c r="E1008" s="21"/>
      <c r="F1008" s="21"/>
      <c r="G1008" s="21"/>
      <c r="H1008" s="21"/>
      <c r="I1008" s="21"/>
      <c r="J1008" s="45"/>
      <c r="K1008" s="45"/>
      <c r="L1008" s="45"/>
      <c r="M1008" s="45"/>
      <c r="N1008" s="45"/>
      <c r="O1008" s="21"/>
      <c r="P1008" s="21"/>
      <c r="Q1008" s="21"/>
      <c r="R1008" s="25" t="str">
        <f t="shared" si="15"/>
        <v/>
      </c>
    </row>
    <row r="1009" spans="1:18">
      <c r="A1009" s="28"/>
      <c r="B1009" s="48"/>
      <c r="C1009" s="48"/>
      <c r="D1009" s="21"/>
      <c r="E1009" s="21"/>
      <c r="F1009" s="21"/>
      <c r="G1009" s="21"/>
      <c r="H1009" s="21"/>
      <c r="I1009" s="21"/>
      <c r="J1009" s="45"/>
      <c r="K1009" s="45"/>
      <c r="L1009" s="45"/>
      <c r="M1009" s="45"/>
      <c r="N1009" s="45"/>
      <c r="O1009" s="21"/>
      <c r="P1009" s="21"/>
      <c r="Q1009" s="21"/>
      <c r="R1009" s="25" t="str">
        <f t="shared" si="15"/>
        <v/>
      </c>
    </row>
    <row r="1010" spans="1:18">
      <c r="A1010" s="28"/>
      <c r="B1010" s="48"/>
      <c r="C1010" s="48"/>
      <c r="D1010" s="21"/>
      <c r="E1010" s="21"/>
      <c r="F1010" s="21"/>
      <c r="G1010" s="21"/>
      <c r="H1010" s="21"/>
      <c r="I1010" s="21"/>
      <c r="J1010" s="45"/>
      <c r="K1010" s="45"/>
      <c r="L1010" s="45"/>
      <c r="M1010" s="45"/>
      <c r="N1010" s="45"/>
      <c r="O1010" s="21"/>
      <c r="P1010" s="21"/>
      <c r="Q1010" s="21"/>
      <c r="R1010" s="25" t="str">
        <f t="shared" si="15"/>
        <v/>
      </c>
    </row>
    <row r="1011" spans="1:18">
      <c r="A1011" s="28"/>
      <c r="B1011" s="48"/>
      <c r="C1011" s="48"/>
      <c r="D1011" s="21"/>
      <c r="E1011" s="21"/>
      <c r="F1011" s="21"/>
      <c r="G1011" s="21"/>
      <c r="H1011" s="21"/>
      <c r="I1011" s="21"/>
      <c r="J1011" s="45"/>
      <c r="K1011" s="45"/>
      <c r="L1011" s="45"/>
      <c r="M1011" s="45"/>
      <c r="N1011" s="45"/>
      <c r="O1011" s="21"/>
      <c r="P1011" s="21"/>
      <c r="Q1011" s="21"/>
      <c r="R1011" s="25" t="str">
        <f t="shared" ref="R1011:R1074" si="16">IF(COUNTIF($A$17:$A$2010,$A1011)&gt;1,"Possible Duplicate","")</f>
        <v/>
      </c>
    </row>
    <row r="1012" spans="1:18">
      <c r="A1012" s="28"/>
      <c r="B1012" s="48"/>
      <c r="C1012" s="48"/>
      <c r="D1012" s="21"/>
      <c r="E1012" s="21"/>
      <c r="F1012" s="21"/>
      <c r="G1012" s="21"/>
      <c r="H1012" s="21"/>
      <c r="I1012" s="21"/>
      <c r="J1012" s="45"/>
      <c r="K1012" s="45"/>
      <c r="L1012" s="45"/>
      <c r="M1012" s="45"/>
      <c r="N1012" s="45"/>
      <c r="O1012" s="21"/>
      <c r="P1012" s="21"/>
      <c r="Q1012" s="21"/>
      <c r="R1012" s="25" t="str">
        <f t="shared" si="16"/>
        <v/>
      </c>
    </row>
    <row r="1013" spans="1:18">
      <c r="A1013" s="28"/>
      <c r="B1013" s="48"/>
      <c r="C1013" s="48"/>
      <c r="D1013" s="21"/>
      <c r="E1013" s="21"/>
      <c r="F1013" s="21"/>
      <c r="G1013" s="21"/>
      <c r="H1013" s="21"/>
      <c r="I1013" s="21"/>
      <c r="J1013" s="45"/>
      <c r="K1013" s="45"/>
      <c r="L1013" s="45"/>
      <c r="M1013" s="45"/>
      <c r="N1013" s="45"/>
      <c r="O1013" s="21"/>
      <c r="P1013" s="21"/>
      <c r="Q1013" s="21"/>
      <c r="R1013" s="25" t="str">
        <f t="shared" si="16"/>
        <v/>
      </c>
    </row>
    <row r="1014" spans="1:18">
      <c r="A1014" s="28"/>
      <c r="B1014" s="48"/>
      <c r="C1014" s="48"/>
      <c r="D1014" s="21"/>
      <c r="E1014" s="21"/>
      <c r="F1014" s="21"/>
      <c r="G1014" s="21"/>
      <c r="H1014" s="21"/>
      <c r="I1014" s="21"/>
      <c r="J1014" s="45"/>
      <c r="K1014" s="45"/>
      <c r="L1014" s="45"/>
      <c r="M1014" s="45"/>
      <c r="N1014" s="45"/>
      <c r="O1014" s="21"/>
      <c r="P1014" s="21"/>
      <c r="Q1014" s="21"/>
      <c r="R1014" s="25" t="str">
        <f t="shared" si="16"/>
        <v/>
      </c>
    </row>
    <row r="1015" spans="1:18">
      <c r="A1015" s="28"/>
      <c r="B1015" s="48"/>
      <c r="C1015" s="48"/>
      <c r="D1015" s="21"/>
      <c r="E1015" s="21"/>
      <c r="F1015" s="21"/>
      <c r="G1015" s="21"/>
      <c r="H1015" s="21"/>
      <c r="I1015" s="21"/>
      <c r="J1015" s="45"/>
      <c r="K1015" s="45"/>
      <c r="L1015" s="45"/>
      <c r="M1015" s="45"/>
      <c r="N1015" s="45"/>
      <c r="O1015" s="21"/>
      <c r="P1015" s="21"/>
      <c r="Q1015" s="21"/>
      <c r="R1015" s="25" t="str">
        <f t="shared" si="16"/>
        <v/>
      </c>
    </row>
    <row r="1016" spans="1:18">
      <c r="A1016" s="28"/>
      <c r="B1016" s="48"/>
      <c r="C1016" s="48"/>
      <c r="D1016" s="21"/>
      <c r="E1016" s="21"/>
      <c r="F1016" s="21"/>
      <c r="G1016" s="21"/>
      <c r="H1016" s="21"/>
      <c r="I1016" s="21"/>
      <c r="J1016" s="45"/>
      <c r="K1016" s="45"/>
      <c r="L1016" s="45"/>
      <c r="M1016" s="45"/>
      <c r="N1016" s="45"/>
      <c r="O1016" s="21"/>
      <c r="P1016" s="21"/>
      <c r="Q1016" s="21"/>
      <c r="R1016" s="25" t="str">
        <f t="shared" si="16"/>
        <v/>
      </c>
    </row>
    <row r="1017" spans="1:18">
      <c r="A1017" s="28"/>
      <c r="B1017" s="48"/>
      <c r="C1017" s="48"/>
      <c r="D1017" s="21"/>
      <c r="E1017" s="21"/>
      <c r="F1017" s="21"/>
      <c r="G1017" s="21"/>
      <c r="H1017" s="21"/>
      <c r="I1017" s="21"/>
      <c r="J1017" s="45"/>
      <c r="K1017" s="45"/>
      <c r="L1017" s="45"/>
      <c r="M1017" s="45"/>
      <c r="N1017" s="45"/>
      <c r="O1017" s="21"/>
      <c r="P1017" s="21"/>
      <c r="Q1017" s="21"/>
      <c r="R1017" s="25" t="str">
        <f t="shared" si="16"/>
        <v/>
      </c>
    </row>
    <row r="1018" spans="1:18">
      <c r="A1018" s="28"/>
      <c r="B1018" s="48"/>
      <c r="C1018" s="48"/>
      <c r="D1018" s="21"/>
      <c r="E1018" s="21"/>
      <c r="F1018" s="21"/>
      <c r="G1018" s="21"/>
      <c r="H1018" s="21"/>
      <c r="I1018" s="21"/>
      <c r="J1018" s="45"/>
      <c r="K1018" s="45"/>
      <c r="L1018" s="45"/>
      <c r="M1018" s="45"/>
      <c r="N1018" s="45"/>
      <c r="O1018" s="21"/>
      <c r="P1018" s="21"/>
      <c r="Q1018" s="21"/>
      <c r="R1018" s="25" t="str">
        <f t="shared" si="16"/>
        <v/>
      </c>
    </row>
    <row r="1019" spans="1:18">
      <c r="A1019" s="28"/>
      <c r="B1019" s="48"/>
      <c r="C1019" s="48"/>
      <c r="D1019" s="21"/>
      <c r="E1019" s="21"/>
      <c r="F1019" s="21"/>
      <c r="G1019" s="21"/>
      <c r="H1019" s="21"/>
      <c r="I1019" s="21"/>
      <c r="J1019" s="45"/>
      <c r="K1019" s="45"/>
      <c r="L1019" s="45"/>
      <c r="M1019" s="45"/>
      <c r="N1019" s="45"/>
      <c r="O1019" s="21"/>
      <c r="P1019" s="21"/>
      <c r="Q1019" s="21"/>
      <c r="R1019" s="25" t="str">
        <f t="shared" si="16"/>
        <v/>
      </c>
    </row>
    <row r="1020" spans="1:18">
      <c r="A1020" s="28"/>
      <c r="B1020" s="48"/>
      <c r="C1020" s="48"/>
      <c r="D1020" s="21"/>
      <c r="E1020" s="21"/>
      <c r="F1020" s="21"/>
      <c r="G1020" s="21"/>
      <c r="H1020" s="21"/>
      <c r="I1020" s="21"/>
      <c r="J1020" s="45"/>
      <c r="K1020" s="45"/>
      <c r="L1020" s="45"/>
      <c r="M1020" s="45"/>
      <c r="N1020" s="45"/>
      <c r="O1020" s="21"/>
      <c r="P1020" s="21"/>
      <c r="Q1020" s="21"/>
      <c r="R1020" s="25" t="str">
        <f t="shared" si="16"/>
        <v/>
      </c>
    </row>
    <row r="1021" spans="1:18">
      <c r="A1021" s="28"/>
      <c r="B1021" s="48"/>
      <c r="C1021" s="48"/>
      <c r="D1021" s="21"/>
      <c r="E1021" s="21"/>
      <c r="F1021" s="21"/>
      <c r="G1021" s="21"/>
      <c r="H1021" s="21"/>
      <c r="I1021" s="21"/>
      <c r="J1021" s="45"/>
      <c r="K1021" s="45"/>
      <c r="L1021" s="45"/>
      <c r="M1021" s="45"/>
      <c r="N1021" s="45"/>
      <c r="O1021" s="21"/>
      <c r="P1021" s="21"/>
      <c r="Q1021" s="21"/>
      <c r="R1021" s="25" t="str">
        <f t="shared" si="16"/>
        <v/>
      </c>
    </row>
    <row r="1022" spans="1:18">
      <c r="A1022" s="28"/>
      <c r="B1022" s="48"/>
      <c r="C1022" s="48"/>
      <c r="D1022" s="21"/>
      <c r="E1022" s="21"/>
      <c r="F1022" s="21"/>
      <c r="G1022" s="21"/>
      <c r="H1022" s="21"/>
      <c r="I1022" s="21"/>
      <c r="J1022" s="45"/>
      <c r="K1022" s="45"/>
      <c r="L1022" s="45"/>
      <c r="M1022" s="45"/>
      <c r="N1022" s="45"/>
      <c r="O1022" s="21"/>
      <c r="P1022" s="21"/>
      <c r="Q1022" s="21"/>
      <c r="R1022" s="25" t="str">
        <f t="shared" si="16"/>
        <v/>
      </c>
    </row>
    <row r="1023" spans="1:18">
      <c r="A1023" s="28"/>
      <c r="B1023" s="48"/>
      <c r="C1023" s="48"/>
      <c r="D1023" s="21"/>
      <c r="E1023" s="21"/>
      <c r="F1023" s="21"/>
      <c r="G1023" s="21"/>
      <c r="H1023" s="21"/>
      <c r="I1023" s="21"/>
      <c r="J1023" s="45"/>
      <c r="K1023" s="45"/>
      <c r="L1023" s="45"/>
      <c r="M1023" s="45"/>
      <c r="N1023" s="45"/>
      <c r="O1023" s="21"/>
      <c r="P1023" s="21"/>
      <c r="Q1023" s="21"/>
      <c r="R1023" s="25" t="str">
        <f t="shared" si="16"/>
        <v/>
      </c>
    </row>
    <row r="1024" spans="1:18">
      <c r="A1024" s="28"/>
      <c r="B1024" s="48"/>
      <c r="C1024" s="48"/>
      <c r="D1024" s="21"/>
      <c r="E1024" s="21"/>
      <c r="F1024" s="21"/>
      <c r="G1024" s="21"/>
      <c r="H1024" s="21"/>
      <c r="I1024" s="21"/>
      <c r="J1024" s="45"/>
      <c r="K1024" s="45"/>
      <c r="L1024" s="45"/>
      <c r="M1024" s="45"/>
      <c r="N1024" s="45"/>
      <c r="O1024" s="21"/>
      <c r="P1024" s="21"/>
      <c r="Q1024" s="21"/>
      <c r="R1024" s="25" t="str">
        <f t="shared" si="16"/>
        <v/>
      </c>
    </row>
    <row r="1025" spans="1:18">
      <c r="A1025" s="28"/>
      <c r="B1025" s="48"/>
      <c r="C1025" s="48"/>
      <c r="D1025" s="21"/>
      <c r="E1025" s="21"/>
      <c r="F1025" s="21"/>
      <c r="G1025" s="21"/>
      <c r="H1025" s="21"/>
      <c r="I1025" s="21"/>
      <c r="J1025" s="45"/>
      <c r="K1025" s="45"/>
      <c r="L1025" s="45"/>
      <c r="M1025" s="45"/>
      <c r="N1025" s="45"/>
      <c r="O1025" s="21"/>
      <c r="P1025" s="21"/>
      <c r="Q1025" s="21"/>
      <c r="R1025" s="25" t="str">
        <f t="shared" si="16"/>
        <v/>
      </c>
    </row>
    <row r="1026" spans="1:18">
      <c r="A1026" s="28"/>
      <c r="B1026" s="48"/>
      <c r="C1026" s="48"/>
      <c r="D1026" s="21"/>
      <c r="E1026" s="21"/>
      <c r="F1026" s="21"/>
      <c r="G1026" s="21"/>
      <c r="H1026" s="21"/>
      <c r="I1026" s="21"/>
      <c r="J1026" s="45"/>
      <c r="K1026" s="45"/>
      <c r="L1026" s="45"/>
      <c r="M1026" s="45"/>
      <c r="N1026" s="45"/>
      <c r="O1026" s="21"/>
      <c r="P1026" s="21"/>
      <c r="Q1026" s="21"/>
      <c r="R1026" s="25" t="str">
        <f t="shared" si="16"/>
        <v/>
      </c>
    </row>
    <row r="1027" spans="1:18">
      <c r="A1027" s="28"/>
      <c r="B1027" s="48"/>
      <c r="C1027" s="48"/>
      <c r="D1027" s="21"/>
      <c r="E1027" s="21"/>
      <c r="F1027" s="21"/>
      <c r="G1027" s="21"/>
      <c r="H1027" s="21"/>
      <c r="I1027" s="21"/>
      <c r="J1027" s="45"/>
      <c r="K1027" s="45"/>
      <c r="L1027" s="45"/>
      <c r="M1027" s="45"/>
      <c r="N1027" s="45"/>
      <c r="O1027" s="21"/>
      <c r="P1027" s="21"/>
      <c r="Q1027" s="21"/>
      <c r="R1027" s="25" t="str">
        <f t="shared" si="16"/>
        <v/>
      </c>
    </row>
    <row r="1028" spans="1:18">
      <c r="A1028" s="28"/>
      <c r="B1028" s="48"/>
      <c r="C1028" s="48"/>
      <c r="D1028" s="21"/>
      <c r="E1028" s="21"/>
      <c r="F1028" s="21"/>
      <c r="G1028" s="21"/>
      <c r="H1028" s="21"/>
      <c r="I1028" s="21"/>
      <c r="J1028" s="45"/>
      <c r="K1028" s="45"/>
      <c r="L1028" s="45"/>
      <c r="M1028" s="45"/>
      <c r="N1028" s="45"/>
      <c r="O1028" s="21"/>
      <c r="P1028" s="21"/>
      <c r="Q1028" s="21"/>
      <c r="R1028" s="25" t="str">
        <f t="shared" si="16"/>
        <v/>
      </c>
    </row>
    <row r="1029" spans="1:18">
      <c r="A1029" s="28"/>
      <c r="B1029" s="48"/>
      <c r="C1029" s="48"/>
      <c r="D1029" s="21"/>
      <c r="E1029" s="21"/>
      <c r="F1029" s="21"/>
      <c r="G1029" s="21"/>
      <c r="H1029" s="21"/>
      <c r="I1029" s="21"/>
      <c r="J1029" s="45"/>
      <c r="K1029" s="45"/>
      <c r="L1029" s="45"/>
      <c r="M1029" s="45"/>
      <c r="N1029" s="45"/>
      <c r="O1029" s="21"/>
      <c r="P1029" s="21"/>
      <c r="Q1029" s="21"/>
      <c r="R1029" s="25" t="str">
        <f t="shared" si="16"/>
        <v/>
      </c>
    </row>
    <row r="1030" spans="1:18">
      <c r="A1030" s="28"/>
      <c r="B1030" s="48"/>
      <c r="C1030" s="48"/>
      <c r="D1030" s="21"/>
      <c r="E1030" s="21"/>
      <c r="F1030" s="21"/>
      <c r="G1030" s="21"/>
      <c r="H1030" s="21"/>
      <c r="I1030" s="21"/>
      <c r="J1030" s="45"/>
      <c r="K1030" s="45"/>
      <c r="L1030" s="45"/>
      <c r="M1030" s="45"/>
      <c r="N1030" s="45"/>
      <c r="O1030" s="21"/>
      <c r="P1030" s="21"/>
      <c r="Q1030" s="21"/>
      <c r="R1030" s="25" t="str">
        <f t="shared" si="16"/>
        <v/>
      </c>
    </row>
    <row r="1031" spans="1:18">
      <c r="A1031" s="28"/>
      <c r="B1031" s="48"/>
      <c r="C1031" s="48"/>
      <c r="D1031" s="21"/>
      <c r="E1031" s="21"/>
      <c r="F1031" s="21"/>
      <c r="G1031" s="21"/>
      <c r="H1031" s="21"/>
      <c r="I1031" s="21"/>
      <c r="J1031" s="45"/>
      <c r="K1031" s="45"/>
      <c r="L1031" s="45"/>
      <c r="M1031" s="45"/>
      <c r="N1031" s="45"/>
      <c r="O1031" s="21"/>
      <c r="P1031" s="21"/>
      <c r="Q1031" s="21"/>
      <c r="R1031" s="25" t="str">
        <f t="shared" si="16"/>
        <v/>
      </c>
    </row>
    <row r="1032" spans="1:18">
      <c r="A1032" s="28"/>
      <c r="B1032" s="48"/>
      <c r="C1032" s="48"/>
      <c r="D1032" s="21"/>
      <c r="E1032" s="21"/>
      <c r="F1032" s="21"/>
      <c r="G1032" s="21"/>
      <c r="H1032" s="21"/>
      <c r="I1032" s="21"/>
      <c r="J1032" s="45"/>
      <c r="K1032" s="45"/>
      <c r="L1032" s="45"/>
      <c r="M1032" s="45"/>
      <c r="N1032" s="45"/>
      <c r="O1032" s="21"/>
      <c r="P1032" s="21"/>
      <c r="Q1032" s="21"/>
      <c r="R1032" s="25" t="str">
        <f t="shared" si="16"/>
        <v/>
      </c>
    </row>
    <row r="1033" spans="1:18">
      <c r="A1033" s="28"/>
      <c r="B1033" s="48"/>
      <c r="C1033" s="48"/>
      <c r="D1033" s="21"/>
      <c r="E1033" s="21"/>
      <c r="F1033" s="21"/>
      <c r="G1033" s="21"/>
      <c r="H1033" s="21"/>
      <c r="I1033" s="21"/>
      <c r="J1033" s="45"/>
      <c r="K1033" s="45"/>
      <c r="L1033" s="45"/>
      <c r="M1033" s="45"/>
      <c r="N1033" s="45"/>
      <c r="O1033" s="21"/>
      <c r="P1033" s="21"/>
      <c r="Q1033" s="21"/>
      <c r="R1033" s="25" t="str">
        <f t="shared" si="16"/>
        <v/>
      </c>
    </row>
    <row r="1034" spans="1:18">
      <c r="A1034" s="28"/>
      <c r="B1034" s="48"/>
      <c r="C1034" s="48"/>
      <c r="D1034" s="21"/>
      <c r="E1034" s="21"/>
      <c r="F1034" s="21"/>
      <c r="G1034" s="21"/>
      <c r="H1034" s="21"/>
      <c r="I1034" s="21"/>
      <c r="J1034" s="45"/>
      <c r="K1034" s="45"/>
      <c r="L1034" s="45"/>
      <c r="M1034" s="45"/>
      <c r="N1034" s="45"/>
      <c r="O1034" s="21"/>
      <c r="P1034" s="21"/>
      <c r="Q1034" s="21"/>
      <c r="R1034" s="25" t="str">
        <f t="shared" si="16"/>
        <v/>
      </c>
    </row>
    <row r="1035" spans="1:18">
      <c r="A1035" s="28"/>
      <c r="B1035" s="48"/>
      <c r="C1035" s="48"/>
      <c r="D1035" s="21"/>
      <c r="E1035" s="21"/>
      <c r="F1035" s="21"/>
      <c r="G1035" s="21"/>
      <c r="H1035" s="21"/>
      <c r="I1035" s="21"/>
      <c r="J1035" s="45"/>
      <c r="K1035" s="45"/>
      <c r="L1035" s="45"/>
      <c r="M1035" s="45"/>
      <c r="N1035" s="45"/>
      <c r="O1035" s="21"/>
      <c r="P1035" s="21"/>
      <c r="Q1035" s="21"/>
      <c r="R1035" s="25" t="str">
        <f t="shared" si="16"/>
        <v/>
      </c>
    </row>
    <row r="1036" spans="1:18">
      <c r="A1036" s="28"/>
      <c r="B1036" s="48"/>
      <c r="C1036" s="48"/>
      <c r="D1036" s="21"/>
      <c r="E1036" s="21"/>
      <c r="F1036" s="21"/>
      <c r="G1036" s="21"/>
      <c r="H1036" s="21"/>
      <c r="I1036" s="21"/>
      <c r="J1036" s="45"/>
      <c r="K1036" s="45"/>
      <c r="L1036" s="45"/>
      <c r="M1036" s="45"/>
      <c r="N1036" s="45"/>
      <c r="O1036" s="21"/>
      <c r="P1036" s="21"/>
      <c r="Q1036" s="21"/>
      <c r="R1036" s="25" t="str">
        <f t="shared" si="16"/>
        <v/>
      </c>
    </row>
    <row r="1037" spans="1:18">
      <c r="A1037" s="28"/>
      <c r="B1037" s="48"/>
      <c r="C1037" s="48"/>
      <c r="D1037" s="21"/>
      <c r="E1037" s="21"/>
      <c r="F1037" s="21"/>
      <c r="G1037" s="21"/>
      <c r="H1037" s="21"/>
      <c r="I1037" s="21"/>
      <c r="J1037" s="45"/>
      <c r="K1037" s="45"/>
      <c r="L1037" s="45"/>
      <c r="M1037" s="45"/>
      <c r="N1037" s="45"/>
      <c r="O1037" s="21"/>
      <c r="P1037" s="21"/>
      <c r="Q1037" s="21"/>
      <c r="R1037" s="25" t="str">
        <f t="shared" si="16"/>
        <v/>
      </c>
    </row>
    <row r="1038" spans="1:18">
      <c r="A1038" s="28"/>
      <c r="B1038" s="48"/>
      <c r="C1038" s="48"/>
      <c r="D1038" s="21"/>
      <c r="E1038" s="21"/>
      <c r="F1038" s="21"/>
      <c r="G1038" s="21"/>
      <c r="H1038" s="21"/>
      <c r="I1038" s="21"/>
      <c r="J1038" s="45"/>
      <c r="K1038" s="45"/>
      <c r="L1038" s="45"/>
      <c r="M1038" s="45"/>
      <c r="N1038" s="45"/>
      <c r="O1038" s="21"/>
      <c r="P1038" s="21"/>
      <c r="Q1038" s="21"/>
      <c r="R1038" s="25" t="str">
        <f t="shared" si="16"/>
        <v/>
      </c>
    </row>
    <row r="1039" spans="1:18">
      <c r="A1039" s="28"/>
      <c r="B1039" s="48"/>
      <c r="C1039" s="48"/>
      <c r="D1039" s="21"/>
      <c r="E1039" s="21"/>
      <c r="F1039" s="21"/>
      <c r="G1039" s="21"/>
      <c r="H1039" s="21"/>
      <c r="I1039" s="21"/>
      <c r="J1039" s="45"/>
      <c r="K1039" s="45"/>
      <c r="L1039" s="45"/>
      <c r="M1039" s="45"/>
      <c r="N1039" s="45"/>
      <c r="O1039" s="21"/>
      <c r="P1039" s="21"/>
      <c r="Q1039" s="21"/>
      <c r="R1039" s="25" t="str">
        <f t="shared" si="16"/>
        <v/>
      </c>
    </row>
    <row r="1040" spans="1:18">
      <c r="A1040" s="28"/>
      <c r="B1040" s="48"/>
      <c r="C1040" s="48"/>
      <c r="D1040" s="21"/>
      <c r="E1040" s="21"/>
      <c r="F1040" s="21"/>
      <c r="G1040" s="21"/>
      <c r="H1040" s="21"/>
      <c r="I1040" s="21"/>
      <c r="J1040" s="45"/>
      <c r="K1040" s="45"/>
      <c r="L1040" s="45"/>
      <c r="M1040" s="45"/>
      <c r="N1040" s="45"/>
      <c r="O1040" s="21"/>
      <c r="P1040" s="21"/>
      <c r="Q1040" s="21"/>
      <c r="R1040" s="25" t="str">
        <f t="shared" si="16"/>
        <v/>
      </c>
    </row>
    <row r="1041" spans="1:18">
      <c r="A1041" s="28"/>
      <c r="B1041" s="48"/>
      <c r="C1041" s="48"/>
      <c r="D1041" s="21"/>
      <c r="E1041" s="21"/>
      <c r="F1041" s="21"/>
      <c r="G1041" s="21"/>
      <c r="H1041" s="21"/>
      <c r="I1041" s="21"/>
      <c r="J1041" s="45"/>
      <c r="K1041" s="45"/>
      <c r="L1041" s="45"/>
      <c r="M1041" s="45"/>
      <c r="N1041" s="45"/>
      <c r="O1041" s="21"/>
      <c r="P1041" s="21"/>
      <c r="Q1041" s="21"/>
      <c r="R1041" s="25" t="str">
        <f t="shared" si="16"/>
        <v/>
      </c>
    </row>
    <row r="1042" spans="1:18">
      <c r="A1042" s="28"/>
      <c r="B1042" s="48"/>
      <c r="C1042" s="48"/>
      <c r="D1042" s="21"/>
      <c r="E1042" s="21"/>
      <c r="F1042" s="21"/>
      <c r="G1042" s="21"/>
      <c r="H1042" s="21"/>
      <c r="I1042" s="21"/>
      <c r="J1042" s="45"/>
      <c r="K1042" s="45"/>
      <c r="L1042" s="45"/>
      <c r="M1042" s="45"/>
      <c r="N1042" s="45"/>
      <c r="O1042" s="21"/>
      <c r="P1042" s="21"/>
      <c r="Q1042" s="21"/>
      <c r="R1042" s="25" t="str">
        <f t="shared" si="16"/>
        <v/>
      </c>
    </row>
    <row r="1043" spans="1:18">
      <c r="A1043" s="28"/>
      <c r="B1043" s="48"/>
      <c r="C1043" s="48"/>
      <c r="D1043" s="21"/>
      <c r="E1043" s="21"/>
      <c r="F1043" s="21"/>
      <c r="G1043" s="21"/>
      <c r="H1043" s="21"/>
      <c r="I1043" s="21"/>
      <c r="J1043" s="45"/>
      <c r="K1043" s="45"/>
      <c r="L1043" s="45"/>
      <c r="M1043" s="45"/>
      <c r="N1043" s="45"/>
      <c r="O1043" s="21"/>
      <c r="P1043" s="21"/>
      <c r="Q1043" s="21"/>
      <c r="R1043" s="25" t="str">
        <f t="shared" si="16"/>
        <v/>
      </c>
    </row>
    <row r="1044" spans="1:18">
      <c r="A1044" s="28"/>
      <c r="B1044" s="48"/>
      <c r="C1044" s="48"/>
      <c r="D1044" s="21"/>
      <c r="E1044" s="21"/>
      <c r="F1044" s="21"/>
      <c r="G1044" s="21"/>
      <c r="H1044" s="21"/>
      <c r="I1044" s="21"/>
      <c r="J1044" s="45"/>
      <c r="K1044" s="45"/>
      <c r="L1044" s="45"/>
      <c r="M1044" s="45"/>
      <c r="N1044" s="45"/>
      <c r="O1044" s="21"/>
      <c r="P1044" s="21"/>
      <c r="Q1044" s="21"/>
      <c r="R1044" s="25" t="str">
        <f t="shared" si="16"/>
        <v/>
      </c>
    </row>
    <row r="1045" spans="1:18">
      <c r="A1045" s="28"/>
      <c r="B1045" s="48"/>
      <c r="C1045" s="48"/>
      <c r="D1045" s="21"/>
      <c r="E1045" s="21"/>
      <c r="F1045" s="21"/>
      <c r="G1045" s="21"/>
      <c r="H1045" s="21"/>
      <c r="I1045" s="21"/>
      <c r="J1045" s="45"/>
      <c r="K1045" s="45"/>
      <c r="L1045" s="45"/>
      <c r="M1045" s="45"/>
      <c r="N1045" s="45"/>
      <c r="O1045" s="21"/>
      <c r="P1045" s="21"/>
      <c r="Q1045" s="21"/>
      <c r="R1045" s="25" t="str">
        <f t="shared" si="16"/>
        <v/>
      </c>
    </row>
    <row r="1046" spans="1:18">
      <c r="A1046" s="28"/>
      <c r="B1046" s="48"/>
      <c r="C1046" s="48"/>
      <c r="D1046" s="21"/>
      <c r="E1046" s="21"/>
      <c r="F1046" s="21"/>
      <c r="G1046" s="21"/>
      <c r="H1046" s="21"/>
      <c r="I1046" s="21"/>
      <c r="J1046" s="45"/>
      <c r="K1046" s="45"/>
      <c r="L1046" s="45"/>
      <c r="M1046" s="45"/>
      <c r="N1046" s="45"/>
      <c r="O1046" s="21"/>
      <c r="P1046" s="21"/>
      <c r="Q1046" s="21"/>
      <c r="R1046" s="25" t="str">
        <f t="shared" si="16"/>
        <v/>
      </c>
    </row>
    <row r="1047" spans="1:18">
      <c r="A1047" s="28"/>
      <c r="B1047" s="48"/>
      <c r="C1047" s="48"/>
      <c r="D1047" s="21"/>
      <c r="E1047" s="21"/>
      <c r="F1047" s="21"/>
      <c r="G1047" s="21"/>
      <c r="H1047" s="21"/>
      <c r="I1047" s="21"/>
      <c r="J1047" s="45"/>
      <c r="K1047" s="45"/>
      <c r="L1047" s="45"/>
      <c r="M1047" s="45"/>
      <c r="N1047" s="45"/>
      <c r="O1047" s="21"/>
      <c r="P1047" s="21"/>
      <c r="Q1047" s="21"/>
      <c r="R1047" s="25" t="str">
        <f t="shared" si="16"/>
        <v/>
      </c>
    </row>
    <row r="1048" spans="1:18">
      <c r="A1048" s="28"/>
      <c r="B1048" s="48"/>
      <c r="C1048" s="48"/>
      <c r="D1048" s="21"/>
      <c r="E1048" s="21"/>
      <c r="F1048" s="21"/>
      <c r="G1048" s="21"/>
      <c r="H1048" s="21"/>
      <c r="I1048" s="21"/>
      <c r="J1048" s="45"/>
      <c r="K1048" s="45"/>
      <c r="L1048" s="45"/>
      <c r="M1048" s="45"/>
      <c r="N1048" s="45"/>
      <c r="O1048" s="21"/>
      <c r="P1048" s="21"/>
      <c r="Q1048" s="21"/>
      <c r="R1048" s="25" t="str">
        <f t="shared" si="16"/>
        <v/>
      </c>
    </row>
    <row r="1049" spans="1:18">
      <c r="A1049" s="28"/>
      <c r="B1049" s="48"/>
      <c r="C1049" s="48"/>
      <c r="D1049" s="21"/>
      <c r="E1049" s="21"/>
      <c r="F1049" s="21"/>
      <c r="G1049" s="21"/>
      <c r="H1049" s="21"/>
      <c r="I1049" s="21"/>
      <c r="J1049" s="45"/>
      <c r="K1049" s="45"/>
      <c r="L1049" s="45"/>
      <c r="M1049" s="45"/>
      <c r="N1049" s="45"/>
      <c r="O1049" s="21"/>
      <c r="P1049" s="21"/>
      <c r="Q1049" s="21"/>
      <c r="R1049" s="25" t="str">
        <f t="shared" si="16"/>
        <v/>
      </c>
    </row>
    <row r="1050" spans="1:18">
      <c r="A1050" s="28"/>
      <c r="B1050" s="48"/>
      <c r="C1050" s="48"/>
      <c r="D1050" s="21"/>
      <c r="E1050" s="21"/>
      <c r="F1050" s="21"/>
      <c r="G1050" s="21"/>
      <c r="H1050" s="21"/>
      <c r="I1050" s="21"/>
      <c r="J1050" s="45"/>
      <c r="K1050" s="45"/>
      <c r="L1050" s="45"/>
      <c r="M1050" s="45"/>
      <c r="N1050" s="45"/>
      <c r="O1050" s="21"/>
      <c r="P1050" s="21"/>
      <c r="Q1050" s="21"/>
      <c r="R1050" s="25" t="str">
        <f t="shared" si="16"/>
        <v/>
      </c>
    </row>
    <row r="1051" spans="1:18">
      <c r="A1051" s="28"/>
      <c r="B1051" s="48"/>
      <c r="C1051" s="48"/>
      <c r="D1051" s="21"/>
      <c r="E1051" s="21"/>
      <c r="F1051" s="21"/>
      <c r="G1051" s="21"/>
      <c r="H1051" s="21"/>
      <c r="I1051" s="21"/>
      <c r="J1051" s="45"/>
      <c r="K1051" s="45"/>
      <c r="L1051" s="45"/>
      <c r="M1051" s="45"/>
      <c r="N1051" s="45"/>
      <c r="O1051" s="21"/>
      <c r="P1051" s="21"/>
      <c r="Q1051" s="21"/>
      <c r="R1051" s="25" t="str">
        <f t="shared" si="16"/>
        <v/>
      </c>
    </row>
    <row r="1052" spans="1:18">
      <c r="A1052" s="28"/>
      <c r="B1052" s="48"/>
      <c r="C1052" s="48"/>
      <c r="D1052" s="21"/>
      <c r="E1052" s="21"/>
      <c r="F1052" s="21"/>
      <c r="G1052" s="21"/>
      <c r="H1052" s="21"/>
      <c r="I1052" s="21"/>
      <c r="J1052" s="45"/>
      <c r="K1052" s="45"/>
      <c r="L1052" s="45"/>
      <c r="M1052" s="45"/>
      <c r="N1052" s="45"/>
      <c r="O1052" s="21"/>
      <c r="P1052" s="21"/>
      <c r="Q1052" s="21"/>
      <c r="R1052" s="25" t="str">
        <f t="shared" si="16"/>
        <v/>
      </c>
    </row>
    <row r="1053" spans="1:18">
      <c r="A1053" s="28"/>
      <c r="B1053" s="48"/>
      <c r="C1053" s="48"/>
      <c r="D1053" s="21"/>
      <c r="E1053" s="21"/>
      <c r="F1053" s="21"/>
      <c r="G1053" s="21"/>
      <c r="H1053" s="21"/>
      <c r="I1053" s="21"/>
      <c r="J1053" s="45"/>
      <c r="K1053" s="45"/>
      <c r="L1053" s="45"/>
      <c r="M1053" s="45"/>
      <c r="N1053" s="45"/>
      <c r="O1053" s="21"/>
      <c r="P1053" s="21"/>
      <c r="Q1053" s="21"/>
      <c r="R1053" s="25" t="str">
        <f t="shared" si="16"/>
        <v/>
      </c>
    </row>
    <row r="1054" spans="1:18">
      <c r="A1054" s="28"/>
      <c r="B1054" s="48"/>
      <c r="C1054" s="48"/>
      <c r="D1054" s="21"/>
      <c r="E1054" s="21"/>
      <c r="F1054" s="21"/>
      <c r="G1054" s="21"/>
      <c r="H1054" s="21"/>
      <c r="I1054" s="21"/>
      <c r="J1054" s="45"/>
      <c r="K1054" s="45"/>
      <c r="L1054" s="45"/>
      <c r="M1054" s="45"/>
      <c r="N1054" s="45"/>
      <c r="O1054" s="21"/>
      <c r="P1054" s="21"/>
      <c r="Q1054" s="21"/>
      <c r="R1054" s="25" t="str">
        <f t="shared" si="16"/>
        <v/>
      </c>
    </row>
    <row r="1055" spans="1:18">
      <c r="A1055" s="28"/>
      <c r="B1055" s="48"/>
      <c r="C1055" s="48"/>
      <c r="D1055" s="21"/>
      <c r="E1055" s="21"/>
      <c r="F1055" s="21"/>
      <c r="G1055" s="21"/>
      <c r="H1055" s="21"/>
      <c r="I1055" s="21"/>
      <c r="J1055" s="45"/>
      <c r="K1055" s="45"/>
      <c r="L1055" s="45"/>
      <c r="M1055" s="45"/>
      <c r="N1055" s="45"/>
      <c r="O1055" s="21"/>
      <c r="P1055" s="21"/>
      <c r="Q1055" s="21"/>
      <c r="R1055" s="25" t="str">
        <f t="shared" si="16"/>
        <v/>
      </c>
    </row>
    <row r="1056" spans="1:18">
      <c r="A1056" s="28"/>
      <c r="B1056" s="48"/>
      <c r="C1056" s="48"/>
      <c r="D1056" s="21"/>
      <c r="E1056" s="21"/>
      <c r="F1056" s="21"/>
      <c r="G1056" s="21"/>
      <c r="H1056" s="21"/>
      <c r="I1056" s="21"/>
      <c r="J1056" s="45"/>
      <c r="K1056" s="45"/>
      <c r="L1056" s="45"/>
      <c r="M1056" s="45"/>
      <c r="N1056" s="45"/>
      <c r="O1056" s="21"/>
      <c r="P1056" s="21"/>
      <c r="Q1056" s="21"/>
      <c r="R1056" s="25" t="str">
        <f t="shared" si="16"/>
        <v/>
      </c>
    </row>
    <row r="1057" spans="1:18">
      <c r="A1057" s="28"/>
      <c r="B1057" s="48"/>
      <c r="C1057" s="48"/>
      <c r="D1057" s="21"/>
      <c r="E1057" s="21"/>
      <c r="F1057" s="21"/>
      <c r="G1057" s="21"/>
      <c r="H1057" s="21"/>
      <c r="I1057" s="21"/>
      <c r="J1057" s="45"/>
      <c r="K1057" s="45"/>
      <c r="L1057" s="45"/>
      <c r="M1057" s="45"/>
      <c r="N1057" s="45"/>
      <c r="O1057" s="21"/>
      <c r="P1057" s="21"/>
      <c r="Q1057" s="21"/>
      <c r="R1057" s="25" t="str">
        <f t="shared" si="16"/>
        <v/>
      </c>
    </row>
    <row r="1058" spans="1:18">
      <c r="A1058" s="28"/>
      <c r="B1058" s="48"/>
      <c r="C1058" s="48"/>
      <c r="D1058" s="21"/>
      <c r="E1058" s="21"/>
      <c r="F1058" s="21"/>
      <c r="G1058" s="21"/>
      <c r="H1058" s="21"/>
      <c r="I1058" s="21"/>
      <c r="J1058" s="45"/>
      <c r="K1058" s="45"/>
      <c r="L1058" s="45"/>
      <c r="M1058" s="45"/>
      <c r="N1058" s="45"/>
      <c r="O1058" s="21"/>
      <c r="P1058" s="21"/>
      <c r="Q1058" s="21"/>
      <c r="R1058" s="25" t="str">
        <f t="shared" si="16"/>
        <v/>
      </c>
    </row>
    <row r="1059" spans="1:18">
      <c r="A1059" s="28"/>
      <c r="B1059" s="48"/>
      <c r="C1059" s="48"/>
      <c r="D1059" s="21"/>
      <c r="E1059" s="21"/>
      <c r="F1059" s="21"/>
      <c r="G1059" s="21"/>
      <c r="H1059" s="21"/>
      <c r="I1059" s="21"/>
      <c r="J1059" s="45"/>
      <c r="K1059" s="45"/>
      <c r="L1059" s="45"/>
      <c r="M1059" s="45"/>
      <c r="N1059" s="45"/>
      <c r="O1059" s="21"/>
      <c r="P1059" s="21"/>
      <c r="Q1059" s="21"/>
      <c r="R1059" s="25" t="str">
        <f t="shared" si="16"/>
        <v/>
      </c>
    </row>
    <row r="1060" spans="1:18">
      <c r="A1060" s="28"/>
      <c r="B1060" s="48"/>
      <c r="C1060" s="48"/>
      <c r="D1060" s="21"/>
      <c r="E1060" s="21"/>
      <c r="F1060" s="21"/>
      <c r="G1060" s="21"/>
      <c r="H1060" s="21"/>
      <c r="I1060" s="21"/>
      <c r="J1060" s="45"/>
      <c r="K1060" s="45"/>
      <c r="L1060" s="45"/>
      <c r="M1060" s="45"/>
      <c r="N1060" s="45"/>
      <c r="O1060" s="21"/>
      <c r="P1060" s="21"/>
      <c r="Q1060" s="21"/>
      <c r="R1060" s="25" t="str">
        <f t="shared" si="16"/>
        <v/>
      </c>
    </row>
    <row r="1061" spans="1:18">
      <c r="A1061" s="28"/>
      <c r="B1061" s="48"/>
      <c r="C1061" s="48"/>
      <c r="D1061" s="21"/>
      <c r="E1061" s="21"/>
      <c r="F1061" s="21"/>
      <c r="G1061" s="21"/>
      <c r="H1061" s="21"/>
      <c r="I1061" s="21"/>
      <c r="J1061" s="45"/>
      <c r="K1061" s="45"/>
      <c r="L1061" s="45"/>
      <c r="M1061" s="45"/>
      <c r="N1061" s="45"/>
      <c r="O1061" s="21"/>
      <c r="P1061" s="21"/>
      <c r="Q1061" s="21"/>
      <c r="R1061" s="25" t="str">
        <f t="shared" si="16"/>
        <v/>
      </c>
    </row>
    <row r="1062" spans="1:18">
      <c r="A1062" s="28"/>
      <c r="B1062" s="48"/>
      <c r="C1062" s="48"/>
      <c r="D1062" s="21"/>
      <c r="E1062" s="21"/>
      <c r="F1062" s="21"/>
      <c r="G1062" s="21"/>
      <c r="H1062" s="21"/>
      <c r="I1062" s="21"/>
      <c r="J1062" s="45"/>
      <c r="K1062" s="45"/>
      <c r="L1062" s="45"/>
      <c r="M1062" s="45"/>
      <c r="N1062" s="45"/>
      <c r="O1062" s="21"/>
      <c r="P1062" s="21"/>
      <c r="Q1062" s="21"/>
      <c r="R1062" s="25" t="str">
        <f t="shared" si="16"/>
        <v/>
      </c>
    </row>
    <row r="1063" spans="1:18">
      <c r="A1063" s="28"/>
      <c r="B1063" s="48"/>
      <c r="C1063" s="48"/>
      <c r="D1063" s="21"/>
      <c r="E1063" s="21"/>
      <c r="F1063" s="21"/>
      <c r="G1063" s="21"/>
      <c r="H1063" s="21"/>
      <c r="I1063" s="21"/>
      <c r="J1063" s="45"/>
      <c r="K1063" s="45"/>
      <c r="L1063" s="45"/>
      <c r="M1063" s="45"/>
      <c r="N1063" s="45"/>
      <c r="O1063" s="21"/>
      <c r="P1063" s="21"/>
      <c r="Q1063" s="21"/>
      <c r="R1063" s="25" t="str">
        <f t="shared" si="16"/>
        <v/>
      </c>
    </row>
    <row r="1064" spans="1:18">
      <c r="A1064" s="28"/>
      <c r="B1064" s="48"/>
      <c r="C1064" s="48"/>
      <c r="D1064" s="21"/>
      <c r="E1064" s="21"/>
      <c r="F1064" s="21"/>
      <c r="G1064" s="21"/>
      <c r="H1064" s="21"/>
      <c r="I1064" s="21"/>
      <c r="J1064" s="45"/>
      <c r="K1064" s="45"/>
      <c r="L1064" s="45"/>
      <c r="M1064" s="45"/>
      <c r="N1064" s="45"/>
      <c r="O1064" s="21"/>
      <c r="P1064" s="21"/>
      <c r="Q1064" s="21"/>
      <c r="R1064" s="25" t="str">
        <f t="shared" si="16"/>
        <v/>
      </c>
    </row>
    <row r="1065" spans="1:18">
      <c r="A1065" s="28"/>
      <c r="B1065" s="48"/>
      <c r="C1065" s="48"/>
      <c r="D1065" s="21"/>
      <c r="E1065" s="21"/>
      <c r="F1065" s="21"/>
      <c r="G1065" s="21"/>
      <c r="H1065" s="21"/>
      <c r="I1065" s="21"/>
      <c r="J1065" s="45"/>
      <c r="K1065" s="45"/>
      <c r="L1065" s="45"/>
      <c r="M1065" s="45"/>
      <c r="N1065" s="45"/>
      <c r="O1065" s="21"/>
      <c r="P1065" s="21"/>
      <c r="Q1065" s="21"/>
      <c r="R1065" s="25" t="str">
        <f t="shared" si="16"/>
        <v/>
      </c>
    </row>
    <row r="1066" spans="1:18">
      <c r="A1066" s="28"/>
      <c r="B1066" s="48"/>
      <c r="C1066" s="48"/>
      <c r="D1066" s="21"/>
      <c r="E1066" s="21"/>
      <c r="F1066" s="21"/>
      <c r="G1066" s="21"/>
      <c r="H1066" s="21"/>
      <c r="I1066" s="21"/>
      <c r="J1066" s="45"/>
      <c r="K1066" s="45"/>
      <c r="L1066" s="45"/>
      <c r="M1066" s="45"/>
      <c r="N1066" s="45"/>
      <c r="O1066" s="21"/>
      <c r="P1066" s="21"/>
      <c r="Q1066" s="21"/>
      <c r="R1066" s="25" t="str">
        <f t="shared" si="16"/>
        <v/>
      </c>
    </row>
    <row r="1067" spans="1:18">
      <c r="A1067" s="28"/>
      <c r="B1067" s="48"/>
      <c r="C1067" s="48"/>
      <c r="D1067" s="21"/>
      <c r="E1067" s="21"/>
      <c r="F1067" s="21"/>
      <c r="G1067" s="21"/>
      <c r="H1067" s="21"/>
      <c r="I1067" s="21"/>
      <c r="J1067" s="45"/>
      <c r="K1067" s="45"/>
      <c r="L1067" s="45"/>
      <c r="M1067" s="45"/>
      <c r="N1067" s="45"/>
      <c r="O1067" s="21"/>
      <c r="P1067" s="21"/>
      <c r="Q1067" s="21"/>
      <c r="R1067" s="25" t="str">
        <f t="shared" si="16"/>
        <v/>
      </c>
    </row>
    <row r="1068" spans="1:18">
      <c r="A1068" s="28"/>
      <c r="B1068" s="48"/>
      <c r="C1068" s="48"/>
      <c r="D1068" s="21"/>
      <c r="E1068" s="21"/>
      <c r="F1068" s="21"/>
      <c r="G1068" s="21"/>
      <c r="H1068" s="21"/>
      <c r="I1068" s="21"/>
      <c r="J1068" s="45"/>
      <c r="K1068" s="45"/>
      <c r="L1068" s="45"/>
      <c r="M1068" s="45"/>
      <c r="N1068" s="45"/>
      <c r="O1068" s="21"/>
      <c r="P1068" s="21"/>
      <c r="Q1068" s="21"/>
      <c r="R1068" s="25" t="str">
        <f t="shared" si="16"/>
        <v/>
      </c>
    </row>
    <row r="1069" spans="1:18">
      <c r="A1069" s="28"/>
      <c r="B1069" s="48"/>
      <c r="C1069" s="48"/>
      <c r="D1069" s="21"/>
      <c r="E1069" s="21"/>
      <c r="F1069" s="21"/>
      <c r="G1069" s="21"/>
      <c r="H1069" s="21"/>
      <c r="I1069" s="21"/>
      <c r="J1069" s="45"/>
      <c r="K1069" s="45"/>
      <c r="L1069" s="45"/>
      <c r="M1069" s="45"/>
      <c r="N1069" s="45"/>
      <c r="O1069" s="21"/>
      <c r="P1069" s="21"/>
      <c r="Q1069" s="21"/>
      <c r="R1069" s="25" t="str">
        <f t="shared" si="16"/>
        <v/>
      </c>
    </row>
    <row r="1070" spans="1:18">
      <c r="A1070" s="28"/>
      <c r="B1070" s="48"/>
      <c r="C1070" s="48"/>
      <c r="D1070" s="21"/>
      <c r="E1070" s="21"/>
      <c r="F1070" s="21"/>
      <c r="G1070" s="21"/>
      <c r="H1070" s="21"/>
      <c r="I1070" s="21"/>
      <c r="J1070" s="45"/>
      <c r="K1070" s="45"/>
      <c r="L1070" s="45"/>
      <c r="M1070" s="45"/>
      <c r="N1070" s="45"/>
      <c r="O1070" s="21"/>
      <c r="P1070" s="21"/>
      <c r="Q1070" s="21"/>
      <c r="R1070" s="25" t="str">
        <f t="shared" si="16"/>
        <v/>
      </c>
    </row>
    <row r="1071" spans="1:18">
      <c r="A1071" s="28"/>
      <c r="B1071" s="48"/>
      <c r="C1071" s="48"/>
      <c r="D1071" s="21"/>
      <c r="E1071" s="21"/>
      <c r="F1071" s="21"/>
      <c r="G1071" s="21"/>
      <c r="H1071" s="21"/>
      <c r="I1071" s="21"/>
      <c r="J1071" s="45"/>
      <c r="K1071" s="45"/>
      <c r="L1071" s="45"/>
      <c r="M1071" s="45"/>
      <c r="N1071" s="45"/>
      <c r="O1071" s="21"/>
      <c r="P1071" s="21"/>
      <c r="Q1071" s="21"/>
      <c r="R1071" s="25" t="str">
        <f t="shared" si="16"/>
        <v/>
      </c>
    </row>
    <row r="1072" spans="1:18">
      <c r="A1072" s="28"/>
      <c r="B1072" s="48"/>
      <c r="C1072" s="48"/>
      <c r="D1072" s="21"/>
      <c r="E1072" s="21"/>
      <c r="F1072" s="21"/>
      <c r="G1072" s="21"/>
      <c r="H1072" s="21"/>
      <c r="I1072" s="21"/>
      <c r="J1072" s="45"/>
      <c r="K1072" s="45"/>
      <c r="L1072" s="45"/>
      <c r="M1072" s="45"/>
      <c r="N1072" s="45"/>
      <c r="O1072" s="21"/>
      <c r="P1072" s="21"/>
      <c r="Q1072" s="21"/>
      <c r="R1072" s="25" t="str">
        <f t="shared" si="16"/>
        <v/>
      </c>
    </row>
    <row r="1073" spans="1:18">
      <c r="A1073" s="28"/>
      <c r="B1073" s="48"/>
      <c r="C1073" s="48"/>
      <c r="D1073" s="21"/>
      <c r="E1073" s="21"/>
      <c r="F1073" s="21"/>
      <c r="G1073" s="21"/>
      <c r="H1073" s="21"/>
      <c r="I1073" s="21"/>
      <c r="J1073" s="45"/>
      <c r="K1073" s="45"/>
      <c r="L1073" s="45"/>
      <c r="M1073" s="45"/>
      <c r="N1073" s="45"/>
      <c r="O1073" s="21"/>
      <c r="P1073" s="21"/>
      <c r="Q1073" s="21"/>
      <c r="R1073" s="25" t="str">
        <f t="shared" si="16"/>
        <v/>
      </c>
    </row>
    <row r="1074" spans="1:18">
      <c r="A1074" s="28"/>
      <c r="B1074" s="48"/>
      <c r="C1074" s="48"/>
      <c r="D1074" s="21"/>
      <c r="E1074" s="21"/>
      <c r="F1074" s="21"/>
      <c r="G1074" s="21"/>
      <c r="H1074" s="21"/>
      <c r="I1074" s="21"/>
      <c r="J1074" s="45"/>
      <c r="K1074" s="45"/>
      <c r="L1074" s="45"/>
      <c r="M1074" s="45"/>
      <c r="N1074" s="45"/>
      <c r="O1074" s="21"/>
      <c r="P1074" s="21"/>
      <c r="Q1074" s="21"/>
      <c r="R1074" s="25" t="str">
        <f t="shared" si="16"/>
        <v/>
      </c>
    </row>
    <row r="1075" spans="1:18">
      <c r="A1075" s="28"/>
      <c r="B1075" s="48"/>
      <c r="C1075" s="48"/>
      <c r="D1075" s="21"/>
      <c r="E1075" s="21"/>
      <c r="F1075" s="21"/>
      <c r="G1075" s="21"/>
      <c r="H1075" s="21"/>
      <c r="I1075" s="21"/>
      <c r="J1075" s="45"/>
      <c r="K1075" s="45"/>
      <c r="L1075" s="45"/>
      <c r="M1075" s="45"/>
      <c r="N1075" s="45"/>
      <c r="O1075" s="21"/>
      <c r="P1075" s="21"/>
      <c r="Q1075" s="21"/>
      <c r="R1075" s="25" t="str">
        <f t="shared" ref="R1075:R1138" si="17">IF(COUNTIF($A$17:$A$2010,$A1075)&gt;1,"Possible Duplicate","")</f>
        <v/>
      </c>
    </row>
    <row r="1076" spans="1:18">
      <c r="A1076" s="28"/>
      <c r="B1076" s="48"/>
      <c r="C1076" s="48"/>
      <c r="D1076" s="21"/>
      <c r="E1076" s="21"/>
      <c r="F1076" s="21"/>
      <c r="G1076" s="21"/>
      <c r="H1076" s="21"/>
      <c r="I1076" s="21"/>
      <c r="J1076" s="45"/>
      <c r="K1076" s="45"/>
      <c r="L1076" s="45"/>
      <c r="M1076" s="45"/>
      <c r="N1076" s="45"/>
      <c r="O1076" s="21"/>
      <c r="P1076" s="21"/>
      <c r="Q1076" s="21"/>
      <c r="R1076" s="25" t="str">
        <f t="shared" si="17"/>
        <v/>
      </c>
    </row>
    <row r="1077" spans="1:18">
      <c r="A1077" s="28"/>
      <c r="B1077" s="48"/>
      <c r="C1077" s="48"/>
      <c r="D1077" s="21"/>
      <c r="E1077" s="21"/>
      <c r="F1077" s="21"/>
      <c r="G1077" s="21"/>
      <c r="H1077" s="21"/>
      <c r="I1077" s="21"/>
      <c r="J1077" s="45"/>
      <c r="K1077" s="45"/>
      <c r="L1077" s="45"/>
      <c r="M1077" s="45"/>
      <c r="N1077" s="45"/>
      <c r="O1077" s="21"/>
      <c r="P1077" s="21"/>
      <c r="Q1077" s="21"/>
      <c r="R1077" s="25" t="str">
        <f t="shared" si="17"/>
        <v/>
      </c>
    </row>
    <row r="1078" spans="1:18">
      <c r="A1078" s="28"/>
      <c r="B1078" s="48"/>
      <c r="C1078" s="48"/>
      <c r="D1078" s="21"/>
      <c r="E1078" s="21"/>
      <c r="F1078" s="21"/>
      <c r="G1078" s="21"/>
      <c r="H1078" s="21"/>
      <c r="I1078" s="21"/>
      <c r="J1078" s="45"/>
      <c r="K1078" s="45"/>
      <c r="L1078" s="45"/>
      <c r="M1078" s="45"/>
      <c r="N1078" s="45"/>
      <c r="O1078" s="21"/>
      <c r="P1078" s="21"/>
      <c r="Q1078" s="21"/>
      <c r="R1078" s="25" t="str">
        <f t="shared" si="17"/>
        <v/>
      </c>
    </row>
    <row r="1079" spans="1:18">
      <c r="A1079" s="28"/>
      <c r="B1079" s="48"/>
      <c r="C1079" s="48"/>
      <c r="D1079" s="21"/>
      <c r="E1079" s="21"/>
      <c r="F1079" s="21"/>
      <c r="G1079" s="21"/>
      <c r="H1079" s="21"/>
      <c r="I1079" s="21"/>
      <c r="J1079" s="45"/>
      <c r="K1079" s="45"/>
      <c r="L1079" s="45"/>
      <c r="M1079" s="45"/>
      <c r="N1079" s="45"/>
      <c r="O1079" s="21"/>
      <c r="P1079" s="21"/>
      <c r="Q1079" s="21"/>
      <c r="R1079" s="25" t="str">
        <f t="shared" si="17"/>
        <v/>
      </c>
    </row>
    <row r="1080" spans="1:18">
      <c r="A1080" s="28"/>
      <c r="B1080" s="48"/>
      <c r="C1080" s="48"/>
      <c r="D1080" s="21"/>
      <c r="E1080" s="21"/>
      <c r="F1080" s="21"/>
      <c r="G1080" s="21"/>
      <c r="H1080" s="21"/>
      <c r="I1080" s="21"/>
      <c r="J1080" s="45"/>
      <c r="K1080" s="45"/>
      <c r="L1080" s="45"/>
      <c r="M1080" s="45"/>
      <c r="N1080" s="45"/>
      <c r="O1080" s="21"/>
      <c r="P1080" s="21"/>
      <c r="Q1080" s="21"/>
      <c r="R1080" s="25" t="str">
        <f t="shared" si="17"/>
        <v/>
      </c>
    </row>
    <row r="1081" spans="1:18">
      <c r="A1081" s="28"/>
      <c r="B1081" s="48"/>
      <c r="C1081" s="48"/>
      <c r="D1081" s="21"/>
      <c r="E1081" s="21"/>
      <c r="F1081" s="21"/>
      <c r="G1081" s="21"/>
      <c r="H1081" s="21"/>
      <c r="I1081" s="21"/>
      <c r="J1081" s="45"/>
      <c r="K1081" s="45"/>
      <c r="L1081" s="45"/>
      <c r="M1081" s="45"/>
      <c r="N1081" s="45"/>
      <c r="O1081" s="21"/>
      <c r="P1081" s="21"/>
      <c r="Q1081" s="21"/>
      <c r="R1081" s="25" t="str">
        <f t="shared" si="17"/>
        <v/>
      </c>
    </row>
    <row r="1082" spans="1:18">
      <c r="A1082" s="28"/>
      <c r="B1082" s="48"/>
      <c r="C1082" s="48"/>
      <c r="D1082" s="21"/>
      <c r="E1082" s="21"/>
      <c r="F1082" s="21"/>
      <c r="G1082" s="21"/>
      <c r="H1082" s="21"/>
      <c r="I1082" s="21"/>
      <c r="J1082" s="45"/>
      <c r="K1082" s="45"/>
      <c r="L1082" s="45"/>
      <c r="M1082" s="45"/>
      <c r="N1082" s="45"/>
      <c r="O1082" s="21"/>
      <c r="P1082" s="21"/>
      <c r="Q1082" s="21"/>
      <c r="R1082" s="25" t="str">
        <f t="shared" si="17"/>
        <v/>
      </c>
    </row>
    <row r="1083" spans="1:18">
      <c r="A1083" s="28"/>
      <c r="B1083" s="48"/>
      <c r="C1083" s="48"/>
      <c r="D1083" s="21"/>
      <c r="E1083" s="21"/>
      <c r="F1083" s="21"/>
      <c r="G1083" s="21"/>
      <c r="H1083" s="21"/>
      <c r="I1083" s="21"/>
      <c r="J1083" s="45"/>
      <c r="K1083" s="45"/>
      <c r="L1083" s="45"/>
      <c r="M1083" s="45"/>
      <c r="N1083" s="45"/>
      <c r="O1083" s="21"/>
      <c r="P1083" s="21"/>
      <c r="Q1083" s="21"/>
      <c r="R1083" s="25" t="str">
        <f t="shared" si="17"/>
        <v/>
      </c>
    </row>
    <row r="1084" spans="1:18">
      <c r="A1084" s="28"/>
      <c r="B1084" s="48"/>
      <c r="C1084" s="48"/>
      <c r="D1084" s="21"/>
      <c r="E1084" s="21"/>
      <c r="F1084" s="21"/>
      <c r="G1084" s="21"/>
      <c r="H1084" s="21"/>
      <c r="I1084" s="21"/>
      <c r="J1084" s="45"/>
      <c r="K1084" s="45"/>
      <c r="L1084" s="45"/>
      <c r="M1084" s="45"/>
      <c r="N1084" s="45"/>
      <c r="O1084" s="21"/>
      <c r="P1084" s="21"/>
      <c r="Q1084" s="21"/>
      <c r="R1084" s="25" t="str">
        <f t="shared" si="17"/>
        <v/>
      </c>
    </row>
    <row r="1085" spans="1:18">
      <c r="A1085" s="28"/>
      <c r="B1085" s="48"/>
      <c r="C1085" s="48"/>
      <c r="D1085" s="21"/>
      <c r="E1085" s="21"/>
      <c r="F1085" s="21"/>
      <c r="G1085" s="21"/>
      <c r="H1085" s="21"/>
      <c r="I1085" s="21"/>
      <c r="J1085" s="45"/>
      <c r="K1085" s="45"/>
      <c r="L1085" s="45"/>
      <c r="M1085" s="45"/>
      <c r="N1085" s="45"/>
      <c r="O1085" s="21"/>
      <c r="P1085" s="21"/>
      <c r="Q1085" s="21"/>
      <c r="R1085" s="25" t="str">
        <f t="shared" si="17"/>
        <v/>
      </c>
    </row>
    <row r="1086" spans="1:18">
      <c r="A1086" s="28"/>
      <c r="B1086" s="48"/>
      <c r="C1086" s="48"/>
      <c r="D1086" s="21"/>
      <c r="E1086" s="21"/>
      <c r="F1086" s="21"/>
      <c r="G1086" s="21"/>
      <c r="H1086" s="21"/>
      <c r="I1086" s="21"/>
      <c r="J1086" s="45"/>
      <c r="K1086" s="45"/>
      <c r="L1086" s="45"/>
      <c r="M1086" s="45"/>
      <c r="N1086" s="45"/>
      <c r="O1086" s="21"/>
      <c r="P1086" s="21"/>
      <c r="Q1086" s="21"/>
      <c r="R1086" s="25" t="str">
        <f t="shared" si="17"/>
        <v/>
      </c>
    </row>
    <row r="1087" spans="1:18">
      <c r="A1087" s="28"/>
      <c r="B1087" s="48"/>
      <c r="C1087" s="48"/>
      <c r="D1087" s="21"/>
      <c r="E1087" s="21"/>
      <c r="F1087" s="21"/>
      <c r="G1087" s="21"/>
      <c r="H1087" s="21"/>
      <c r="I1087" s="21"/>
      <c r="J1087" s="45"/>
      <c r="K1087" s="45"/>
      <c r="L1087" s="45"/>
      <c r="M1087" s="45"/>
      <c r="N1087" s="45"/>
      <c r="O1087" s="21"/>
      <c r="P1087" s="21"/>
      <c r="Q1087" s="21"/>
      <c r="R1087" s="25" t="str">
        <f t="shared" si="17"/>
        <v/>
      </c>
    </row>
    <row r="1088" spans="1:18">
      <c r="A1088" s="28"/>
      <c r="B1088" s="48"/>
      <c r="C1088" s="48"/>
      <c r="D1088" s="21"/>
      <c r="E1088" s="21"/>
      <c r="F1088" s="21"/>
      <c r="G1088" s="21"/>
      <c r="H1088" s="21"/>
      <c r="I1088" s="21"/>
      <c r="J1088" s="45"/>
      <c r="K1088" s="45"/>
      <c r="L1088" s="45"/>
      <c r="M1088" s="45"/>
      <c r="N1088" s="45"/>
      <c r="O1088" s="21"/>
      <c r="P1088" s="21"/>
      <c r="Q1088" s="21"/>
      <c r="R1088" s="25" t="str">
        <f t="shared" si="17"/>
        <v/>
      </c>
    </row>
    <row r="1089" spans="1:18">
      <c r="A1089" s="28"/>
      <c r="B1089" s="48"/>
      <c r="C1089" s="48"/>
      <c r="D1089" s="21"/>
      <c r="E1089" s="21"/>
      <c r="F1089" s="21"/>
      <c r="G1089" s="21"/>
      <c r="H1089" s="21"/>
      <c r="I1089" s="21"/>
      <c r="J1089" s="45"/>
      <c r="K1089" s="45"/>
      <c r="L1089" s="45"/>
      <c r="M1089" s="45"/>
      <c r="N1089" s="45"/>
      <c r="O1089" s="21"/>
      <c r="P1089" s="21"/>
      <c r="Q1089" s="21"/>
      <c r="R1089" s="25" t="str">
        <f t="shared" si="17"/>
        <v/>
      </c>
    </row>
    <row r="1090" spans="1:18">
      <c r="A1090" s="28"/>
      <c r="B1090" s="48"/>
      <c r="C1090" s="48"/>
      <c r="D1090" s="21"/>
      <c r="E1090" s="21"/>
      <c r="F1090" s="21"/>
      <c r="G1090" s="21"/>
      <c r="H1090" s="21"/>
      <c r="I1090" s="21"/>
      <c r="J1090" s="45"/>
      <c r="K1090" s="45"/>
      <c r="L1090" s="45"/>
      <c r="M1090" s="45"/>
      <c r="N1090" s="45"/>
      <c r="O1090" s="21"/>
      <c r="P1090" s="21"/>
      <c r="Q1090" s="21"/>
      <c r="R1090" s="25" t="str">
        <f t="shared" si="17"/>
        <v/>
      </c>
    </row>
    <row r="1091" spans="1:18">
      <c r="A1091" s="28"/>
      <c r="B1091" s="48"/>
      <c r="C1091" s="48"/>
      <c r="D1091" s="21"/>
      <c r="E1091" s="21"/>
      <c r="F1091" s="21"/>
      <c r="G1091" s="21"/>
      <c r="H1091" s="21"/>
      <c r="I1091" s="21"/>
      <c r="J1091" s="45"/>
      <c r="K1091" s="45"/>
      <c r="L1091" s="45"/>
      <c r="M1091" s="45"/>
      <c r="N1091" s="45"/>
      <c r="O1091" s="21"/>
      <c r="P1091" s="21"/>
      <c r="Q1091" s="21"/>
      <c r="R1091" s="25" t="str">
        <f t="shared" si="17"/>
        <v/>
      </c>
    </row>
    <row r="1092" spans="1:18">
      <c r="A1092" s="28"/>
      <c r="B1092" s="48"/>
      <c r="C1092" s="48"/>
      <c r="D1092" s="21"/>
      <c r="E1092" s="21"/>
      <c r="F1092" s="21"/>
      <c r="G1092" s="21"/>
      <c r="H1092" s="21"/>
      <c r="I1092" s="21"/>
      <c r="J1092" s="45"/>
      <c r="K1092" s="45"/>
      <c r="L1092" s="45"/>
      <c r="M1092" s="45"/>
      <c r="N1092" s="45"/>
      <c r="O1092" s="21"/>
      <c r="P1092" s="21"/>
      <c r="Q1092" s="21"/>
      <c r="R1092" s="25" t="str">
        <f t="shared" si="17"/>
        <v/>
      </c>
    </row>
    <row r="1093" spans="1:18">
      <c r="A1093" s="28"/>
      <c r="B1093" s="48"/>
      <c r="C1093" s="48"/>
      <c r="D1093" s="21"/>
      <c r="E1093" s="21"/>
      <c r="F1093" s="21"/>
      <c r="G1093" s="21"/>
      <c r="H1093" s="21"/>
      <c r="I1093" s="21"/>
      <c r="J1093" s="45"/>
      <c r="K1093" s="45"/>
      <c r="L1093" s="45"/>
      <c r="M1093" s="45"/>
      <c r="N1093" s="45"/>
      <c r="O1093" s="21"/>
      <c r="P1093" s="21"/>
      <c r="Q1093" s="21"/>
      <c r="R1093" s="25" t="str">
        <f t="shared" si="17"/>
        <v/>
      </c>
    </row>
    <row r="1094" spans="1:18">
      <c r="A1094" s="28"/>
      <c r="B1094" s="48"/>
      <c r="C1094" s="48"/>
      <c r="D1094" s="21"/>
      <c r="E1094" s="21"/>
      <c r="F1094" s="21"/>
      <c r="G1094" s="21"/>
      <c r="H1094" s="21"/>
      <c r="I1094" s="21"/>
      <c r="J1094" s="45"/>
      <c r="K1094" s="45"/>
      <c r="L1094" s="45"/>
      <c r="M1094" s="45"/>
      <c r="N1094" s="45"/>
      <c r="O1094" s="21"/>
      <c r="P1094" s="21"/>
      <c r="Q1094" s="21"/>
      <c r="R1094" s="25" t="str">
        <f t="shared" si="17"/>
        <v/>
      </c>
    </row>
    <row r="1095" spans="1:18">
      <c r="A1095" s="28"/>
      <c r="B1095" s="48"/>
      <c r="C1095" s="48"/>
      <c r="D1095" s="21"/>
      <c r="E1095" s="21"/>
      <c r="F1095" s="21"/>
      <c r="G1095" s="21"/>
      <c r="H1095" s="21"/>
      <c r="I1095" s="21"/>
      <c r="J1095" s="45"/>
      <c r="K1095" s="45"/>
      <c r="L1095" s="45"/>
      <c r="M1095" s="45"/>
      <c r="N1095" s="45"/>
      <c r="O1095" s="21"/>
      <c r="P1095" s="21"/>
      <c r="Q1095" s="21"/>
      <c r="R1095" s="25" t="str">
        <f t="shared" si="17"/>
        <v/>
      </c>
    </row>
    <row r="1096" spans="1:18">
      <c r="A1096" s="28"/>
      <c r="B1096" s="48"/>
      <c r="C1096" s="48"/>
      <c r="D1096" s="21"/>
      <c r="E1096" s="21"/>
      <c r="F1096" s="21"/>
      <c r="G1096" s="21"/>
      <c r="H1096" s="21"/>
      <c r="I1096" s="21"/>
      <c r="J1096" s="45"/>
      <c r="K1096" s="45"/>
      <c r="L1096" s="45"/>
      <c r="M1096" s="45"/>
      <c r="N1096" s="45"/>
      <c r="O1096" s="21"/>
      <c r="P1096" s="21"/>
      <c r="Q1096" s="21"/>
      <c r="R1096" s="25" t="str">
        <f t="shared" si="17"/>
        <v/>
      </c>
    </row>
    <row r="1097" spans="1:18">
      <c r="A1097" s="28"/>
      <c r="B1097" s="48"/>
      <c r="C1097" s="48"/>
      <c r="D1097" s="21"/>
      <c r="E1097" s="21"/>
      <c r="F1097" s="21"/>
      <c r="G1097" s="21"/>
      <c r="H1097" s="21"/>
      <c r="I1097" s="21"/>
      <c r="J1097" s="45"/>
      <c r="K1097" s="45"/>
      <c r="L1097" s="45"/>
      <c r="M1097" s="45"/>
      <c r="N1097" s="45"/>
      <c r="O1097" s="21"/>
      <c r="P1097" s="21"/>
      <c r="Q1097" s="21"/>
      <c r="R1097" s="25" t="str">
        <f t="shared" si="17"/>
        <v/>
      </c>
    </row>
    <row r="1098" spans="1:18">
      <c r="A1098" s="28"/>
      <c r="B1098" s="48"/>
      <c r="C1098" s="48"/>
      <c r="D1098" s="21"/>
      <c r="E1098" s="21"/>
      <c r="F1098" s="21"/>
      <c r="G1098" s="21"/>
      <c r="H1098" s="21"/>
      <c r="I1098" s="21"/>
      <c r="J1098" s="45"/>
      <c r="K1098" s="45"/>
      <c r="L1098" s="45"/>
      <c r="M1098" s="45"/>
      <c r="N1098" s="45"/>
      <c r="O1098" s="21"/>
      <c r="P1098" s="21"/>
      <c r="Q1098" s="21"/>
      <c r="R1098" s="25" t="str">
        <f t="shared" si="17"/>
        <v/>
      </c>
    </row>
    <row r="1099" spans="1:18">
      <c r="A1099" s="28"/>
      <c r="B1099" s="48"/>
      <c r="C1099" s="48"/>
      <c r="D1099" s="21"/>
      <c r="E1099" s="21"/>
      <c r="F1099" s="21"/>
      <c r="G1099" s="21"/>
      <c r="H1099" s="21"/>
      <c r="I1099" s="21"/>
      <c r="J1099" s="45"/>
      <c r="K1099" s="45"/>
      <c r="L1099" s="45"/>
      <c r="M1099" s="45"/>
      <c r="N1099" s="45"/>
      <c r="O1099" s="21"/>
      <c r="P1099" s="21"/>
      <c r="Q1099" s="21"/>
      <c r="R1099" s="25" t="str">
        <f t="shared" si="17"/>
        <v/>
      </c>
    </row>
    <row r="1100" spans="1:18">
      <c r="A1100" s="28"/>
      <c r="B1100" s="48"/>
      <c r="C1100" s="48"/>
      <c r="D1100" s="21"/>
      <c r="E1100" s="21"/>
      <c r="F1100" s="21"/>
      <c r="G1100" s="21"/>
      <c r="H1100" s="21"/>
      <c r="I1100" s="21"/>
      <c r="J1100" s="45"/>
      <c r="K1100" s="45"/>
      <c r="L1100" s="45"/>
      <c r="M1100" s="45"/>
      <c r="N1100" s="45"/>
      <c r="O1100" s="21"/>
      <c r="P1100" s="21"/>
      <c r="Q1100" s="21"/>
      <c r="R1100" s="25" t="str">
        <f t="shared" si="17"/>
        <v/>
      </c>
    </row>
    <row r="1101" spans="1:18">
      <c r="A1101" s="28"/>
      <c r="B1101" s="48"/>
      <c r="C1101" s="48"/>
      <c r="D1101" s="21"/>
      <c r="E1101" s="21"/>
      <c r="F1101" s="21"/>
      <c r="G1101" s="21"/>
      <c r="H1101" s="21"/>
      <c r="I1101" s="21"/>
      <c r="J1101" s="45"/>
      <c r="K1101" s="45"/>
      <c r="L1101" s="45"/>
      <c r="M1101" s="45"/>
      <c r="N1101" s="45"/>
      <c r="O1101" s="21"/>
      <c r="P1101" s="21"/>
      <c r="Q1101" s="21"/>
      <c r="R1101" s="25" t="str">
        <f t="shared" si="17"/>
        <v/>
      </c>
    </row>
    <row r="1102" spans="1:18">
      <c r="A1102" s="28"/>
      <c r="B1102" s="48"/>
      <c r="C1102" s="48"/>
      <c r="D1102" s="21"/>
      <c r="E1102" s="21"/>
      <c r="F1102" s="21"/>
      <c r="G1102" s="21"/>
      <c r="H1102" s="21"/>
      <c r="I1102" s="21"/>
      <c r="J1102" s="45"/>
      <c r="K1102" s="45"/>
      <c r="L1102" s="45"/>
      <c r="M1102" s="45"/>
      <c r="N1102" s="45"/>
      <c r="O1102" s="21"/>
      <c r="P1102" s="21"/>
      <c r="Q1102" s="21"/>
      <c r="R1102" s="25" t="str">
        <f t="shared" si="17"/>
        <v/>
      </c>
    </row>
    <row r="1103" spans="1:18">
      <c r="A1103" s="28"/>
      <c r="B1103" s="48"/>
      <c r="C1103" s="48"/>
      <c r="D1103" s="21"/>
      <c r="E1103" s="21"/>
      <c r="F1103" s="21"/>
      <c r="G1103" s="21"/>
      <c r="H1103" s="21"/>
      <c r="I1103" s="21"/>
      <c r="J1103" s="45"/>
      <c r="K1103" s="45"/>
      <c r="L1103" s="45"/>
      <c r="M1103" s="45"/>
      <c r="N1103" s="45"/>
      <c r="O1103" s="21"/>
      <c r="P1103" s="21"/>
      <c r="Q1103" s="21"/>
      <c r="R1103" s="25" t="str">
        <f t="shared" si="17"/>
        <v/>
      </c>
    </row>
    <row r="1104" spans="1:18">
      <c r="A1104" s="28"/>
      <c r="B1104" s="48"/>
      <c r="C1104" s="48"/>
      <c r="D1104" s="21"/>
      <c r="E1104" s="21"/>
      <c r="F1104" s="21"/>
      <c r="G1104" s="21"/>
      <c r="H1104" s="21"/>
      <c r="I1104" s="21"/>
      <c r="J1104" s="45"/>
      <c r="K1104" s="45"/>
      <c r="L1104" s="45"/>
      <c r="M1104" s="45"/>
      <c r="N1104" s="45"/>
      <c r="O1104" s="21"/>
      <c r="P1104" s="21"/>
      <c r="Q1104" s="21"/>
      <c r="R1104" s="25" t="str">
        <f t="shared" si="17"/>
        <v/>
      </c>
    </row>
    <row r="1105" spans="1:18">
      <c r="A1105" s="28"/>
      <c r="B1105" s="48"/>
      <c r="C1105" s="48"/>
      <c r="D1105" s="21"/>
      <c r="E1105" s="21"/>
      <c r="F1105" s="21"/>
      <c r="G1105" s="21"/>
      <c r="H1105" s="21"/>
      <c r="I1105" s="21"/>
      <c r="J1105" s="45"/>
      <c r="K1105" s="45"/>
      <c r="L1105" s="45"/>
      <c r="M1105" s="45"/>
      <c r="N1105" s="45"/>
      <c r="O1105" s="21"/>
      <c r="P1105" s="21"/>
      <c r="Q1105" s="21"/>
      <c r="R1105" s="25" t="str">
        <f t="shared" si="17"/>
        <v/>
      </c>
    </row>
    <row r="1106" spans="1:18">
      <c r="A1106" s="28"/>
      <c r="B1106" s="48"/>
      <c r="C1106" s="48"/>
      <c r="D1106" s="21"/>
      <c r="E1106" s="21"/>
      <c r="F1106" s="21"/>
      <c r="G1106" s="21"/>
      <c r="H1106" s="21"/>
      <c r="I1106" s="21"/>
      <c r="J1106" s="45"/>
      <c r="K1106" s="45"/>
      <c r="L1106" s="45"/>
      <c r="M1106" s="45"/>
      <c r="N1106" s="45"/>
      <c r="O1106" s="21"/>
      <c r="P1106" s="21"/>
      <c r="Q1106" s="21"/>
      <c r="R1106" s="25" t="str">
        <f t="shared" si="17"/>
        <v/>
      </c>
    </row>
    <row r="1107" spans="1:18">
      <c r="A1107" s="28"/>
      <c r="B1107" s="48"/>
      <c r="C1107" s="48"/>
      <c r="D1107" s="21"/>
      <c r="E1107" s="21"/>
      <c r="F1107" s="21"/>
      <c r="G1107" s="21"/>
      <c r="H1107" s="21"/>
      <c r="I1107" s="21"/>
      <c r="J1107" s="45"/>
      <c r="K1107" s="45"/>
      <c r="L1107" s="45"/>
      <c r="M1107" s="45"/>
      <c r="N1107" s="45"/>
      <c r="O1107" s="21"/>
      <c r="P1107" s="21"/>
      <c r="Q1107" s="21"/>
      <c r="R1107" s="25" t="str">
        <f t="shared" si="17"/>
        <v/>
      </c>
    </row>
    <row r="1108" spans="1:18">
      <c r="A1108" s="28"/>
      <c r="B1108" s="48"/>
      <c r="C1108" s="48"/>
      <c r="D1108" s="21"/>
      <c r="E1108" s="21"/>
      <c r="F1108" s="21"/>
      <c r="G1108" s="21"/>
      <c r="H1108" s="21"/>
      <c r="I1108" s="21"/>
      <c r="J1108" s="45"/>
      <c r="K1108" s="45"/>
      <c r="L1108" s="45"/>
      <c r="M1108" s="45"/>
      <c r="N1108" s="45"/>
      <c r="O1108" s="21"/>
      <c r="P1108" s="21"/>
      <c r="Q1108" s="21"/>
      <c r="R1108" s="25" t="str">
        <f t="shared" si="17"/>
        <v/>
      </c>
    </row>
    <row r="1109" spans="1:18">
      <c r="A1109" s="28"/>
      <c r="B1109" s="48"/>
      <c r="C1109" s="48"/>
      <c r="D1109" s="21"/>
      <c r="E1109" s="21"/>
      <c r="F1109" s="21"/>
      <c r="G1109" s="21"/>
      <c r="H1109" s="21"/>
      <c r="I1109" s="21"/>
      <c r="J1109" s="45"/>
      <c r="K1109" s="45"/>
      <c r="L1109" s="45"/>
      <c r="M1109" s="45"/>
      <c r="N1109" s="45"/>
      <c r="O1109" s="21"/>
      <c r="P1109" s="21"/>
      <c r="Q1109" s="21"/>
      <c r="R1109" s="25" t="str">
        <f t="shared" si="17"/>
        <v/>
      </c>
    </row>
    <row r="1110" spans="1:18">
      <c r="A1110" s="28"/>
      <c r="B1110" s="48"/>
      <c r="C1110" s="48"/>
      <c r="D1110" s="21"/>
      <c r="E1110" s="21"/>
      <c r="F1110" s="21"/>
      <c r="G1110" s="21"/>
      <c r="H1110" s="21"/>
      <c r="I1110" s="21"/>
      <c r="J1110" s="45"/>
      <c r="K1110" s="45"/>
      <c r="L1110" s="45"/>
      <c r="M1110" s="45"/>
      <c r="N1110" s="45"/>
      <c r="O1110" s="21"/>
      <c r="P1110" s="21"/>
      <c r="Q1110" s="21"/>
      <c r="R1110" s="25" t="str">
        <f t="shared" si="17"/>
        <v/>
      </c>
    </row>
    <row r="1111" spans="1:18">
      <c r="A1111" s="28"/>
      <c r="B1111" s="48"/>
      <c r="C1111" s="48"/>
      <c r="D1111" s="21"/>
      <c r="E1111" s="21"/>
      <c r="F1111" s="21"/>
      <c r="G1111" s="21"/>
      <c r="H1111" s="21"/>
      <c r="I1111" s="21"/>
      <c r="J1111" s="45"/>
      <c r="K1111" s="45"/>
      <c r="L1111" s="45"/>
      <c r="M1111" s="45"/>
      <c r="N1111" s="45"/>
      <c r="O1111" s="21"/>
      <c r="P1111" s="21"/>
      <c r="Q1111" s="21"/>
      <c r="R1111" s="25" t="str">
        <f t="shared" si="17"/>
        <v/>
      </c>
    </row>
    <row r="1112" spans="1:18">
      <c r="A1112" s="28"/>
      <c r="B1112" s="48"/>
      <c r="C1112" s="48"/>
      <c r="D1112" s="21"/>
      <c r="E1112" s="21"/>
      <c r="F1112" s="21"/>
      <c r="G1112" s="21"/>
      <c r="H1112" s="21"/>
      <c r="I1112" s="21"/>
      <c r="J1112" s="45"/>
      <c r="K1112" s="45"/>
      <c r="L1112" s="45"/>
      <c r="M1112" s="45"/>
      <c r="N1112" s="45"/>
      <c r="O1112" s="21"/>
      <c r="P1112" s="21"/>
      <c r="Q1112" s="21"/>
      <c r="R1112" s="25" t="str">
        <f t="shared" si="17"/>
        <v/>
      </c>
    </row>
    <row r="1113" spans="1:18">
      <c r="A1113" s="28"/>
      <c r="B1113" s="48"/>
      <c r="C1113" s="48"/>
      <c r="D1113" s="21"/>
      <c r="E1113" s="21"/>
      <c r="F1113" s="21"/>
      <c r="G1113" s="21"/>
      <c r="H1113" s="21"/>
      <c r="I1113" s="21"/>
      <c r="J1113" s="45"/>
      <c r="K1113" s="45"/>
      <c r="L1113" s="45"/>
      <c r="M1113" s="45"/>
      <c r="N1113" s="45"/>
      <c r="O1113" s="21"/>
      <c r="P1113" s="21"/>
      <c r="Q1113" s="21"/>
      <c r="R1113" s="25" t="str">
        <f t="shared" si="17"/>
        <v/>
      </c>
    </row>
    <row r="1114" spans="1:18">
      <c r="A1114" s="28"/>
      <c r="B1114" s="48"/>
      <c r="C1114" s="48"/>
      <c r="D1114" s="21"/>
      <c r="E1114" s="21"/>
      <c r="F1114" s="21"/>
      <c r="G1114" s="21"/>
      <c r="H1114" s="21"/>
      <c r="I1114" s="21"/>
      <c r="J1114" s="45"/>
      <c r="K1114" s="45"/>
      <c r="L1114" s="45"/>
      <c r="M1114" s="45"/>
      <c r="N1114" s="45"/>
      <c r="O1114" s="21"/>
      <c r="P1114" s="21"/>
      <c r="Q1114" s="21"/>
      <c r="R1114" s="25" t="str">
        <f t="shared" si="17"/>
        <v/>
      </c>
    </row>
    <row r="1115" spans="1:18">
      <c r="A1115" s="28"/>
      <c r="B1115" s="48"/>
      <c r="C1115" s="48"/>
      <c r="D1115" s="21"/>
      <c r="E1115" s="21"/>
      <c r="F1115" s="21"/>
      <c r="G1115" s="21"/>
      <c r="H1115" s="21"/>
      <c r="I1115" s="21"/>
      <c r="J1115" s="45"/>
      <c r="K1115" s="45"/>
      <c r="L1115" s="45"/>
      <c r="M1115" s="45"/>
      <c r="N1115" s="45"/>
      <c r="O1115" s="21"/>
      <c r="P1115" s="21"/>
      <c r="Q1115" s="21"/>
      <c r="R1115" s="25" t="str">
        <f t="shared" si="17"/>
        <v/>
      </c>
    </row>
    <row r="1116" spans="1:18">
      <c r="A1116" s="28"/>
      <c r="B1116" s="48"/>
      <c r="C1116" s="48"/>
      <c r="D1116" s="21"/>
      <c r="E1116" s="21"/>
      <c r="F1116" s="21"/>
      <c r="G1116" s="21"/>
      <c r="H1116" s="21"/>
      <c r="I1116" s="21"/>
      <c r="J1116" s="45"/>
      <c r="K1116" s="45"/>
      <c r="L1116" s="45"/>
      <c r="M1116" s="45"/>
      <c r="N1116" s="45"/>
      <c r="O1116" s="21"/>
      <c r="P1116" s="21"/>
      <c r="Q1116" s="21"/>
      <c r="R1116" s="25" t="str">
        <f t="shared" si="17"/>
        <v/>
      </c>
    </row>
    <row r="1117" spans="1:18">
      <c r="A1117" s="28"/>
      <c r="B1117" s="48"/>
      <c r="C1117" s="48"/>
      <c r="D1117" s="21"/>
      <c r="E1117" s="21"/>
      <c r="F1117" s="21"/>
      <c r="G1117" s="21"/>
      <c r="H1117" s="21"/>
      <c r="I1117" s="21"/>
      <c r="J1117" s="45"/>
      <c r="K1117" s="45"/>
      <c r="L1117" s="45"/>
      <c r="M1117" s="45"/>
      <c r="N1117" s="45"/>
      <c r="O1117" s="21"/>
      <c r="P1117" s="21"/>
      <c r="Q1117" s="21"/>
      <c r="R1117" s="25" t="str">
        <f t="shared" si="17"/>
        <v/>
      </c>
    </row>
    <row r="1118" spans="1:18">
      <c r="A1118" s="28"/>
      <c r="B1118" s="48"/>
      <c r="C1118" s="48"/>
      <c r="D1118" s="21"/>
      <c r="E1118" s="21"/>
      <c r="F1118" s="21"/>
      <c r="G1118" s="21"/>
      <c r="H1118" s="21"/>
      <c r="I1118" s="21"/>
      <c r="J1118" s="45"/>
      <c r="K1118" s="45"/>
      <c r="L1118" s="45"/>
      <c r="M1118" s="45"/>
      <c r="N1118" s="45"/>
      <c r="O1118" s="21"/>
      <c r="P1118" s="21"/>
      <c r="Q1118" s="21"/>
      <c r="R1118" s="25" t="str">
        <f t="shared" si="17"/>
        <v/>
      </c>
    </row>
    <row r="1119" spans="1:18">
      <c r="A1119" s="28"/>
      <c r="B1119" s="48"/>
      <c r="C1119" s="48"/>
      <c r="D1119" s="21"/>
      <c r="E1119" s="21"/>
      <c r="F1119" s="21"/>
      <c r="G1119" s="21"/>
      <c r="H1119" s="21"/>
      <c r="I1119" s="21"/>
      <c r="J1119" s="45"/>
      <c r="K1119" s="45"/>
      <c r="L1119" s="45"/>
      <c r="M1119" s="45"/>
      <c r="N1119" s="45"/>
      <c r="O1119" s="21"/>
      <c r="P1119" s="21"/>
      <c r="Q1119" s="21"/>
      <c r="R1119" s="25" t="str">
        <f t="shared" si="17"/>
        <v/>
      </c>
    </row>
    <row r="1120" spans="1:18">
      <c r="A1120" s="28"/>
      <c r="B1120" s="48"/>
      <c r="C1120" s="48"/>
      <c r="D1120" s="21"/>
      <c r="E1120" s="21"/>
      <c r="F1120" s="21"/>
      <c r="G1120" s="21"/>
      <c r="H1120" s="21"/>
      <c r="I1120" s="21"/>
      <c r="J1120" s="45"/>
      <c r="K1120" s="45"/>
      <c r="L1120" s="45"/>
      <c r="M1120" s="45"/>
      <c r="N1120" s="45"/>
      <c r="O1120" s="21"/>
      <c r="P1120" s="21"/>
      <c r="Q1120" s="21"/>
      <c r="R1120" s="25" t="str">
        <f t="shared" si="17"/>
        <v/>
      </c>
    </row>
    <row r="1121" spans="1:18">
      <c r="A1121" s="28"/>
      <c r="B1121" s="48"/>
      <c r="C1121" s="48"/>
      <c r="D1121" s="21"/>
      <c r="E1121" s="21"/>
      <c r="F1121" s="21"/>
      <c r="G1121" s="21"/>
      <c r="H1121" s="21"/>
      <c r="I1121" s="21"/>
      <c r="J1121" s="45"/>
      <c r="K1121" s="45"/>
      <c r="L1121" s="45"/>
      <c r="M1121" s="45"/>
      <c r="N1121" s="45"/>
      <c r="O1121" s="21"/>
      <c r="P1121" s="21"/>
      <c r="Q1121" s="21"/>
      <c r="R1121" s="25" t="str">
        <f t="shared" si="17"/>
        <v/>
      </c>
    </row>
    <row r="1122" spans="1:18">
      <c r="A1122" s="28"/>
      <c r="B1122" s="48"/>
      <c r="C1122" s="48"/>
      <c r="D1122" s="21"/>
      <c r="E1122" s="21"/>
      <c r="F1122" s="21"/>
      <c r="G1122" s="21"/>
      <c r="H1122" s="21"/>
      <c r="I1122" s="21"/>
      <c r="J1122" s="45"/>
      <c r="K1122" s="45"/>
      <c r="L1122" s="45"/>
      <c r="M1122" s="45"/>
      <c r="N1122" s="45"/>
      <c r="O1122" s="21"/>
      <c r="P1122" s="21"/>
      <c r="Q1122" s="21"/>
      <c r="R1122" s="25" t="str">
        <f t="shared" si="17"/>
        <v/>
      </c>
    </row>
    <row r="1123" spans="1:18">
      <c r="A1123" s="28"/>
      <c r="B1123" s="48"/>
      <c r="C1123" s="48"/>
      <c r="D1123" s="21"/>
      <c r="E1123" s="21"/>
      <c r="F1123" s="21"/>
      <c r="G1123" s="21"/>
      <c r="H1123" s="21"/>
      <c r="I1123" s="21"/>
      <c r="J1123" s="45"/>
      <c r="K1123" s="45"/>
      <c r="L1123" s="45"/>
      <c r="M1123" s="45"/>
      <c r="N1123" s="45"/>
      <c r="O1123" s="21"/>
      <c r="P1123" s="21"/>
      <c r="Q1123" s="21"/>
      <c r="R1123" s="25" t="str">
        <f t="shared" si="17"/>
        <v/>
      </c>
    </row>
    <row r="1124" spans="1:18">
      <c r="A1124" s="28"/>
      <c r="B1124" s="48"/>
      <c r="C1124" s="48"/>
      <c r="D1124" s="21"/>
      <c r="E1124" s="21"/>
      <c r="F1124" s="21"/>
      <c r="G1124" s="21"/>
      <c r="H1124" s="21"/>
      <c r="I1124" s="21"/>
      <c r="J1124" s="45"/>
      <c r="K1124" s="45"/>
      <c r="L1124" s="45"/>
      <c r="M1124" s="45"/>
      <c r="N1124" s="45"/>
      <c r="O1124" s="21"/>
      <c r="P1124" s="21"/>
      <c r="Q1124" s="21"/>
      <c r="R1124" s="25" t="str">
        <f t="shared" si="17"/>
        <v/>
      </c>
    </row>
    <row r="1125" spans="1:18">
      <c r="A1125" s="28"/>
      <c r="B1125" s="48"/>
      <c r="C1125" s="48"/>
      <c r="D1125" s="21"/>
      <c r="E1125" s="21"/>
      <c r="F1125" s="21"/>
      <c r="G1125" s="21"/>
      <c r="H1125" s="21"/>
      <c r="I1125" s="21"/>
      <c r="J1125" s="45"/>
      <c r="K1125" s="45"/>
      <c r="L1125" s="45"/>
      <c r="M1125" s="45"/>
      <c r="N1125" s="45"/>
      <c r="O1125" s="21"/>
      <c r="P1125" s="21"/>
      <c r="Q1125" s="21"/>
      <c r="R1125" s="25" t="str">
        <f t="shared" si="17"/>
        <v/>
      </c>
    </row>
    <row r="1126" spans="1:18">
      <c r="A1126" s="28"/>
      <c r="B1126" s="48"/>
      <c r="C1126" s="48"/>
      <c r="D1126" s="21"/>
      <c r="E1126" s="21"/>
      <c r="F1126" s="21"/>
      <c r="G1126" s="21"/>
      <c r="H1126" s="21"/>
      <c r="I1126" s="21"/>
      <c r="J1126" s="45"/>
      <c r="K1126" s="45"/>
      <c r="L1126" s="45"/>
      <c r="M1126" s="45"/>
      <c r="N1126" s="45"/>
      <c r="O1126" s="21"/>
      <c r="P1126" s="21"/>
      <c r="Q1126" s="21"/>
      <c r="R1126" s="25" t="str">
        <f t="shared" si="17"/>
        <v/>
      </c>
    </row>
    <row r="1127" spans="1:18">
      <c r="A1127" s="28"/>
      <c r="B1127" s="48"/>
      <c r="C1127" s="48"/>
      <c r="D1127" s="21"/>
      <c r="E1127" s="21"/>
      <c r="F1127" s="21"/>
      <c r="G1127" s="21"/>
      <c r="H1127" s="21"/>
      <c r="I1127" s="21"/>
      <c r="J1127" s="45"/>
      <c r="K1127" s="45"/>
      <c r="L1127" s="45"/>
      <c r="M1127" s="45"/>
      <c r="N1127" s="45"/>
      <c r="O1127" s="21"/>
      <c r="P1127" s="21"/>
      <c r="Q1127" s="21"/>
      <c r="R1127" s="25" t="str">
        <f t="shared" si="17"/>
        <v/>
      </c>
    </row>
    <row r="1128" spans="1:18">
      <c r="A1128" s="28"/>
      <c r="B1128" s="48"/>
      <c r="C1128" s="48"/>
      <c r="D1128" s="21"/>
      <c r="E1128" s="21"/>
      <c r="F1128" s="21"/>
      <c r="G1128" s="21"/>
      <c r="H1128" s="21"/>
      <c r="I1128" s="21"/>
      <c r="J1128" s="45"/>
      <c r="K1128" s="45"/>
      <c r="L1128" s="45"/>
      <c r="M1128" s="45"/>
      <c r="N1128" s="45"/>
      <c r="O1128" s="21"/>
      <c r="P1128" s="21"/>
      <c r="Q1128" s="21"/>
      <c r="R1128" s="25" t="str">
        <f t="shared" si="17"/>
        <v/>
      </c>
    </row>
    <row r="1129" spans="1:18">
      <c r="A1129" s="28"/>
      <c r="B1129" s="48"/>
      <c r="C1129" s="48"/>
      <c r="D1129" s="21"/>
      <c r="E1129" s="21"/>
      <c r="F1129" s="21"/>
      <c r="G1129" s="21"/>
      <c r="H1129" s="21"/>
      <c r="I1129" s="21"/>
      <c r="J1129" s="45"/>
      <c r="K1129" s="45"/>
      <c r="L1129" s="45"/>
      <c r="M1129" s="45"/>
      <c r="N1129" s="45"/>
      <c r="O1129" s="21"/>
      <c r="P1129" s="21"/>
      <c r="Q1129" s="21"/>
      <c r="R1129" s="25" t="str">
        <f t="shared" si="17"/>
        <v/>
      </c>
    </row>
    <row r="1130" spans="1:18">
      <c r="A1130" s="28"/>
      <c r="B1130" s="48"/>
      <c r="C1130" s="48"/>
      <c r="D1130" s="21"/>
      <c r="E1130" s="21"/>
      <c r="F1130" s="21"/>
      <c r="G1130" s="21"/>
      <c r="H1130" s="21"/>
      <c r="I1130" s="21"/>
      <c r="J1130" s="45"/>
      <c r="K1130" s="45"/>
      <c r="L1130" s="45"/>
      <c r="M1130" s="45"/>
      <c r="N1130" s="45"/>
      <c r="O1130" s="21"/>
      <c r="P1130" s="21"/>
      <c r="Q1130" s="21"/>
      <c r="R1130" s="25" t="str">
        <f t="shared" si="17"/>
        <v/>
      </c>
    </row>
    <row r="1131" spans="1:18">
      <c r="A1131" s="28"/>
      <c r="B1131" s="48"/>
      <c r="C1131" s="48"/>
      <c r="D1131" s="21"/>
      <c r="E1131" s="21"/>
      <c r="F1131" s="21"/>
      <c r="G1131" s="21"/>
      <c r="H1131" s="21"/>
      <c r="I1131" s="21"/>
      <c r="J1131" s="45"/>
      <c r="K1131" s="45"/>
      <c r="L1131" s="45"/>
      <c r="M1131" s="45"/>
      <c r="N1131" s="45"/>
      <c r="O1131" s="21"/>
      <c r="P1131" s="21"/>
      <c r="Q1131" s="21"/>
      <c r="R1131" s="25" t="str">
        <f t="shared" si="17"/>
        <v/>
      </c>
    </row>
    <row r="1132" spans="1:18">
      <c r="A1132" s="28"/>
      <c r="B1132" s="48"/>
      <c r="C1132" s="48"/>
      <c r="D1132" s="21"/>
      <c r="E1132" s="21"/>
      <c r="F1132" s="21"/>
      <c r="G1132" s="21"/>
      <c r="H1132" s="21"/>
      <c r="I1132" s="21"/>
      <c r="J1132" s="45"/>
      <c r="K1132" s="45"/>
      <c r="L1132" s="45"/>
      <c r="M1132" s="45"/>
      <c r="N1132" s="45"/>
      <c r="O1132" s="21"/>
      <c r="P1132" s="21"/>
      <c r="Q1132" s="21"/>
      <c r="R1132" s="25" t="str">
        <f t="shared" si="17"/>
        <v/>
      </c>
    </row>
    <row r="1133" spans="1:18">
      <c r="A1133" s="28"/>
      <c r="B1133" s="48"/>
      <c r="C1133" s="48"/>
      <c r="D1133" s="21"/>
      <c r="E1133" s="21"/>
      <c r="F1133" s="21"/>
      <c r="G1133" s="21"/>
      <c r="H1133" s="21"/>
      <c r="I1133" s="21"/>
      <c r="J1133" s="45"/>
      <c r="K1133" s="45"/>
      <c r="L1133" s="45"/>
      <c r="M1133" s="45"/>
      <c r="N1133" s="45"/>
      <c r="O1133" s="21"/>
      <c r="P1133" s="21"/>
      <c r="Q1133" s="21"/>
      <c r="R1133" s="25" t="str">
        <f t="shared" si="17"/>
        <v/>
      </c>
    </row>
    <row r="1134" spans="1:18">
      <c r="A1134" s="28"/>
      <c r="B1134" s="48"/>
      <c r="C1134" s="48"/>
      <c r="D1134" s="21"/>
      <c r="E1134" s="21"/>
      <c r="F1134" s="21"/>
      <c r="G1134" s="21"/>
      <c r="H1134" s="21"/>
      <c r="I1134" s="21"/>
      <c r="J1134" s="45"/>
      <c r="K1134" s="45"/>
      <c r="L1134" s="45"/>
      <c r="M1134" s="45"/>
      <c r="N1134" s="45"/>
      <c r="O1134" s="21"/>
      <c r="P1134" s="21"/>
      <c r="Q1134" s="21"/>
      <c r="R1134" s="25" t="str">
        <f t="shared" si="17"/>
        <v/>
      </c>
    </row>
    <row r="1135" spans="1:18">
      <c r="A1135" s="28"/>
      <c r="B1135" s="48"/>
      <c r="C1135" s="48"/>
      <c r="D1135" s="21"/>
      <c r="E1135" s="21"/>
      <c r="F1135" s="21"/>
      <c r="G1135" s="21"/>
      <c r="H1135" s="21"/>
      <c r="I1135" s="21"/>
      <c r="J1135" s="45"/>
      <c r="K1135" s="45"/>
      <c r="L1135" s="45"/>
      <c r="M1135" s="45"/>
      <c r="N1135" s="45"/>
      <c r="O1135" s="21"/>
      <c r="P1135" s="21"/>
      <c r="Q1135" s="21"/>
      <c r="R1135" s="25" t="str">
        <f t="shared" si="17"/>
        <v/>
      </c>
    </row>
    <row r="1136" spans="1:18">
      <c r="A1136" s="28"/>
      <c r="B1136" s="48"/>
      <c r="C1136" s="48"/>
      <c r="D1136" s="21"/>
      <c r="E1136" s="21"/>
      <c r="F1136" s="21"/>
      <c r="G1136" s="21"/>
      <c r="H1136" s="21"/>
      <c r="I1136" s="21"/>
      <c r="J1136" s="45"/>
      <c r="K1136" s="45"/>
      <c r="L1136" s="45"/>
      <c r="M1136" s="45"/>
      <c r="N1136" s="45"/>
      <c r="O1136" s="21"/>
      <c r="P1136" s="21"/>
      <c r="Q1136" s="21"/>
      <c r="R1136" s="25" t="str">
        <f t="shared" si="17"/>
        <v/>
      </c>
    </row>
    <row r="1137" spans="1:18">
      <c r="A1137" s="28"/>
      <c r="B1137" s="48"/>
      <c r="C1137" s="48"/>
      <c r="D1137" s="21"/>
      <c r="E1137" s="21"/>
      <c r="F1137" s="21"/>
      <c r="G1137" s="21"/>
      <c r="H1137" s="21"/>
      <c r="I1137" s="21"/>
      <c r="J1137" s="45"/>
      <c r="K1137" s="45"/>
      <c r="L1137" s="45"/>
      <c r="M1137" s="45"/>
      <c r="N1137" s="45"/>
      <c r="O1137" s="21"/>
      <c r="P1137" s="21"/>
      <c r="Q1137" s="21"/>
      <c r="R1137" s="25" t="str">
        <f t="shared" si="17"/>
        <v/>
      </c>
    </row>
    <row r="1138" spans="1:18">
      <c r="A1138" s="28"/>
      <c r="B1138" s="48"/>
      <c r="C1138" s="48"/>
      <c r="D1138" s="21"/>
      <c r="E1138" s="21"/>
      <c r="F1138" s="21"/>
      <c r="G1138" s="21"/>
      <c r="H1138" s="21"/>
      <c r="I1138" s="21"/>
      <c r="J1138" s="45"/>
      <c r="K1138" s="45"/>
      <c r="L1138" s="45"/>
      <c r="M1138" s="45"/>
      <c r="N1138" s="45"/>
      <c r="O1138" s="21"/>
      <c r="P1138" s="21"/>
      <c r="Q1138" s="21"/>
      <c r="R1138" s="25" t="str">
        <f t="shared" si="17"/>
        <v/>
      </c>
    </row>
    <row r="1139" spans="1:18">
      <c r="A1139" s="28"/>
      <c r="B1139" s="48"/>
      <c r="C1139" s="48"/>
      <c r="D1139" s="21"/>
      <c r="E1139" s="21"/>
      <c r="F1139" s="21"/>
      <c r="G1139" s="21"/>
      <c r="H1139" s="21"/>
      <c r="I1139" s="21"/>
      <c r="J1139" s="45"/>
      <c r="K1139" s="45"/>
      <c r="L1139" s="45"/>
      <c r="M1139" s="45"/>
      <c r="N1139" s="45"/>
      <c r="O1139" s="21"/>
      <c r="P1139" s="21"/>
      <c r="Q1139" s="21"/>
      <c r="R1139" s="25" t="str">
        <f t="shared" ref="R1139:R1202" si="18">IF(COUNTIF($A$17:$A$2010,$A1139)&gt;1,"Possible Duplicate","")</f>
        <v/>
      </c>
    </row>
    <row r="1140" spans="1:18">
      <c r="A1140" s="28"/>
      <c r="B1140" s="48"/>
      <c r="C1140" s="48"/>
      <c r="D1140" s="21"/>
      <c r="E1140" s="21"/>
      <c r="F1140" s="21"/>
      <c r="G1140" s="21"/>
      <c r="H1140" s="21"/>
      <c r="I1140" s="21"/>
      <c r="J1140" s="45"/>
      <c r="K1140" s="45"/>
      <c r="L1140" s="45"/>
      <c r="M1140" s="45"/>
      <c r="N1140" s="45"/>
      <c r="O1140" s="21"/>
      <c r="P1140" s="21"/>
      <c r="Q1140" s="21"/>
      <c r="R1140" s="25" t="str">
        <f t="shared" si="18"/>
        <v/>
      </c>
    </row>
    <row r="1141" spans="1:18">
      <c r="A1141" s="28"/>
      <c r="B1141" s="48"/>
      <c r="C1141" s="48"/>
      <c r="D1141" s="21"/>
      <c r="E1141" s="21"/>
      <c r="F1141" s="21"/>
      <c r="G1141" s="21"/>
      <c r="H1141" s="21"/>
      <c r="I1141" s="21"/>
      <c r="J1141" s="45"/>
      <c r="K1141" s="45"/>
      <c r="L1141" s="45"/>
      <c r="M1141" s="45"/>
      <c r="N1141" s="45"/>
      <c r="O1141" s="21"/>
      <c r="P1141" s="21"/>
      <c r="Q1141" s="21"/>
      <c r="R1141" s="25" t="str">
        <f t="shared" si="18"/>
        <v/>
      </c>
    </row>
    <row r="1142" spans="1:18">
      <c r="A1142" s="28"/>
      <c r="B1142" s="48"/>
      <c r="C1142" s="48"/>
      <c r="D1142" s="21"/>
      <c r="E1142" s="21"/>
      <c r="F1142" s="21"/>
      <c r="G1142" s="21"/>
      <c r="H1142" s="21"/>
      <c r="I1142" s="21"/>
      <c r="J1142" s="45"/>
      <c r="K1142" s="45"/>
      <c r="L1142" s="45"/>
      <c r="M1142" s="45"/>
      <c r="N1142" s="45"/>
      <c r="O1142" s="21"/>
      <c r="P1142" s="21"/>
      <c r="Q1142" s="21"/>
      <c r="R1142" s="25" t="str">
        <f t="shared" si="18"/>
        <v/>
      </c>
    </row>
    <row r="1143" spans="1:18">
      <c r="A1143" s="28"/>
      <c r="B1143" s="48"/>
      <c r="C1143" s="48"/>
      <c r="D1143" s="21"/>
      <c r="E1143" s="21"/>
      <c r="F1143" s="21"/>
      <c r="G1143" s="21"/>
      <c r="H1143" s="21"/>
      <c r="I1143" s="21"/>
      <c r="J1143" s="45"/>
      <c r="K1143" s="45"/>
      <c r="L1143" s="45"/>
      <c r="M1143" s="45"/>
      <c r="N1143" s="45"/>
      <c r="O1143" s="21"/>
      <c r="P1143" s="21"/>
      <c r="Q1143" s="21"/>
      <c r="R1143" s="25" t="str">
        <f t="shared" si="18"/>
        <v/>
      </c>
    </row>
    <row r="1144" spans="1:18">
      <c r="A1144" s="28"/>
      <c r="B1144" s="48"/>
      <c r="C1144" s="48"/>
      <c r="D1144" s="21"/>
      <c r="E1144" s="21"/>
      <c r="F1144" s="21"/>
      <c r="G1144" s="21"/>
      <c r="H1144" s="21"/>
      <c r="I1144" s="21"/>
      <c r="J1144" s="45"/>
      <c r="K1144" s="45"/>
      <c r="L1144" s="45"/>
      <c r="M1144" s="45"/>
      <c r="N1144" s="45"/>
      <c r="O1144" s="21"/>
      <c r="P1144" s="21"/>
      <c r="Q1144" s="21"/>
      <c r="R1144" s="25" t="str">
        <f t="shared" si="18"/>
        <v/>
      </c>
    </row>
    <row r="1145" spans="1:18">
      <c r="A1145" s="28"/>
      <c r="B1145" s="48"/>
      <c r="C1145" s="48"/>
      <c r="D1145" s="21"/>
      <c r="E1145" s="21"/>
      <c r="F1145" s="21"/>
      <c r="G1145" s="21"/>
      <c r="H1145" s="21"/>
      <c r="I1145" s="21"/>
      <c r="J1145" s="45"/>
      <c r="K1145" s="45"/>
      <c r="L1145" s="45"/>
      <c r="M1145" s="45"/>
      <c r="N1145" s="45"/>
      <c r="O1145" s="21"/>
      <c r="P1145" s="21"/>
      <c r="Q1145" s="21"/>
      <c r="R1145" s="25" t="str">
        <f t="shared" si="18"/>
        <v/>
      </c>
    </row>
    <row r="1146" spans="1:18">
      <c r="A1146" s="28"/>
      <c r="B1146" s="48"/>
      <c r="C1146" s="48"/>
      <c r="D1146" s="21"/>
      <c r="E1146" s="21"/>
      <c r="F1146" s="21"/>
      <c r="G1146" s="21"/>
      <c r="H1146" s="21"/>
      <c r="I1146" s="21"/>
      <c r="J1146" s="45"/>
      <c r="K1146" s="45"/>
      <c r="L1146" s="45"/>
      <c r="M1146" s="45"/>
      <c r="N1146" s="45"/>
      <c r="O1146" s="21"/>
      <c r="P1146" s="21"/>
      <c r="Q1146" s="21"/>
      <c r="R1146" s="25" t="str">
        <f t="shared" si="18"/>
        <v/>
      </c>
    </row>
    <row r="1147" spans="1:18">
      <c r="A1147" s="28"/>
      <c r="B1147" s="48"/>
      <c r="C1147" s="48"/>
      <c r="D1147" s="21"/>
      <c r="E1147" s="21"/>
      <c r="F1147" s="21"/>
      <c r="G1147" s="21"/>
      <c r="H1147" s="21"/>
      <c r="I1147" s="21"/>
      <c r="J1147" s="45"/>
      <c r="K1147" s="45"/>
      <c r="L1147" s="45"/>
      <c r="M1147" s="45"/>
      <c r="N1147" s="45"/>
      <c r="O1147" s="21"/>
      <c r="P1147" s="21"/>
      <c r="Q1147" s="21"/>
      <c r="R1147" s="25" t="str">
        <f t="shared" si="18"/>
        <v/>
      </c>
    </row>
    <row r="1148" spans="1:18">
      <c r="A1148" s="28"/>
      <c r="B1148" s="48"/>
      <c r="C1148" s="48"/>
      <c r="D1148" s="21"/>
      <c r="E1148" s="21"/>
      <c r="F1148" s="21"/>
      <c r="G1148" s="21"/>
      <c r="H1148" s="21"/>
      <c r="I1148" s="21"/>
      <c r="J1148" s="45"/>
      <c r="K1148" s="45"/>
      <c r="L1148" s="45"/>
      <c r="M1148" s="45"/>
      <c r="N1148" s="45"/>
      <c r="O1148" s="21"/>
      <c r="P1148" s="21"/>
      <c r="Q1148" s="21"/>
      <c r="R1148" s="25" t="str">
        <f t="shared" si="18"/>
        <v/>
      </c>
    </row>
    <row r="1149" spans="1:18">
      <c r="A1149" s="28"/>
      <c r="B1149" s="48"/>
      <c r="C1149" s="48"/>
      <c r="D1149" s="21"/>
      <c r="E1149" s="21"/>
      <c r="F1149" s="21"/>
      <c r="G1149" s="21"/>
      <c r="H1149" s="21"/>
      <c r="I1149" s="21"/>
      <c r="J1149" s="45"/>
      <c r="K1149" s="45"/>
      <c r="L1149" s="45"/>
      <c r="M1149" s="45"/>
      <c r="N1149" s="45"/>
      <c r="O1149" s="21"/>
      <c r="P1149" s="21"/>
      <c r="Q1149" s="21"/>
      <c r="R1149" s="25" t="str">
        <f t="shared" si="18"/>
        <v/>
      </c>
    </row>
    <row r="1150" spans="1:18">
      <c r="A1150" s="28"/>
      <c r="B1150" s="48"/>
      <c r="C1150" s="48"/>
      <c r="D1150" s="21"/>
      <c r="E1150" s="21"/>
      <c r="F1150" s="21"/>
      <c r="G1150" s="21"/>
      <c r="H1150" s="21"/>
      <c r="I1150" s="21"/>
      <c r="J1150" s="45"/>
      <c r="K1150" s="45"/>
      <c r="L1150" s="45"/>
      <c r="M1150" s="45"/>
      <c r="N1150" s="45"/>
      <c r="O1150" s="21"/>
      <c r="P1150" s="21"/>
      <c r="Q1150" s="21"/>
      <c r="R1150" s="25" t="str">
        <f t="shared" si="18"/>
        <v/>
      </c>
    </row>
    <row r="1151" spans="1:18">
      <c r="A1151" s="28"/>
      <c r="B1151" s="48"/>
      <c r="C1151" s="48"/>
      <c r="D1151" s="21"/>
      <c r="E1151" s="21"/>
      <c r="F1151" s="21"/>
      <c r="G1151" s="21"/>
      <c r="H1151" s="21"/>
      <c r="I1151" s="21"/>
      <c r="J1151" s="45"/>
      <c r="K1151" s="45"/>
      <c r="L1151" s="45"/>
      <c r="M1151" s="45"/>
      <c r="N1151" s="45"/>
      <c r="O1151" s="21"/>
      <c r="P1151" s="21"/>
      <c r="Q1151" s="21"/>
      <c r="R1151" s="25" t="str">
        <f t="shared" si="18"/>
        <v/>
      </c>
    </row>
    <row r="1152" spans="1:18">
      <c r="A1152" s="28"/>
      <c r="B1152" s="48"/>
      <c r="C1152" s="48"/>
      <c r="D1152" s="21"/>
      <c r="E1152" s="21"/>
      <c r="F1152" s="21"/>
      <c r="G1152" s="21"/>
      <c r="H1152" s="21"/>
      <c r="I1152" s="21"/>
      <c r="J1152" s="45"/>
      <c r="K1152" s="45"/>
      <c r="L1152" s="45"/>
      <c r="M1152" s="45"/>
      <c r="N1152" s="45"/>
      <c r="O1152" s="21"/>
      <c r="P1152" s="21"/>
      <c r="Q1152" s="21"/>
      <c r="R1152" s="25" t="str">
        <f t="shared" si="18"/>
        <v/>
      </c>
    </row>
    <row r="1153" spans="1:18">
      <c r="A1153" s="28"/>
      <c r="B1153" s="48"/>
      <c r="C1153" s="48"/>
      <c r="D1153" s="21"/>
      <c r="E1153" s="21"/>
      <c r="F1153" s="21"/>
      <c r="G1153" s="21"/>
      <c r="H1153" s="21"/>
      <c r="I1153" s="21"/>
      <c r="J1153" s="45"/>
      <c r="K1153" s="45"/>
      <c r="L1153" s="45"/>
      <c r="M1153" s="45"/>
      <c r="N1153" s="45"/>
      <c r="O1153" s="21"/>
      <c r="P1153" s="21"/>
      <c r="Q1153" s="21"/>
      <c r="R1153" s="25" t="str">
        <f t="shared" si="18"/>
        <v/>
      </c>
    </row>
    <row r="1154" spans="1:18">
      <c r="A1154" s="28"/>
      <c r="B1154" s="48"/>
      <c r="C1154" s="48"/>
      <c r="D1154" s="21"/>
      <c r="E1154" s="21"/>
      <c r="F1154" s="21"/>
      <c r="G1154" s="21"/>
      <c r="H1154" s="21"/>
      <c r="I1154" s="21"/>
      <c r="J1154" s="45"/>
      <c r="K1154" s="45"/>
      <c r="L1154" s="45"/>
      <c r="M1154" s="45"/>
      <c r="N1154" s="45"/>
      <c r="O1154" s="21"/>
      <c r="P1154" s="21"/>
      <c r="Q1154" s="21"/>
      <c r="R1154" s="25" t="str">
        <f t="shared" si="18"/>
        <v/>
      </c>
    </row>
    <row r="1155" spans="1:18">
      <c r="A1155" s="28"/>
      <c r="B1155" s="48"/>
      <c r="C1155" s="48"/>
      <c r="D1155" s="21"/>
      <c r="E1155" s="21"/>
      <c r="F1155" s="21"/>
      <c r="G1155" s="21"/>
      <c r="H1155" s="21"/>
      <c r="I1155" s="21"/>
      <c r="J1155" s="45"/>
      <c r="K1155" s="45"/>
      <c r="L1155" s="45"/>
      <c r="M1155" s="45"/>
      <c r="N1155" s="45"/>
      <c r="O1155" s="21"/>
      <c r="P1155" s="21"/>
      <c r="Q1155" s="21"/>
      <c r="R1155" s="25" t="str">
        <f t="shared" si="18"/>
        <v/>
      </c>
    </row>
    <row r="1156" spans="1:18">
      <c r="A1156" s="28"/>
      <c r="B1156" s="48"/>
      <c r="C1156" s="48"/>
      <c r="D1156" s="21"/>
      <c r="E1156" s="21"/>
      <c r="F1156" s="21"/>
      <c r="G1156" s="21"/>
      <c r="H1156" s="21"/>
      <c r="I1156" s="21"/>
      <c r="J1156" s="45"/>
      <c r="K1156" s="45"/>
      <c r="L1156" s="45"/>
      <c r="M1156" s="45"/>
      <c r="N1156" s="45"/>
      <c r="O1156" s="21"/>
      <c r="P1156" s="21"/>
      <c r="Q1156" s="21"/>
      <c r="R1156" s="25" t="str">
        <f t="shared" si="18"/>
        <v/>
      </c>
    </row>
    <row r="1157" spans="1:18">
      <c r="A1157" s="28"/>
      <c r="B1157" s="48"/>
      <c r="C1157" s="48"/>
      <c r="D1157" s="21"/>
      <c r="E1157" s="21"/>
      <c r="F1157" s="21"/>
      <c r="G1157" s="21"/>
      <c r="H1157" s="21"/>
      <c r="I1157" s="21"/>
      <c r="J1157" s="45"/>
      <c r="K1157" s="45"/>
      <c r="L1157" s="45"/>
      <c r="M1157" s="45"/>
      <c r="N1157" s="45"/>
      <c r="O1157" s="21"/>
      <c r="P1157" s="21"/>
      <c r="Q1157" s="21"/>
      <c r="R1157" s="25" t="str">
        <f t="shared" si="18"/>
        <v/>
      </c>
    </row>
    <row r="1158" spans="1:18">
      <c r="A1158" s="28"/>
      <c r="B1158" s="48"/>
      <c r="C1158" s="48"/>
      <c r="D1158" s="21"/>
      <c r="E1158" s="21"/>
      <c r="F1158" s="21"/>
      <c r="G1158" s="21"/>
      <c r="H1158" s="21"/>
      <c r="I1158" s="21"/>
      <c r="J1158" s="45"/>
      <c r="K1158" s="45"/>
      <c r="L1158" s="45"/>
      <c r="M1158" s="45"/>
      <c r="N1158" s="45"/>
      <c r="O1158" s="21"/>
      <c r="P1158" s="21"/>
      <c r="Q1158" s="21"/>
      <c r="R1158" s="25" t="str">
        <f t="shared" si="18"/>
        <v/>
      </c>
    </row>
    <row r="1159" spans="1:18">
      <c r="A1159" s="28"/>
      <c r="B1159" s="48"/>
      <c r="C1159" s="48"/>
      <c r="D1159" s="21"/>
      <c r="E1159" s="21"/>
      <c r="F1159" s="21"/>
      <c r="G1159" s="21"/>
      <c r="H1159" s="21"/>
      <c r="I1159" s="21"/>
      <c r="J1159" s="45"/>
      <c r="K1159" s="45"/>
      <c r="L1159" s="45"/>
      <c r="M1159" s="45"/>
      <c r="N1159" s="45"/>
      <c r="O1159" s="21"/>
      <c r="P1159" s="21"/>
      <c r="Q1159" s="21"/>
      <c r="R1159" s="25" t="str">
        <f t="shared" si="18"/>
        <v/>
      </c>
    </row>
    <row r="1160" spans="1:18">
      <c r="A1160" s="28"/>
      <c r="B1160" s="48"/>
      <c r="C1160" s="48"/>
      <c r="D1160" s="21"/>
      <c r="E1160" s="21"/>
      <c r="F1160" s="21"/>
      <c r="G1160" s="21"/>
      <c r="H1160" s="21"/>
      <c r="I1160" s="21"/>
      <c r="J1160" s="45"/>
      <c r="K1160" s="45"/>
      <c r="L1160" s="45"/>
      <c r="M1160" s="45"/>
      <c r="N1160" s="45"/>
      <c r="O1160" s="21"/>
      <c r="P1160" s="21"/>
      <c r="Q1160" s="21"/>
      <c r="R1160" s="25" t="str">
        <f t="shared" si="18"/>
        <v/>
      </c>
    </row>
    <row r="1161" spans="1:18">
      <c r="A1161" s="28"/>
      <c r="B1161" s="48"/>
      <c r="C1161" s="48"/>
      <c r="D1161" s="21"/>
      <c r="E1161" s="21"/>
      <c r="F1161" s="21"/>
      <c r="G1161" s="21"/>
      <c r="H1161" s="21"/>
      <c r="I1161" s="21"/>
      <c r="J1161" s="45"/>
      <c r="K1161" s="45"/>
      <c r="L1161" s="45"/>
      <c r="M1161" s="45"/>
      <c r="N1161" s="45"/>
      <c r="O1161" s="21"/>
      <c r="P1161" s="21"/>
      <c r="Q1161" s="21"/>
      <c r="R1161" s="25" t="str">
        <f t="shared" si="18"/>
        <v/>
      </c>
    </row>
    <row r="1162" spans="1:18">
      <c r="A1162" s="28"/>
      <c r="B1162" s="48"/>
      <c r="C1162" s="48"/>
      <c r="D1162" s="21"/>
      <c r="E1162" s="21"/>
      <c r="F1162" s="21"/>
      <c r="G1162" s="21"/>
      <c r="H1162" s="21"/>
      <c r="I1162" s="21"/>
      <c r="J1162" s="45"/>
      <c r="K1162" s="45"/>
      <c r="L1162" s="45"/>
      <c r="M1162" s="45"/>
      <c r="N1162" s="45"/>
      <c r="O1162" s="21"/>
      <c r="P1162" s="21"/>
      <c r="Q1162" s="21"/>
      <c r="R1162" s="25" t="str">
        <f t="shared" si="18"/>
        <v/>
      </c>
    </row>
    <row r="1163" spans="1:18">
      <c r="A1163" s="28"/>
      <c r="B1163" s="48"/>
      <c r="C1163" s="48"/>
      <c r="D1163" s="21"/>
      <c r="E1163" s="21"/>
      <c r="F1163" s="21"/>
      <c r="G1163" s="21"/>
      <c r="H1163" s="21"/>
      <c r="I1163" s="21"/>
      <c r="J1163" s="45"/>
      <c r="K1163" s="45"/>
      <c r="L1163" s="45"/>
      <c r="M1163" s="45"/>
      <c r="N1163" s="45"/>
      <c r="O1163" s="21"/>
      <c r="P1163" s="21"/>
      <c r="Q1163" s="21"/>
      <c r="R1163" s="25" t="str">
        <f t="shared" si="18"/>
        <v/>
      </c>
    </row>
    <row r="1164" spans="1:18">
      <c r="A1164" s="28"/>
      <c r="B1164" s="48"/>
      <c r="C1164" s="48"/>
      <c r="D1164" s="21"/>
      <c r="E1164" s="21"/>
      <c r="F1164" s="21"/>
      <c r="G1164" s="21"/>
      <c r="H1164" s="21"/>
      <c r="I1164" s="21"/>
      <c r="J1164" s="45"/>
      <c r="K1164" s="45"/>
      <c r="L1164" s="45"/>
      <c r="M1164" s="45"/>
      <c r="N1164" s="45"/>
      <c r="O1164" s="21"/>
      <c r="P1164" s="21"/>
      <c r="Q1164" s="21"/>
      <c r="R1164" s="25" t="str">
        <f t="shared" si="18"/>
        <v/>
      </c>
    </row>
    <row r="1165" spans="1:18">
      <c r="A1165" s="28"/>
      <c r="B1165" s="48"/>
      <c r="C1165" s="48"/>
      <c r="D1165" s="21"/>
      <c r="E1165" s="21"/>
      <c r="F1165" s="21"/>
      <c r="G1165" s="21"/>
      <c r="H1165" s="21"/>
      <c r="I1165" s="21"/>
      <c r="J1165" s="45"/>
      <c r="K1165" s="45"/>
      <c r="L1165" s="45"/>
      <c r="M1165" s="45"/>
      <c r="N1165" s="45"/>
      <c r="O1165" s="21"/>
      <c r="P1165" s="21"/>
      <c r="Q1165" s="21"/>
      <c r="R1165" s="25" t="str">
        <f t="shared" si="18"/>
        <v/>
      </c>
    </row>
    <row r="1166" spans="1:18">
      <c r="A1166" s="28"/>
      <c r="B1166" s="48"/>
      <c r="C1166" s="48"/>
      <c r="D1166" s="21"/>
      <c r="E1166" s="21"/>
      <c r="F1166" s="21"/>
      <c r="G1166" s="21"/>
      <c r="H1166" s="21"/>
      <c r="I1166" s="21"/>
      <c r="J1166" s="45"/>
      <c r="K1166" s="45"/>
      <c r="L1166" s="45"/>
      <c r="M1166" s="45"/>
      <c r="N1166" s="45"/>
      <c r="O1166" s="21"/>
      <c r="P1166" s="21"/>
      <c r="Q1166" s="21"/>
      <c r="R1166" s="25" t="str">
        <f t="shared" si="18"/>
        <v/>
      </c>
    </row>
    <row r="1167" spans="1:18">
      <c r="A1167" s="28"/>
      <c r="B1167" s="48"/>
      <c r="C1167" s="48"/>
      <c r="D1167" s="21"/>
      <c r="E1167" s="21"/>
      <c r="F1167" s="21"/>
      <c r="G1167" s="21"/>
      <c r="H1167" s="21"/>
      <c r="I1167" s="21"/>
      <c r="J1167" s="45"/>
      <c r="K1167" s="45"/>
      <c r="L1167" s="45"/>
      <c r="M1167" s="45"/>
      <c r="N1167" s="45"/>
      <c r="O1167" s="21"/>
      <c r="P1167" s="21"/>
      <c r="Q1167" s="21"/>
      <c r="R1167" s="25" t="str">
        <f t="shared" si="18"/>
        <v/>
      </c>
    </row>
    <row r="1168" spans="1:18">
      <c r="A1168" s="28"/>
      <c r="B1168" s="48"/>
      <c r="C1168" s="48"/>
      <c r="D1168" s="21"/>
      <c r="E1168" s="21"/>
      <c r="F1168" s="21"/>
      <c r="G1168" s="21"/>
      <c r="H1168" s="21"/>
      <c r="I1168" s="21"/>
      <c r="J1168" s="45"/>
      <c r="K1168" s="45"/>
      <c r="L1168" s="45"/>
      <c r="M1168" s="45"/>
      <c r="N1168" s="45"/>
      <c r="O1168" s="21"/>
      <c r="P1168" s="21"/>
      <c r="Q1168" s="21"/>
      <c r="R1168" s="25" t="str">
        <f t="shared" si="18"/>
        <v/>
      </c>
    </row>
    <row r="1169" spans="1:18">
      <c r="A1169" s="28"/>
      <c r="B1169" s="48"/>
      <c r="C1169" s="48"/>
      <c r="D1169" s="21"/>
      <c r="E1169" s="21"/>
      <c r="F1169" s="21"/>
      <c r="G1169" s="21"/>
      <c r="H1169" s="21"/>
      <c r="I1169" s="21"/>
      <c r="J1169" s="45"/>
      <c r="K1169" s="45"/>
      <c r="L1169" s="45"/>
      <c r="M1169" s="45"/>
      <c r="N1169" s="45"/>
      <c r="O1169" s="21"/>
      <c r="P1169" s="21"/>
      <c r="Q1169" s="21"/>
      <c r="R1169" s="25" t="str">
        <f t="shared" si="18"/>
        <v/>
      </c>
    </row>
    <row r="1170" spans="1:18">
      <c r="A1170" s="28"/>
      <c r="B1170" s="48"/>
      <c r="C1170" s="48"/>
      <c r="D1170" s="21"/>
      <c r="E1170" s="21"/>
      <c r="F1170" s="21"/>
      <c r="G1170" s="21"/>
      <c r="H1170" s="21"/>
      <c r="I1170" s="21"/>
      <c r="J1170" s="45"/>
      <c r="K1170" s="45"/>
      <c r="L1170" s="45"/>
      <c r="M1170" s="45"/>
      <c r="N1170" s="45"/>
      <c r="O1170" s="21"/>
      <c r="P1170" s="21"/>
      <c r="Q1170" s="21"/>
      <c r="R1170" s="25" t="str">
        <f t="shared" si="18"/>
        <v/>
      </c>
    </row>
    <row r="1171" spans="1:18">
      <c r="A1171" s="28"/>
      <c r="B1171" s="48"/>
      <c r="C1171" s="48"/>
      <c r="D1171" s="21"/>
      <c r="E1171" s="21"/>
      <c r="F1171" s="21"/>
      <c r="G1171" s="21"/>
      <c r="H1171" s="21"/>
      <c r="I1171" s="21"/>
      <c r="J1171" s="45"/>
      <c r="K1171" s="45"/>
      <c r="L1171" s="45"/>
      <c r="M1171" s="45"/>
      <c r="N1171" s="45"/>
      <c r="O1171" s="21"/>
      <c r="P1171" s="21"/>
      <c r="Q1171" s="21"/>
      <c r="R1171" s="25" t="str">
        <f t="shared" si="18"/>
        <v/>
      </c>
    </row>
    <row r="1172" spans="1:18">
      <c r="A1172" s="28"/>
      <c r="B1172" s="48"/>
      <c r="C1172" s="48"/>
      <c r="D1172" s="21"/>
      <c r="E1172" s="21"/>
      <c r="F1172" s="21"/>
      <c r="G1172" s="21"/>
      <c r="H1172" s="21"/>
      <c r="I1172" s="21"/>
      <c r="J1172" s="45"/>
      <c r="K1172" s="45"/>
      <c r="L1172" s="45"/>
      <c r="M1172" s="45"/>
      <c r="N1172" s="45"/>
      <c r="O1172" s="21"/>
      <c r="P1172" s="21"/>
      <c r="Q1172" s="21"/>
      <c r="R1172" s="25" t="str">
        <f t="shared" si="18"/>
        <v/>
      </c>
    </row>
    <row r="1173" spans="1:18">
      <c r="A1173" s="28"/>
      <c r="B1173" s="48"/>
      <c r="C1173" s="48"/>
      <c r="D1173" s="21"/>
      <c r="E1173" s="21"/>
      <c r="F1173" s="21"/>
      <c r="G1173" s="21"/>
      <c r="H1173" s="21"/>
      <c r="I1173" s="21"/>
      <c r="J1173" s="45"/>
      <c r="K1173" s="45"/>
      <c r="L1173" s="45"/>
      <c r="M1173" s="45"/>
      <c r="N1173" s="45"/>
      <c r="O1173" s="21"/>
      <c r="P1173" s="21"/>
      <c r="Q1173" s="21"/>
      <c r="R1173" s="25" t="str">
        <f t="shared" si="18"/>
        <v/>
      </c>
    </row>
    <row r="1174" spans="1:18">
      <c r="A1174" s="28"/>
      <c r="B1174" s="48"/>
      <c r="C1174" s="48"/>
      <c r="D1174" s="21"/>
      <c r="E1174" s="21"/>
      <c r="F1174" s="21"/>
      <c r="G1174" s="21"/>
      <c r="H1174" s="21"/>
      <c r="I1174" s="21"/>
      <c r="J1174" s="45"/>
      <c r="K1174" s="45"/>
      <c r="L1174" s="45"/>
      <c r="M1174" s="45"/>
      <c r="N1174" s="45"/>
      <c r="O1174" s="21"/>
      <c r="P1174" s="21"/>
      <c r="Q1174" s="21"/>
      <c r="R1174" s="25" t="str">
        <f t="shared" si="18"/>
        <v/>
      </c>
    </row>
    <row r="1175" spans="1:18">
      <c r="A1175" s="28"/>
      <c r="B1175" s="48"/>
      <c r="C1175" s="48"/>
      <c r="D1175" s="21"/>
      <c r="E1175" s="21"/>
      <c r="F1175" s="21"/>
      <c r="G1175" s="21"/>
      <c r="H1175" s="21"/>
      <c r="I1175" s="21"/>
      <c r="J1175" s="45"/>
      <c r="K1175" s="45"/>
      <c r="L1175" s="45"/>
      <c r="M1175" s="45"/>
      <c r="N1175" s="45"/>
      <c r="O1175" s="21"/>
      <c r="P1175" s="21"/>
      <c r="Q1175" s="21"/>
      <c r="R1175" s="25" t="str">
        <f t="shared" si="18"/>
        <v/>
      </c>
    </row>
    <row r="1176" spans="1:18">
      <c r="A1176" s="28"/>
      <c r="B1176" s="48"/>
      <c r="C1176" s="48"/>
      <c r="D1176" s="21"/>
      <c r="E1176" s="21"/>
      <c r="F1176" s="21"/>
      <c r="G1176" s="21"/>
      <c r="H1176" s="21"/>
      <c r="I1176" s="21"/>
      <c r="J1176" s="45"/>
      <c r="K1176" s="45"/>
      <c r="L1176" s="45"/>
      <c r="M1176" s="45"/>
      <c r="N1176" s="45"/>
      <c r="O1176" s="21"/>
      <c r="P1176" s="21"/>
      <c r="Q1176" s="21"/>
      <c r="R1176" s="25" t="str">
        <f t="shared" si="18"/>
        <v/>
      </c>
    </row>
    <row r="1177" spans="1:18">
      <c r="A1177" s="28"/>
      <c r="B1177" s="48"/>
      <c r="C1177" s="48"/>
      <c r="D1177" s="21"/>
      <c r="E1177" s="21"/>
      <c r="F1177" s="21"/>
      <c r="G1177" s="21"/>
      <c r="H1177" s="21"/>
      <c r="I1177" s="21"/>
      <c r="J1177" s="45"/>
      <c r="K1177" s="45"/>
      <c r="L1177" s="45"/>
      <c r="M1177" s="45"/>
      <c r="N1177" s="45"/>
      <c r="O1177" s="21"/>
      <c r="P1177" s="21"/>
      <c r="Q1177" s="21"/>
      <c r="R1177" s="25" t="str">
        <f t="shared" si="18"/>
        <v/>
      </c>
    </row>
    <row r="1178" spans="1:18">
      <c r="A1178" s="28"/>
      <c r="B1178" s="48"/>
      <c r="C1178" s="48"/>
      <c r="D1178" s="21"/>
      <c r="E1178" s="21"/>
      <c r="F1178" s="21"/>
      <c r="G1178" s="21"/>
      <c r="H1178" s="21"/>
      <c r="I1178" s="21"/>
      <c r="J1178" s="45"/>
      <c r="K1178" s="45"/>
      <c r="L1178" s="45"/>
      <c r="M1178" s="45"/>
      <c r="N1178" s="45"/>
      <c r="O1178" s="21"/>
      <c r="P1178" s="21"/>
      <c r="Q1178" s="21"/>
      <c r="R1178" s="25" t="str">
        <f t="shared" si="18"/>
        <v/>
      </c>
    </row>
    <row r="1179" spans="1:18">
      <c r="A1179" s="28"/>
      <c r="B1179" s="48"/>
      <c r="C1179" s="48"/>
      <c r="D1179" s="21"/>
      <c r="E1179" s="21"/>
      <c r="F1179" s="21"/>
      <c r="G1179" s="21"/>
      <c r="H1179" s="21"/>
      <c r="I1179" s="21"/>
      <c r="J1179" s="45"/>
      <c r="K1179" s="45"/>
      <c r="L1179" s="45"/>
      <c r="M1179" s="45"/>
      <c r="N1179" s="45"/>
      <c r="O1179" s="21"/>
      <c r="P1179" s="21"/>
      <c r="Q1179" s="21"/>
      <c r="R1179" s="25" t="str">
        <f t="shared" si="18"/>
        <v/>
      </c>
    </row>
    <row r="1180" spans="1:18">
      <c r="A1180" s="28"/>
      <c r="B1180" s="48"/>
      <c r="C1180" s="48"/>
      <c r="D1180" s="21"/>
      <c r="E1180" s="21"/>
      <c r="F1180" s="21"/>
      <c r="G1180" s="21"/>
      <c r="H1180" s="21"/>
      <c r="I1180" s="21"/>
      <c r="J1180" s="45"/>
      <c r="K1180" s="45"/>
      <c r="L1180" s="45"/>
      <c r="M1180" s="45"/>
      <c r="N1180" s="45"/>
      <c r="O1180" s="21"/>
      <c r="P1180" s="21"/>
      <c r="Q1180" s="21"/>
      <c r="R1180" s="25" t="str">
        <f t="shared" si="18"/>
        <v/>
      </c>
    </row>
    <row r="1181" spans="1:18">
      <c r="A1181" s="28"/>
      <c r="B1181" s="48"/>
      <c r="C1181" s="48"/>
      <c r="D1181" s="21"/>
      <c r="E1181" s="21"/>
      <c r="F1181" s="21"/>
      <c r="G1181" s="21"/>
      <c r="H1181" s="21"/>
      <c r="I1181" s="21"/>
      <c r="J1181" s="45"/>
      <c r="K1181" s="45"/>
      <c r="L1181" s="45"/>
      <c r="M1181" s="45"/>
      <c r="N1181" s="45"/>
      <c r="O1181" s="21"/>
      <c r="P1181" s="21"/>
      <c r="Q1181" s="21"/>
      <c r="R1181" s="25" t="str">
        <f t="shared" si="18"/>
        <v/>
      </c>
    </row>
    <row r="1182" spans="1:18">
      <c r="A1182" s="28"/>
      <c r="B1182" s="48"/>
      <c r="C1182" s="48"/>
      <c r="D1182" s="21"/>
      <c r="E1182" s="21"/>
      <c r="F1182" s="21"/>
      <c r="G1182" s="21"/>
      <c r="H1182" s="21"/>
      <c r="I1182" s="21"/>
      <c r="J1182" s="45"/>
      <c r="K1182" s="45"/>
      <c r="L1182" s="45"/>
      <c r="M1182" s="45"/>
      <c r="N1182" s="45"/>
      <c r="O1182" s="21"/>
      <c r="P1182" s="21"/>
      <c r="Q1182" s="21"/>
      <c r="R1182" s="25" t="str">
        <f t="shared" si="18"/>
        <v/>
      </c>
    </row>
    <row r="1183" spans="1:18">
      <c r="A1183" s="28"/>
      <c r="B1183" s="48"/>
      <c r="C1183" s="48"/>
      <c r="D1183" s="21"/>
      <c r="E1183" s="21"/>
      <c r="F1183" s="21"/>
      <c r="G1183" s="21"/>
      <c r="H1183" s="21"/>
      <c r="I1183" s="21"/>
      <c r="J1183" s="45"/>
      <c r="K1183" s="45"/>
      <c r="L1183" s="45"/>
      <c r="M1183" s="45"/>
      <c r="N1183" s="45"/>
      <c r="O1183" s="21"/>
      <c r="P1183" s="21"/>
      <c r="Q1183" s="21"/>
      <c r="R1183" s="25" t="str">
        <f t="shared" si="18"/>
        <v/>
      </c>
    </row>
    <row r="1184" spans="1:18">
      <c r="A1184" s="28"/>
      <c r="B1184" s="48"/>
      <c r="C1184" s="48"/>
      <c r="D1184" s="21"/>
      <c r="E1184" s="21"/>
      <c r="F1184" s="21"/>
      <c r="G1184" s="21"/>
      <c r="H1184" s="21"/>
      <c r="I1184" s="21"/>
      <c r="J1184" s="45"/>
      <c r="K1184" s="45"/>
      <c r="L1184" s="45"/>
      <c r="M1184" s="45"/>
      <c r="N1184" s="45"/>
      <c r="O1184" s="21"/>
      <c r="P1184" s="21"/>
      <c r="Q1184" s="21"/>
      <c r="R1184" s="25" t="str">
        <f t="shared" si="18"/>
        <v/>
      </c>
    </row>
    <row r="1185" spans="1:18">
      <c r="A1185" s="28"/>
      <c r="B1185" s="48"/>
      <c r="C1185" s="48"/>
      <c r="D1185" s="21"/>
      <c r="E1185" s="21"/>
      <c r="F1185" s="21"/>
      <c r="G1185" s="21"/>
      <c r="H1185" s="21"/>
      <c r="I1185" s="21"/>
      <c r="J1185" s="45"/>
      <c r="K1185" s="45"/>
      <c r="L1185" s="45"/>
      <c r="M1185" s="45"/>
      <c r="N1185" s="45"/>
      <c r="O1185" s="21"/>
      <c r="P1185" s="21"/>
      <c r="Q1185" s="21"/>
      <c r="R1185" s="25" t="str">
        <f t="shared" si="18"/>
        <v/>
      </c>
    </row>
    <row r="1186" spans="1:18">
      <c r="A1186" s="28"/>
      <c r="B1186" s="48"/>
      <c r="C1186" s="48"/>
      <c r="D1186" s="21"/>
      <c r="E1186" s="21"/>
      <c r="F1186" s="21"/>
      <c r="G1186" s="21"/>
      <c r="H1186" s="21"/>
      <c r="I1186" s="21"/>
      <c r="J1186" s="45"/>
      <c r="K1186" s="45"/>
      <c r="L1186" s="45"/>
      <c r="M1186" s="45"/>
      <c r="N1186" s="45"/>
      <c r="O1186" s="21"/>
      <c r="P1186" s="21"/>
      <c r="Q1186" s="21"/>
      <c r="R1186" s="25" t="str">
        <f t="shared" si="18"/>
        <v/>
      </c>
    </row>
    <row r="1187" spans="1:18">
      <c r="A1187" s="28"/>
      <c r="B1187" s="48"/>
      <c r="C1187" s="48"/>
      <c r="D1187" s="21"/>
      <c r="E1187" s="21"/>
      <c r="F1187" s="21"/>
      <c r="G1187" s="21"/>
      <c r="H1187" s="21"/>
      <c r="I1187" s="21"/>
      <c r="J1187" s="45"/>
      <c r="K1187" s="45"/>
      <c r="L1187" s="45"/>
      <c r="M1187" s="45"/>
      <c r="N1187" s="45"/>
      <c r="O1187" s="21"/>
      <c r="P1187" s="21"/>
      <c r="Q1187" s="21"/>
      <c r="R1187" s="25" t="str">
        <f t="shared" si="18"/>
        <v/>
      </c>
    </row>
    <row r="1188" spans="1:18">
      <c r="A1188" s="28"/>
      <c r="B1188" s="48"/>
      <c r="C1188" s="48"/>
      <c r="D1188" s="21"/>
      <c r="E1188" s="21"/>
      <c r="F1188" s="21"/>
      <c r="G1188" s="21"/>
      <c r="H1188" s="21"/>
      <c r="I1188" s="21"/>
      <c r="J1188" s="45"/>
      <c r="K1188" s="45"/>
      <c r="L1188" s="45"/>
      <c r="M1188" s="45"/>
      <c r="N1188" s="45"/>
      <c r="O1188" s="21"/>
      <c r="P1188" s="21"/>
      <c r="Q1188" s="21"/>
      <c r="R1188" s="25" t="str">
        <f t="shared" si="18"/>
        <v/>
      </c>
    </row>
    <row r="1189" spans="1:18">
      <c r="A1189" s="28"/>
      <c r="B1189" s="48"/>
      <c r="C1189" s="48"/>
      <c r="D1189" s="21"/>
      <c r="E1189" s="21"/>
      <c r="F1189" s="21"/>
      <c r="G1189" s="21"/>
      <c r="H1189" s="21"/>
      <c r="I1189" s="21"/>
      <c r="J1189" s="45"/>
      <c r="K1189" s="45"/>
      <c r="L1189" s="45"/>
      <c r="M1189" s="45"/>
      <c r="N1189" s="45"/>
      <c r="O1189" s="21"/>
      <c r="P1189" s="21"/>
      <c r="Q1189" s="21"/>
      <c r="R1189" s="25" t="str">
        <f t="shared" si="18"/>
        <v/>
      </c>
    </row>
    <row r="1190" spans="1:18">
      <c r="A1190" s="28"/>
      <c r="B1190" s="48"/>
      <c r="C1190" s="48"/>
      <c r="D1190" s="21"/>
      <c r="E1190" s="21"/>
      <c r="F1190" s="21"/>
      <c r="G1190" s="21"/>
      <c r="H1190" s="21"/>
      <c r="I1190" s="21"/>
      <c r="J1190" s="45"/>
      <c r="K1190" s="45"/>
      <c r="L1190" s="45"/>
      <c r="M1190" s="45"/>
      <c r="N1190" s="45"/>
      <c r="O1190" s="21"/>
      <c r="P1190" s="21"/>
      <c r="Q1190" s="21"/>
      <c r="R1190" s="25" t="str">
        <f t="shared" si="18"/>
        <v/>
      </c>
    </row>
    <row r="1191" spans="1:18">
      <c r="A1191" s="28"/>
      <c r="B1191" s="48"/>
      <c r="C1191" s="48"/>
      <c r="D1191" s="21"/>
      <c r="E1191" s="21"/>
      <c r="F1191" s="21"/>
      <c r="G1191" s="21"/>
      <c r="H1191" s="21"/>
      <c r="I1191" s="21"/>
      <c r="J1191" s="45"/>
      <c r="K1191" s="45"/>
      <c r="L1191" s="45"/>
      <c r="M1191" s="45"/>
      <c r="N1191" s="45"/>
      <c r="O1191" s="21"/>
      <c r="P1191" s="21"/>
      <c r="Q1191" s="21"/>
      <c r="R1191" s="25" t="str">
        <f t="shared" si="18"/>
        <v/>
      </c>
    </row>
    <row r="1192" spans="1:18">
      <c r="A1192" s="28"/>
      <c r="B1192" s="48"/>
      <c r="C1192" s="48"/>
      <c r="D1192" s="21"/>
      <c r="E1192" s="21"/>
      <c r="F1192" s="21"/>
      <c r="G1192" s="21"/>
      <c r="H1192" s="21"/>
      <c r="I1192" s="21"/>
      <c r="J1192" s="45"/>
      <c r="K1192" s="45"/>
      <c r="L1192" s="45"/>
      <c r="M1192" s="45"/>
      <c r="N1192" s="45"/>
      <c r="O1192" s="21"/>
      <c r="P1192" s="21"/>
      <c r="Q1192" s="21"/>
      <c r="R1192" s="25" t="str">
        <f t="shared" si="18"/>
        <v/>
      </c>
    </row>
    <row r="1193" spans="1:18">
      <c r="A1193" s="28"/>
      <c r="B1193" s="48"/>
      <c r="C1193" s="48"/>
      <c r="D1193" s="21"/>
      <c r="E1193" s="21"/>
      <c r="F1193" s="21"/>
      <c r="G1193" s="21"/>
      <c r="H1193" s="21"/>
      <c r="I1193" s="21"/>
      <c r="J1193" s="45"/>
      <c r="K1193" s="45"/>
      <c r="L1193" s="45"/>
      <c r="M1193" s="45"/>
      <c r="N1193" s="45"/>
      <c r="O1193" s="21"/>
      <c r="P1193" s="21"/>
      <c r="Q1193" s="21"/>
      <c r="R1193" s="25" t="str">
        <f t="shared" si="18"/>
        <v/>
      </c>
    </row>
    <row r="1194" spans="1:18">
      <c r="A1194" s="28"/>
      <c r="B1194" s="48"/>
      <c r="C1194" s="48"/>
      <c r="D1194" s="21"/>
      <c r="E1194" s="21"/>
      <c r="F1194" s="21"/>
      <c r="G1194" s="21"/>
      <c r="H1194" s="21"/>
      <c r="I1194" s="21"/>
      <c r="J1194" s="45"/>
      <c r="K1194" s="45"/>
      <c r="L1194" s="45"/>
      <c r="M1194" s="45"/>
      <c r="N1194" s="45"/>
      <c r="O1194" s="21"/>
      <c r="P1194" s="21"/>
      <c r="Q1194" s="21"/>
      <c r="R1194" s="25" t="str">
        <f t="shared" si="18"/>
        <v/>
      </c>
    </row>
    <row r="1195" spans="1:18">
      <c r="A1195" s="28"/>
      <c r="B1195" s="48"/>
      <c r="C1195" s="48"/>
      <c r="D1195" s="21"/>
      <c r="E1195" s="21"/>
      <c r="F1195" s="21"/>
      <c r="G1195" s="21"/>
      <c r="H1195" s="21"/>
      <c r="I1195" s="21"/>
      <c r="J1195" s="45"/>
      <c r="K1195" s="45"/>
      <c r="L1195" s="45"/>
      <c r="M1195" s="45"/>
      <c r="N1195" s="45"/>
      <c r="O1195" s="21"/>
      <c r="P1195" s="21"/>
      <c r="Q1195" s="21"/>
      <c r="R1195" s="25" t="str">
        <f t="shared" si="18"/>
        <v/>
      </c>
    </row>
    <row r="1196" spans="1:18">
      <c r="A1196" s="28"/>
      <c r="B1196" s="48"/>
      <c r="C1196" s="48"/>
      <c r="D1196" s="21"/>
      <c r="E1196" s="21"/>
      <c r="F1196" s="21"/>
      <c r="G1196" s="21"/>
      <c r="H1196" s="21"/>
      <c r="I1196" s="21"/>
      <c r="J1196" s="45"/>
      <c r="K1196" s="45"/>
      <c r="L1196" s="45"/>
      <c r="M1196" s="45"/>
      <c r="N1196" s="45"/>
      <c r="O1196" s="21"/>
      <c r="P1196" s="21"/>
      <c r="Q1196" s="21"/>
      <c r="R1196" s="25" t="str">
        <f t="shared" si="18"/>
        <v/>
      </c>
    </row>
    <row r="1197" spans="1:18">
      <c r="A1197" s="28"/>
      <c r="B1197" s="48"/>
      <c r="C1197" s="48"/>
      <c r="D1197" s="21"/>
      <c r="E1197" s="21"/>
      <c r="F1197" s="21"/>
      <c r="G1197" s="21"/>
      <c r="H1197" s="21"/>
      <c r="I1197" s="21"/>
      <c r="J1197" s="45"/>
      <c r="K1197" s="45"/>
      <c r="L1197" s="45"/>
      <c r="M1197" s="45"/>
      <c r="N1197" s="45"/>
      <c r="O1197" s="21"/>
      <c r="P1197" s="21"/>
      <c r="Q1197" s="21"/>
      <c r="R1197" s="25" t="str">
        <f t="shared" si="18"/>
        <v/>
      </c>
    </row>
    <row r="1198" spans="1:18">
      <c r="A1198" s="28"/>
      <c r="B1198" s="48"/>
      <c r="C1198" s="48"/>
      <c r="D1198" s="21"/>
      <c r="E1198" s="21"/>
      <c r="F1198" s="21"/>
      <c r="G1198" s="21"/>
      <c r="H1198" s="21"/>
      <c r="I1198" s="21"/>
      <c r="J1198" s="45"/>
      <c r="K1198" s="45"/>
      <c r="L1198" s="45"/>
      <c r="M1198" s="45"/>
      <c r="N1198" s="45"/>
      <c r="O1198" s="21"/>
      <c r="P1198" s="21"/>
      <c r="Q1198" s="21"/>
      <c r="R1198" s="25" t="str">
        <f t="shared" si="18"/>
        <v/>
      </c>
    </row>
    <row r="1199" spans="1:18">
      <c r="A1199" s="28"/>
      <c r="B1199" s="48"/>
      <c r="C1199" s="48"/>
      <c r="D1199" s="21"/>
      <c r="E1199" s="21"/>
      <c r="F1199" s="21"/>
      <c r="G1199" s="21"/>
      <c r="H1199" s="21"/>
      <c r="I1199" s="21"/>
      <c r="J1199" s="45"/>
      <c r="K1199" s="45"/>
      <c r="L1199" s="45"/>
      <c r="M1199" s="45"/>
      <c r="N1199" s="45"/>
      <c r="O1199" s="21"/>
      <c r="P1199" s="21"/>
      <c r="Q1199" s="21"/>
      <c r="R1199" s="25" t="str">
        <f t="shared" si="18"/>
        <v/>
      </c>
    </row>
    <row r="1200" spans="1:18">
      <c r="A1200" s="28"/>
      <c r="B1200" s="48"/>
      <c r="C1200" s="48"/>
      <c r="D1200" s="21"/>
      <c r="E1200" s="21"/>
      <c r="F1200" s="21"/>
      <c r="G1200" s="21"/>
      <c r="H1200" s="21"/>
      <c r="I1200" s="21"/>
      <c r="J1200" s="45"/>
      <c r="K1200" s="45"/>
      <c r="L1200" s="45"/>
      <c r="M1200" s="45"/>
      <c r="N1200" s="45"/>
      <c r="O1200" s="21"/>
      <c r="P1200" s="21"/>
      <c r="Q1200" s="21"/>
      <c r="R1200" s="25" t="str">
        <f t="shared" si="18"/>
        <v/>
      </c>
    </row>
    <row r="1201" spans="1:18">
      <c r="A1201" s="28"/>
      <c r="B1201" s="48"/>
      <c r="C1201" s="48"/>
      <c r="D1201" s="21"/>
      <c r="E1201" s="21"/>
      <c r="F1201" s="21"/>
      <c r="G1201" s="21"/>
      <c r="H1201" s="21"/>
      <c r="I1201" s="21"/>
      <c r="J1201" s="45"/>
      <c r="K1201" s="45"/>
      <c r="L1201" s="45"/>
      <c r="M1201" s="45"/>
      <c r="N1201" s="45"/>
      <c r="O1201" s="21"/>
      <c r="P1201" s="21"/>
      <c r="Q1201" s="21"/>
      <c r="R1201" s="25" t="str">
        <f t="shared" si="18"/>
        <v/>
      </c>
    </row>
    <row r="1202" spans="1:18">
      <c r="A1202" s="28"/>
      <c r="B1202" s="48"/>
      <c r="C1202" s="48"/>
      <c r="D1202" s="21"/>
      <c r="E1202" s="21"/>
      <c r="F1202" s="21"/>
      <c r="G1202" s="21"/>
      <c r="H1202" s="21"/>
      <c r="I1202" s="21"/>
      <c r="J1202" s="45"/>
      <c r="K1202" s="45"/>
      <c r="L1202" s="45"/>
      <c r="M1202" s="45"/>
      <c r="N1202" s="45"/>
      <c r="O1202" s="21"/>
      <c r="P1202" s="21"/>
      <c r="Q1202" s="21"/>
      <c r="R1202" s="25" t="str">
        <f t="shared" si="18"/>
        <v/>
      </c>
    </row>
    <row r="1203" spans="1:18">
      <c r="A1203" s="28"/>
      <c r="B1203" s="48"/>
      <c r="C1203" s="48"/>
      <c r="D1203" s="21"/>
      <c r="E1203" s="21"/>
      <c r="F1203" s="21"/>
      <c r="G1203" s="21"/>
      <c r="H1203" s="21"/>
      <c r="I1203" s="21"/>
      <c r="J1203" s="45"/>
      <c r="K1203" s="45"/>
      <c r="L1203" s="45"/>
      <c r="M1203" s="45"/>
      <c r="N1203" s="45"/>
      <c r="O1203" s="21"/>
      <c r="P1203" s="21"/>
      <c r="Q1203" s="21"/>
      <c r="R1203" s="25" t="str">
        <f t="shared" ref="R1203:R1266" si="19">IF(COUNTIF($A$17:$A$2010,$A1203)&gt;1,"Possible Duplicate","")</f>
        <v/>
      </c>
    </row>
    <row r="1204" spans="1:18">
      <c r="A1204" s="28"/>
      <c r="B1204" s="48"/>
      <c r="C1204" s="48"/>
      <c r="D1204" s="21"/>
      <c r="E1204" s="21"/>
      <c r="F1204" s="21"/>
      <c r="G1204" s="21"/>
      <c r="H1204" s="21"/>
      <c r="I1204" s="21"/>
      <c r="J1204" s="45"/>
      <c r="K1204" s="45"/>
      <c r="L1204" s="45"/>
      <c r="M1204" s="45"/>
      <c r="N1204" s="45"/>
      <c r="O1204" s="21"/>
      <c r="P1204" s="21"/>
      <c r="Q1204" s="21"/>
      <c r="R1204" s="25" t="str">
        <f t="shared" si="19"/>
        <v/>
      </c>
    </row>
    <row r="1205" spans="1:18">
      <c r="A1205" s="28"/>
      <c r="B1205" s="48"/>
      <c r="C1205" s="48"/>
      <c r="D1205" s="21"/>
      <c r="E1205" s="21"/>
      <c r="F1205" s="21"/>
      <c r="G1205" s="21"/>
      <c r="H1205" s="21"/>
      <c r="I1205" s="21"/>
      <c r="J1205" s="45"/>
      <c r="K1205" s="45"/>
      <c r="L1205" s="45"/>
      <c r="M1205" s="45"/>
      <c r="N1205" s="45"/>
      <c r="O1205" s="21"/>
      <c r="P1205" s="21"/>
      <c r="Q1205" s="21"/>
      <c r="R1205" s="25" t="str">
        <f t="shared" si="19"/>
        <v/>
      </c>
    </row>
    <row r="1206" spans="1:18">
      <c r="A1206" s="28"/>
      <c r="B1206" s="48"/>
      <c r="C1206" s="48"/>
      <c r="D1206" s="21"/>
      <c r="E1206" s="21"/>
      <c r="F1206" s="21"/>
      <c r="G1206" s="21"/>
      <c r="H1206" s="21"/>
      <c r="I1206" s="21"/>
      <c r="J1206" s="45"/>
      <c r="K1206" s="45"/>
      <c r="L1206" s="45"/>
      <c r="M1206" s="45"/>
      <c r="N1206" s="45"/>
      <c r="O1206" s="21"/>
      <c r="P1206" s="21"/>
      <c r="Q1206" s="21"/>
      <c r="R1206" s="25" t="str">
        <f t="shared" si="19"/>
        <v/>
      </c>
    </row>
    <row r="1207" spans="1:18">
      <c r="A1207" s="28"/>
      <c r="B1207" s="48"/>
      <c r="C1207" s="48"/>
      <c r="D1207" s="21"/>
      <c r="E1207" s="21"/>
      <c r="F1207" s="21"/>
      <c r="G1207" s="21"/>
      <c r="H1207" s="21"/>
      <c r="I1207" s="21"/>
      <c r="J1207" s="45"/>
      <c r="K1207" s="45"/>
      <c r="L1207" s="45"/>
      <c r="M1207" s="45"/>
      <c r="N1207" s="45"/>
      <c r="O1207" s="21"/>
      <c r="P1207" s="21"/>
      <c r="Q1207" s="21"/>
      <c r="R1207" s="25" t="str">
        <f t="shared" si="19"/>
        <v/>
      </c>
    </row>
    <row r="1208" spans="1:18">
      <c r="A1208" s="28"/>
      <c r="B1208" s="48"/>
      <c r="C1208" s="48"/>
      <c r="D1208" s="21"/>
      <c r="E1208" s="21"/>
      <c r="F1208" s="21"/>
      <c r="G1208" s="21"/>
      <c r="H1208" s="21"/>
      <c r="I1208" s="21"/>
      <c r="J1208" s="45"/>
      <c r="K1208" s="45"/>
      <c r="L1208" s="45"/>
      <c r="M1208" s="45"/>
      <c r="N1208" s="45"/>
      <c r="O1208" s="21"/>
      <c r="P1208" s="21"/>
      <c r="Q1208" s="21"/>
      <c r="R1208" s="25" t="str">
        <f t="shared" si="19"/>
        <v/>
      </c>
    </row>
    <row r="1209" spans="1:18">
      <c r="A1209" s="28"/>
      <c r="B1209" s="48"/>
      <c r="C1209" s="48"/>
      <c r="D1209" s="21"/>
      <c r="E1209" s="21"/>
      <c r="F1209" s="21"/>
      <c r="G1209" s="21"/>
      <c r="H1209" s="21"/>
      <c r="I1209" s="21"/>
      <c r="J1209" s="45"/>
      <c r="K1209" s="45"/>
      <c r="L1209" s="45"/>
      <c r="M1209" s="45"/>
      <c r="N1209" s="45"/>
      <c r="O1209" s="21"/>
      <c r="P1209" s="21"/>
      <c r="Q1209" s="21"/>
      <c r="R1209" s="25" t="str">
        <f t="shared" si="19"/>
        <v/>
      </c>
    </row>
    <row r="1210" spans="1:18">
      <c r="A1210" s="28"/>
      <c r="B1210" s="48"/>
      <c r="C1210" s="48"/>
      <c r="D1210" s="21"/>
      <c r="E1210" s="21"/>
      <c r="F1210" s="21"/>
      <c r="G1210" s="21"/>
      <c r="H1210" s="21"/>
      <c r="I1210" s="21"/>
      <c r="J1210" s="45"/>
      <c r="K1210" s="45"/>
      <c r="L1210" s="45"/>
      <c r="M1210" s="45"/>
      <c r="N1210" s="45"/>
      <c r="O1210" s="21"/>
      <c r="P1210" s="21"/>
      <c r="Q1210" s="21"/>
      <c r="R1210" s="25" t="str">
        <f t="shared" si="19"/>
        <v/>
      </c>
    </row>
    <row r="1211" spans="1:18">
      <c r="A1211" s="28"/>
      <c r="B1211" s="48"/>
      <c r="C1211" s="48"/>
      <c r="D1211" s="21"/>
      <c r="E1211" s="21"/>
      <c r="F1211" s="21"/>
      <c r="G1211" s="21"/>
      <c r="H1211" s="21"/>
      <c r="I1211" s="21"/>
      <c r="J1211" s="45"/>
      <c r="K1211" s="45"/>
      <c r="L1211" s="45"/>
      <c r="M1211" s="45"/>
      <c r="N1211" s="45"/>
      <c r="O1211" s="21"/>
      <c r="P1211" s="21"/>
      <c r="Q1211" s="21"/>
      <c r="R1211" s="25" t="str">
        <f t="shared" si="19"/>
        <v/>
      </c>
    </row>
    <row r="1212" spans="1:18">
      <c r="A1212" s="28"/>
      <c r="B1212" s="48"/>
      <c r="C1212" s="48"/>
      <c r="D1212" s="21"/>
      <c r="E1212" s="21"/>
      <c r="F1212" s="21"/>
      <c r="G1212" s="21"/>
      <c r="H1212" s="21"/>
      <c r="I1212" s="21"/>
      <c r="J1212" s="45"/>
      <c r="K1212" s="45"/>
      <c r="L1212" s="45"/>
      <c r="M1212" s="45"/>
      <c r="N1212" s="45"/>
      <c r="O1212" s="21"/>
      <c r="P1212" s="21"/>
      <c r="Q1212" s="21"/>
      <c r="R1212" s="25" t="str">
        <f t="shared" si="19"/>
        <v/>
      </c>
    </row>
    <row r="1213" spans="1:18">
      <c r="A1213" s="28"/>
      <c r="B1213" s="48"/>
      <c r="C1213" s="48"/>
      <c r="D1213" s="21"/>
      <c r="E1213" s="21"/>
      <c r="F1213" s="21"/>
      <c r="G1213" s="21"/>
      <c r="H1213" s="21"/>
      <c r="I1213" s="21"/>
      <c r="J1213" s="45"/>
      <c r="K1213" s="45"/>
      <c r="L1213" s="45"/>
      <c r="M1213" s="45"/>
      <c r="N1213" s="45"/>
      <c r="O1213" s="21"/>
      <c r="P1213" s="21"/>
      <c r="Q1213" s="21"/>
      <c r="R1213" s="25" t="str">
        <f t="shared" si="19"/>
        <v/>
      </c>
    </row>
    <row r="1214" spans="1:18">
      <c r="A1214" s="28"/>
      <c r="B1214" s="48"/>
      <c r="C1214" s="48"/>
      <c r="D1214" s="21"/>
      <c r="E1214" s="21"/>
      <c r="F1214" s="21"/>
      <c r="G1214" s="21"/>
      <c r="H1214" s="21"/>
      <c r="I1214" s="21"/>
      <c r="J1214" s="45"/>
      <c r="K1214" s="45"/>
      <c r="L1214" s="45"/>
      <c r="M1214" s="45"/>
      <c r="N1214" s="45"/>
      <c r="O1214" s="21"/>
      <c r="P1214" s="21"/>
      <c r="Q1214" s="21"/>
      <c r="R1214" s="25" t="str">
        <f t="shared" si="19"/>
        <v/>
      </c>
    </row>
    <row r="1215" spans="1:18">
      <c r="A1215" s="28"/>
      <c r="B1215" s="48"/>
      <c r="C1215" s="48"/>
      <c r="D1215" s="21"/>
      <c r="E1215" s="21"/>
      <c r="F1215" s="21"/>
      <c r="G1215" s="21"/>
      <c r="H1215" s="21"/>
      <c r="I1215" s="21"/>
      <c r="J1215" s="45"/>
      <c r="K1215" s="45"/>
      <c r="L1215" s="45"/>
      <c r="M1215" s="45"/>
      <c r="N1215" s="45"/>
      <c r="O1215" s="21"/>
      <c r="P1215" s="21"/>
      <c r="Q1215" s="21"/>
      <c r="R1215" s="25" t="str">
        <f t="shared" si="19"/>
        <v/>
      </c>
    </row>
    <row r="1216" spans="1:18">
      <c r="A1216" s="28"/>
      <c r="B1216" s="48"/>
      <c r="C1216" s="48"/>
      <c r="D1216" s="21"/>
      <c r="E1216" s="21"/>
      <c r="F1216" s="21"/>
      <c r="G1216" s="21"/>
      <c r="H1216" s="21"/>
      <c r="I1216" s="21"/>
      <c r="J1216" s="45"/>
      <c r="K1216" s="45"/>
      <c r="L1216" s="45"/>
      <c r="M1216" s="45"/>
      <c r="N1216" s="45"/>
      <c r="O1216" s="21"/>
      <c r="P1216" s="21"/>
      <c r="Q1216" s="21"/>
      <c r="R1216" s="25" t="str">
        <f t="shared" si="19"/>
        <v/>
      </c>
    </row>
    <row r="1217" spans="1:18">
      <c r="A1217" s="28"/>
      <c r="B1217" s="48"/>
      <c r="C1217" s="48"/>
      <c r="D1217" s="21"/>
      <c r="E1217" s="21"/>
      <c r="F1217" s="21"/>
      <c r="G1217" s="21"/>
      <c r="H1217" s="21"/>
      <c r="I1217" s="21"/>
      <c r="J1217" s="45"/>
      <c r="K1217" s="45"/>
      <c r="L1217" s="45"/>
      <c r="M1217" s="45"/>
      <c r="N1217" s="45"/>
      <c r="O1217" s="21"/>
      <c r="P1217" s="21"/>
      <c r="Q1217" s="21"/>
      <c r="R1217" s="25" t="str">
        <f t="shared" si="19"/>
        <v/>
      </c>
    </row>
    <row r="1218" spans="1:18">
      <c r="A1218" s="28"/>
      <c r="B1218" s="48"/>
      <c r="C1218" s="48"/>
      <c r="D1218" s="21"/>
      <c r="E1218" s="21"/>
      <c r="F1218" s="21"/>
      <c r="G1218" s="21"/>
      <c r="H1218" s="21"/>
      <c r="I1218" s="21"/>
      <c r="J1218" s="45"/>
      <c r="K1218" s="45"/>
      <c r="L1218" s="45"/>
      <c r="M1218" s="45"/>
      <c r="N1218" s="45"/>
      <c r="O1218" s="21"/>
      <c r="P1218" s="21"/>
      <c r="Q1218" s="21"/>
      <c r="R1218" s="25" t="str">
        <f t="shared" si="19"/>
        <v/>
      </c>
    </row>
    <row r="1219" spans="1:18">
      <c r="A1219" s="28"/>
      <c r="B1219" s="48"/>
      <c r="C1219" s="48"/>
      <c r="D1219" s="21"/>
      <c r="E1219" s="21"/>
      <c r="F1219" s="21"/>
      <c r="G1219" s="21"/>
      <c r="H1219" s="21"/>
      <c r="I1219" s="21"/>
      <c r="J1219" s="45"/>
      <c r="K1219" s="45"/>
      <c r="L1219" s="45"/>
      <c r="M1219" s="45"/>
      <c r="N1219" s="45"/>
      <c r="O1219" s="21"/>
      <c r="P1219" s="21"/>
      <c r="Q1219" s="21"/>
      <c r="R1219" s="25" t="str">
        <f t="shared" si="19"/>
        <v/>
      </c>
    </row>
    <row r="1220" spans="1:18">
      <c r="A1220" s="28"/>
      <c r="B1220" s="48"/>
      <c r="C1220" s="48"/>
      <c r="D1220" s="21"/>
      <c r="E1220" s="21"/>
      <c r="F1220" s="21"/>
      <c r="G1220" s="21"/>
      <c r="H1220" s="21"/>
      <c r="I1220" s="21"/>
      <c r="J1220" s="45"/>
      <c r="K1220" s="45"/>
      <c r="L1220" s="45"/>
      <c r="M1220" s="45"/>
      <c r="N1220" s="45"/>
      <c r="O1220" s="21"/>
      <c r="P1220" s="21"/>
      <c r="Q1220" s="21"/>
      <c r="R1220" s="25" t="str">
        <f t="shared" si="19"/>
        <v/>
      </c>
    </row>
    <row r="1221" spans="1:18">
      <c r="A1221" s="28"/>
      <c r="B1221" s="48"/>
      <c r="C1221" s="48"/>
      <c r="D1221" s="21"/>
      <c r="E1221" s="21"/>
      <c r="F1221" s="21"/>
      <c r="G1221" s="21"/>
      <c r="H1221" s="21"/>
      <c r="I1221" s="21"/>
      <c r="J1221" s="45"/>
      <c r="K1221" s="45"/>
      <c r="L1221" s="45"/>
      <c r="M1221" s="45"/>
      <c r="N1221" s="45"/>
      <c r="O1221" s="21"/>
      <c r="P1221" s="21"/>
      <c r="Q1221" s="21"/>
      <c r="R1221" s="25" t="str">
        <f t="shared" si="19"/>
        <v/>
      </c>
    </row>
    <row r="1222" spans="1:18">
      <c r="A1222" s="28"/>
      <c r="B1222" s="48"/>
      <c r="C1222" s="48"/>
      <c r="D1222" s="21"/>
      <c r="E1222" s="21"/>
      <c r="F1222" s="21"/>
      <c r="G1222" s="21"/>
      <c r="H1222" s="21"/>
      <c r="I1222" s="21"/>
      <c r="J1222" s="45"/>
      <c r="K1222" s="45"/>
      <c r="L1222" s="45"/>
      <c r="M1222" s="45"/>
      <c r="N1222" s="45"/>
      <c r="O1222" s="21"/>
      <c r="P1222" s="21"/>
      <c r="Q1222" s="21"/>
      <c r="R1222" s="25" t="str">
        <f t="shared" si="19"/>
        <v/>
      </c>
    </row>
    <row r="1223" spans="1:18">
      <c r="A1223" s="28"/>
      <c r="B1223" s="48"/>
      <c r="C1223" s="48"/>
      <c r="D1223" s="21"/>
      <c r="E1223" s="21"/>
      <c r="F1223" s="21"/>
      <c r="G1223" s="21"/>
      <c r="H1223" s="21"/>
      <c r="I1223" s="21"/>
      <c r="J1223" s="45"/>
      <c r="K1223" s="45"/>
      <c r="L1223" s="45"/>
      <c r="M1223" s="45"/>
      <c r="N1223" s="45"/>
      <c r="O1223" s="21"/>
      <c r="P1223" s="21"/>
      <c r="Q1223" s="21"/>
      <c r="R1223" s="25" t="str">
        <f t="shared" si="19"/>
        <v/>
      </c>
    </row>
    <row r="1224" spans="1:18">
      <c r="A1224" s="28"/>
      <c r="B1224" s="48"/>
      <c r="C1224" s="48"/>
      <c r="D1224" s="21"/>
      <c r="E1224" s="21"/>
      <c r="F1224" s="21"/>
      <c r="G1224" s="21"/>
      <c r="H1224" s="21"/>
      <c r="I1224" s="21"/>
      <c r="J1224" s="45"/>
      <c r="K1224" s="45"/>
      <c r="L1224" s="45"/>
      <c r="M1224" s="45"/>
      <c r="N1224" s="45"/>
      <c r="O1224" s="21"/>
      <c r="P1224" s="21"/>
      <c r="Q1224" s="21"/>
      <c r="R1224" s="25" t="str">
        <f t="shared" si="19"/>
        <v/>
      </c>
    </row>
    <row r="1225" spans="1:18">
      <c r="A1225" s="28"/>
      <c r="B1225" s="48"/>
      <c r="C1225" s="48"/>
      <c r="D1225" s="21"/>
      <c r="E1225" s="21"/>
      <c r="F1225" s="21"/>
      <c r="G1225" s="21"/>
      <c r="H1225" s="21"/>
      <c r="I1225" s="21"/>
      <c r="J1225" s="45"/>
      <c r="K1225" s="45"/>
      <c r="L1225" s="45"/>
      <c r="M1225" s="45"/>
      <c r="N1225" s="45"/>
      <c r="O1225" s="21"/>
      <c r="P1225" s="21"/>
      <c r="Q1225" s="21"/>
      <c r="R1225" s="25" t="str">
        <f t="shared" si="19"/>
        <v/>
      </c>
    </row>
    <row r="1226" spans="1:18">
      <c r="A1226" s="28"/>
      <c r="B1226" s="48"/>
      <c r="C1226" s="48"/>
      <c r="D1226" s="21"/>
      <c r="E1226" s="21"/>
      <c r="F1226" s="21"/>
      <c r="G1226" s="21"/>
      <c r="H1226" s="21"/>
      <c r="I1226" s="21"/>
      <c r="J1226" s="45"/>
      <c r="K1226" s="45"/>
      <c r="L1226" s="45"/>
      <c r="M1226" s="45"/>
      <c r="N1226" s="45"/>
      <c r="O1226" s="21"/>
      <c r="P1226" s="21"/>
      <c r="Q1226" s="21"/>
      <c r="R1226" s="25" t="str">
        <f t="shared" si="19"/>
        <v/>
      </c>
    </row>
    <row r="1227" spans="1:18">
      <c r="A1227" s="28"/>
      <c r="B1227" s="48"/>
      <c r="C1227" s="48"/>
      <c r="D1227" s="21"/>
      <c r="E1227" s="21"/>
      <c r="F1227" s="21"/>
      <c r="G1227" s="21"/>
      <c r="H1227" s="21"/>
      <c r="I1227" s="21"/>
      <c r="J1227" s="45"/>
      <c r="K1227" s="45"/>
      <c r="L1227" s="45"/>
      <c r="M1227" s="45"/>
      <c r="N1227" s="45"/>
      <c r="O1227" s="21"/>
      <c r="P1227" s="21"/>
      <c r="Q1227" s="21"/>
      <c r="R1227" s="25" t="str">
        <f t="shared" si="19"/>
        <v/>
      </c>
    </row>
    <row r="1228" spans="1:18">
      <c r="A1228" s="28"/>
      <c r="B1228" s="48"/>
      <c r="C1228" s="48"/>
      <c r="D1228" s="21"/>
      <c r="E1228" s="21"/>
      <c r="F1228" s="21"/>
      <c r="G1228" s="21"/>
      <c r="H1228" s="21"/>
      <c r="I1228" s="21"/>
      <c r="J1228" s="45"/>
      <c r="K1228" s="45"/>
      <c r="L1228" s="45"/>
      <c r="M1228" s="45"/>
      <c r="N1228" s="45"/>
      <c r="O1228" s="21"/>
      <c r="P1228" s="21"/>
      <c r="Q1228" s="21"/>
      <c r="R1228" s="25" t="str">
        <f t="shared" si="19"/>
        <v/>
      </c>
    </row>
    <row r="1229" spans="1:18">
      <c r="A1229" s="28"/>
      <c r="B1229" s="48"/>
      <c r="C1229" s="48"/>
      <c r="D1229" s="21"/>
      <c r="E1229" s="21"/>
      <c r="F1229" s="21"/>
      <c r="G1229" s="21"/>
      <c r="H1229" s="21"/>
      <c r="I1229" s="21"/>
      <c r="J1229" s="45"/>
      <c r="K1229" s="45"/>
      <c r="L1229" s="45"/>
      <c r="M1229" s="45"/>
      <c r="N1229" s="45"/>
      <c r="O1229" s="21"/>
      <c r="P1229" s="21"/>
      <c r="Q1229" s="21"/>
      <c r="R1229" s="25" t="str">
        <f t="shared" si="19"/>
        <v/>
      </c>
    </row>
    <row r="1230" spans="1:18">
      <c r="A1230" s="28"/>
      <c r="B1230" s="48"/>
      <c r="C1230" s="48"/>
      <c r="D1230" s="21"/>
      <c r="E1230" s="21"/>
      <c r="F1230" s="21"/>
      <c r="G1230" s="21"/>
      <c r="H1230" s="21"/>
      <c r="I1230" s="21"/>
      <c r="J1230" s="45"/>
      <c r="K1230" s="45"/>
      <c r="L1230" s="45"/>
      <c r="M1230" s="45"/>
      <c r="N1230" s="45"/>
      <c r="O1230" s="21"/>
      <c r="P1230" s="21"/>
      <c r="Q1230" s="21"/>
      <c r="R1230" s="25" t="str">
        <f t="shared" si="19"/>
        <v/>
      </c>
    </row>
    <row r="1231" spans="1:18">
      <c r="A1231" s="28"/>
      <c r="B1231" s="48"/>
      <c r="C1231" s="48"/>
      <c r="D1231" s="21"/>
      <c r="E1231" s="21"/>
      <c r="F1231" s="21"/>
      <c r="G1231" s="21"/>
      <c r="H1231" s="21"/>
      <c r="I1231" s="21"/>
      <c r="J1231" s="45"/>
      <c r="K1231" s="45"/>
      <c r="L1231" s="45"/>
      <c r="M1231" s="45"/>
      <c r="N1231" s="45"/>
      <c r="O1231" s="21"/>
      <c r="P1231" s="21"/>
      <c r="Q1231" s="21"/>
      <c r="R1231" s="25" t="str">
        <f t="shared" si="19"/>
        <v/>
      </c>
    </row>
    <row r="1232" spans="1:18">
      <c r="A1232" s="28"/>
      <c r="B1232" s="48"/>
      <c r="C1232" s="48"/>
      <c r="D1232" s="21"/>
      <c r="E1232" s="21"/>
      <c r="F1232" s="21"/>
      <c r="G1232" s="21"/>
      <c r="H1232" s="21"/>
      <c r="I1232" s="21"/>
      <c r="J1232" s="45"/>
      <c r="K1232" s="45"/>
      <c r="L1232" s="45"/>
      <c r="M1232" s="45"/>
      <c r="N1232" s="45"/>
      <c r="O1232" s="21"/>
      <c r="P1232" s="21"/>
      <c r="Q1232" s="21"/>
      <c r="R1232" s="25" t="str">
        <f t="shared" si="19"/>
        <v/>
      </c>
    </row>
    <row r="1233" spans="1:18">
      <c r="A1233" s="28"/>
      <c r="B1233" s="48"/>
      <c r="C1233" s="48"/>
      <c r="D1233" s="21"/>
      <c r="E1233" s="21"/>
      <c r="F1233" s="21"/>
      <c r="G1233" s="21"/>
      <c r="H1233" s="21"/>
      <c r="I1233" s="21"/>
      <c r="J1233" s="45"/>
      <c r="K1233" s="45"/>
      <c r="L1233" s="45"/>
      <c r="M1233" s="45"/>
      <c r="N1233" s="45"/>
      <c r="O1233" s="21"/>
      <c r="P1233" s="21"/>
      <c r="Q1233" s="21"/>
      <c r="R1233" s="25" t="str">
        <f t="shared" si="19"/>
        <v/>
      </c>
    </row>
    <row r="1234" spans="1:18">
      <c r="A1234" s="28"/>
      <c r="B1234" s="48"/>
      <c r="C1234" s="48"/>
      <c r="D1234" s="21"/>
      <c r="E1234" s="21"/>
      <c r="F1234" s="21"/>
      <c r="G1234" s="21"/>
      <c r="H1234" s="21"/>
      <c r="I1234" s="21"/>
      <c r="J1234" s="45"/>
      <c r="K1234" s="45"/>
      <c r="L1234" s="45"/>
      <c r="M1234" s="45"/>
      <c r="N1234" s="45"/>
      <c r="O1234" s="21"/>
      <c r="P1234" s="21"/>
      <c r="Q1234" s="21"/>
      <c r="R1234" s="25" t="str">
        <f t="shared" si="19"/>
        <v/>
      </c>
    </row>
    <row r="1235" spans="1:18">
      <c r="A1235" s="28"/>
      <c r="B1235" s="48"/>
      <c r="C1235" s="48"/>
      <c r="D1235" s="21"/>
      <c r="E1235" s="21"/>
      <c r="F1235" s="21"/>
      <c r="G1235" s="21"/>
      <c r="H1235" s="21"/>
      <c r="I1235" s="21"/>
      <c r="J1235" s="45"/>
      <c r="K1235" s="45"/>
      <c r="L1235" s="45"/>
      <c r="M1235" s="45"/>
      <c r="N1235" s="45"/>
      <c r="O1235" s="21"/>
      <c r="P1235" s="21"/>
      <c r="Q1235" s="21"/>
      <c r="R1235" s="25" t="str">
        <f t="shared" si="19"/>
        <v/>
      </c>
    </row>
    <row r="1236" spans="1:18">
      <c r="A1236" s="28"/>
      <c r="B1236" s="48"/>
      <c r="C1236" s="48"/>
      <c r="D1236" s="21"/>
      <c r="E1236" s="21"/>
      <c r="F1236" s="21"/>
      <c r="G1236" s="21"/>
      <c r="H1236" s="21"/>
      <c r="I1236" s="21"/>
      <c r="J1236" s="45"/>
      <c r="K1236" s="45"/>
      <c r="L1236" s="45"/>
      <c r="M1236" s="45"/>
      <c r="N1236" s="45"/>
      <c r="O1236" s="21"/>
      <c r="P1236" s="21"/>
      <c r="Q1236" s="21"/>
      <c r="R1236" s="25" t="str">
        <f t="shared" si="19"/>
        <v/>
      </c>
    </row>
    <row r="1237" spans="1:18">
      <c r="A1237" s="28"/>
      <c r="B1237" s="48"/>
      <c r="C1237" s="48"/>
      <c r="D1237" s="21"/>
      <c r="E1237" s="21"/>
      <c r="F1237" s="21"/>
      <c r="G1237" s="21"/>
      <c r="H1237" s="21"/>
      <c r="I1237" s="21"/>
      <c r="J1237" s="45"/>
      <c r="K1237" s="45"/>
      <c r="L1237" s="45"/>
      <c r="M1237" s="45"/>
      <c r="N1237" s="45"/>
      <c r="O1237" s="21"/>
      <c r="P1237" s="21"/>
      <c r="Q1237" s="21"/>
      <c r="R1237" s="25" t="str">
        <f t="shared" si="19"/>
        <v/>
      </c>
    </row>
    <row r="1238" spans="1:18">
      <c r="A1238" s="28"/>
      <c r="B1238" s="48"/>
      <c r="C1238" s="48"/>
      <c r="D1238" s="21"/>
      <c r="E1238" s="21"/>
      <c r="F1238" s="21"/>
      <c r="G1238" s="21"/>
      <c r="H1238" s="21"/>
      <c r="I1238" s="21"/>
      <c r="J1238" s="45"/>
      <c r="K1238" s="45"/>
      <c r="L1238" s="45"/>
      <c r="M1238" s="45"/>
      <c r="N1238" s="45"/>
      <c r="O1238" s="21"/>
      <c r="P1238" s="21"/>
      <c r="Q1238" s="21"/>
      <c r="R1238" s="25" t="str">
        <f t="shared" si="19"/>
        <v/>
      </c>
    </row>
    <row r="1239" spans="1:18">
      <c r="A1239" s="28"/>
      <c r="B1239" s="48"/>
      <c r="C1239" s="48"/>
      <c r="D1239" s="21"/>
      <c r="E1239" s="21"/>
      <c r="F1239" s="21"/>
      <c r="G1239" s="21"/>
      <c r="H1239" s="21"/>
      <c r="I1239" s="21"/>
      <c r="J1239" s="45"/>
      <c r="K1239" s="45"/>
      <c r="L1239" s="45"/>
      <c r="M1239" s="45"/>
      <c r="N1239" s="45"/>
      <c r="O1239" s="21"/>
      <c r="P1239" s="21"/>
      <c r="Q1239" s="21"/>
      <c r="R1239" s="25" t="str">
        <f t="shared" si="19"/>
        <v/>
      </c>
    </row>
    <row r="1240" spans="1:18">
      <c r="A1240" s="28"/>
      <c r="B1240" s="48"/>
      <c r="C1240" s="48"/>
      <c r="D1240" s="21"/>
      <c r="E1240" s="21"/>
      <c r="F1240" s="21"/>
      <c r="G1240" s="21"/>
      <c r="H1240" s="21"/>
      <c r="I1240" s="21"/>
      <c r="J1240" s="45"/>
      <c r="K1240" s="45"/>
      <c r="L1240" s="45"/>
      <c r="M1240" s="45"/>
      <c r="N1240" s="45"/>
      <c r="O1240" s="21"/>
      <c r="P1240" s="21"/>
      <c r="Q1240" s="21"/>
      <c r="R1240" s="25" t="str">
        <f t="shared" si="19"/>
        <v/>
      </c>
    </row>
    <row r="1241" spans="1:18">
      <c r="A1241" s="28"/>
      <c r="B1241" s="48"/>
      <c r="C1241" s="48"/>
      <c r="D1241" s="21"/>
      <c r="E1241" s="21"/>
      <c r="F1241" s="21"/>
      <c r="G1241" s="21"/>
      <c r="H1241" s="21"/>
      <c r="I1241" s="21"/>
      <c r="J1241" s="45"/>
      <c r="K1241" s="45"/>
      <c r="L1241" s="45"/>
      <c r="M1241" s="45"/>
      <c r="N1241" s="45"/>
      <c r="O1241" s="21"/>
      <c r="P1241" s="21"/>
      <c r="Q1241" s="21"/>
      <c r="R1241" s="25" t="str">
        <f t="shared" si="19"/>
        <v/>
      </c>
    </row>
    <row r="1242" spans="1:18">
      <c r="A1242" s="28"/>
      <c r="B1242" s="48"/>
      <c r="C1242" s="48"/>
      <c r="D1242" s="21"/>
      <c r="E1242" s="21"/>
      <c r="F1242" s="21"/>
      <c r="G1242" s="21"/>
      <c r="H1242" s="21"/>
      <c r="I1242" s="21"/>
      <c r="J1242" s="45"/>
      <c r="K1242" s="45"/>
      <c r="L1242" s="45"/>
      <c r="M1242" s="45"/>
      <c r="N1242" s="45"/>
      <c r="O1242" s="21"/>
      <c r="P1242" s="21"/>
      <c r="Q1242" s="21"/>
      <c r="R1242" s="25" t="str">
        <f t="shared" si="19"/>
        <v/>
      </c>
    </row>
    <row r="1243" spans="1:18">
      <c r="A1243" s="28"/>
      <c r="B1243" s="48"/>
      <c r="C1243" s="48"/>
      <c r="D1243" s="21"/>
      <c r="E1243" s="21"/>
      <c r="F1243" s="21"/>
      <c r="G1243" s="21"/>
      <c r="H1243" s="21"/>
      <c r="I1243" s="21"/>
      <c r="J1243" s="45"/>
      <c r="K1243" s="45"/>
      <c r="L1243" s="45"/>
      <c r="M1243" s="45"/>
      <c r="N1243" s="45"/>
      <c r="O1243" s="21"/>
      <c r="P1243" s="21"/>
      <c r="Q1243" s="21"/>
      <c r="R1243" s="25" t="str">
        <f t="shared" si="19"/>
        <v/>
      </c>
    </row>
    <row r="1244" spans="1:18">
      <c r="A1244" s="28"/>
      <c r="B1244" s="48"/>
      <c r="C1244" s="48"/>
      <c r="D1244" s="21"/>
      <c r="E1244" s="21"/>
      <c r="F1244" s="21"/>
      <c r="G1244" s="21"/>
      <c r="H1244" s="21"/>
      <c r="I1244" s="21"/>
      <c r="J1244" s="45"/>
      <c r="K1244" s="45"/>
      <c r="L1244" s="45"/>
      <c r="M1244" s="45"/>
      <c r="N1244" s="45"/>
      <c r="O1244" s="21"/>
      <c r="P1244" s="21"/>
      <c r="Q1244" s="21"/>
      <c r="R1244" s="25" t="str">
        <f t="shared" si="19"/>
        <v/>
      </c>
    </row>
    <row r="1245" spans="1:18">
      <c r="A1245" s="28"/>
      <c r="B1245" s="48"/>
      <c r="C1245" s="48"/>
      <c r="D1245" s="21"/>
      <c r="E1245" s="21"/>
      <c r="F1245" s="21"/>
      <c r="G1245" s="21"/>
      <c r="H1245" s="21"/>
      <c r="I1245" s="21"/>
      <c r="J1245" s="45"/>
      <c r="K1245" s="45"/>
      <c r="L1245" s="45"/>
      <c r="M1245" s="45"/>
      <c r="N1245" s="45"/>
      <c r="O1245" s="21"/>
      <c r="P1245" s="21"/>
      <c r="Q1245" s="21"/>
      <c r="R1245" s="25" t="str">
        <f t="shared" si="19"/>
        <v/>
      </c>
    </row>
    <row r="1246" spans="1:18">
      <c r="A1246" s="28"/>
      <c r="B1246" s="48"/>
      <c r="C1246" s="48"/>
      <c r="D1246" s="21"/>
      <c r="E1246" s="21"/>
      <c r="F1246" s="21"/>
      <c r="G1246" s="21"/>
      <c r="H1246" s="21"/>
      <c r="I1246" s="21"/>
      <c r="J1246" s="45"/>
      <c r="K1246" s="45"/>
      <c r="L1246" s="45"/>
      <c r="M1246" s="45"/>
      <c r="N1246" s="45"/>
      <c r="O1246" s="21"/>
      <c r="P1246" s="21"/>
      <c r="Q1246" s="21"/>
      <c r="R1246" s="25" t="str">
        <f t="shared" si="19"/>
        <v/>
      </c>
    </row>
    <row r="1247" spans="1:18">
      <c r="A1247" s="28"/>
      <c r="B1247" s="48"/>
      <c r="C1247" s="48"/>
      <c r="D1247" s="21"/>
      <c r="E1247" s="21"/>
      <c r="F1247" s="21"/>
      <c r="G1247" s="21"/>
      <c r="H1247" s="21"/>
      <c r="I1247" s="21"/>
      <c r="J1247" s="45"/>
      <c r="K1247" s="45"/>
      <c r="L1247" s="45"/>
      <c r="M1247" s="45"/>
      <c r="N1247" s="45"/>
      <c r="O1247" s="21"/>
      <c r="P1247" s="21"/>
      <c r="Q1247" s="21"/>
      <c r="R1247" s="25" t="str">
        <f t="shared" si="19"/>
        <v/>
      </c>
    </row>
    <row r="1248" spans="1:18">
      <c r="A1248" s="28"/>
      <c r="B1248" s="48"/>
      <c r="C1248" s="48"/>
      <c r="D1248" s="21"/>
      <c r="E1248" s="21"/>
      <c r="F1248" s="21"/>
      <c r="G1248" s="21"/>
      <c r="H1248" s="21"/>
      <c r="I1248" s="21"/>
      <c r="J1248" s="45"/>
      <c r="K1248" s="45"/>
      <c r="L1248" s="45"/>
      <c r="M1248" s="45"/>
      <c r="N1248" s="45"/>
      <c r="O1248" s="21"/>
      <c r="P1248" s="21"/>
      <c r="Q1248" s="21"/>
      <c r="R1248" s="25" t="str">
        <f t="shared" si="19"/>
        <v/>
      </c>
    </row>
    <row r="1249" spans="1:18">
      <c r="A1249" s="28"/>
      <c r="B1249" s="48"/>
      <c r="C1249" s="48"/>
      <c r="D1249" s="21"/>
      <c r="E1249" s="21"/>
      <c r="F1249" s="21"/>
      <c r="G1249" s="21"/>
      <c r="H1249" s="21"/>
      <c r="I1249" s="21"/>
      <c r="J1249" s="45"/>
      <c r="K1249" s="45"/>
      <c r="L1249" s="45"/>
      <c r="M1249" s="45"/>
      <c r="N1249" s="45"/>
      <c r="O1249" s="21"/>
      <c r="P1249" s="21"/>
      <c r="Q1249" s="21"/>
      <c r="R1249" s="25" t="str">
        <f t="shared" si="19"/>
        <v/>
      </c>
    </row>
    <row r="1250" spans="1:18">
      <c r="A1250" s="28"/>
      <c r="B1250" s="48"/>
      <c r="C1250" s="48"/>
      <c r="D1250" s="21"/>
      <c r="E1250" s="21"/>
      <c r="F1250" s="21"/>
      <c r="G1250" s="21"/>
      <c r="H1250" s="21"/>
      <c r="I1250" s="21"/>
      <c r="J1250" s="45"/>
      <c r="K1250" s="45"/>
      <c r="L1250" s="45"/>
      <c r="M1250" s="45"/>
      <c r="N1250" s="45"/>
      <c r="O1250" s="21"/>
      <c r="P1250" s="21"/>
      <c r="Q1250" s="21"/>
      <c r="R1250" s="25" t="str">
        <f t="shared" si="19"/>
        <v/>
      </c>
    </row>
    <row r="1251" spans="1:18">
      <c r="A1251" s="28"/>
      <c r="B1251" s="48"/>
      <c r="C1251" s="48"/>
      <c r="D1251" s="21"/>
      <c r="E1251" s="21"/>
      <c r="F1251" s="21"/>
      <c r="G1251" s="21"/>
      <c r="H1251" s="21"/>
      <c r="I1251" s="21"/>
      <c r="J1251" s="45"/>
      <c r="K1251" s="45"/>
      <c r="L1251" s="45"/>
      <c r="M1251" s="45"/>
      <c r="N1251" s="45"/>
      <c r="O1251" s="21"/>
      <c r="P1251" s="21"/>
      <c r="Q1251" s="21"/>
      <c r="R1251" s="25" t="str">
        <f t="shared" si="19"/>
        <v/>
      </c>
    </row>
    <row r="1252" spans="1:18">
      <c r="A1252" s="28"/>
      <c r="B1252" s="48"/>
      <c r="C1252" s="48"/>
      <c r="D1252" s="21"/>
      <c r="E1252" s="21"/>
      <c r="F1252" s="21"/>
      <c r="G1252" s="21"/>
      <c r="H1252" s="21"/>
      <c r="I1252" s="21"/>
      <c r="J1252" s="45"/>
      <c r="K1252" s="45"/>
      <c r="L1252" s="45"/>
      <c r="M1252" s="45"/>
      <c r="N1252" s="45"/>
      <c r="O1252" s="21"/>
      <c r="P1252" s="21"/>
      <c r="Q1252" s="21"/>
      <c r="R1252" s="25" t="str">
        <f t="shared" si="19"/>
        <v/>
      </c>
    </row>
    <row r="1253" spans="1:18">
      <c r="A1253" s="28"/>
      <c r="B1253" s="48"/>
      <c r="C1253" s="48"/>
      <c r="D1253" s="21"/>
      <c r="E1253" s="21"/>
      <c r="F1253" s="21"/>
      <c r="G1253" s="21"/>
      <c r="H1253" s="21"/>
      <c r="I1253" s="21"/>
      <c r="J1253" s="45"/>
      <c r="K1253" s="45"/>
      <c r="L1253" s="45"/>
      <c r="M1253" s="45"/>
      <c r="N1253" s="45"/>
      <c r="O1253" s="21"/>
      <c r="P1253" s="21"/>
      <c r="Q1253" s="21"/>
      <c r="R1253" s="25" t="str">
        <f t="shared" si="19"/>
        <v/>
      </c>
    </row>
    <row r="1254" spans="1:18">
      <c r="A1254" s="28"/>
      <c r="B1254" s="48"/>
      <c r="C1254" s="48"/>
      <c r="D1254" s="21"/>
      <c r="E1254" s="21"/>
      <c r="F1254" s="21"/>
      <c r="G1254" s="21"/>
      <c r="H1254" s="21"/>
      <c r="I1254" s="21"/>
      <c r="J1254" s="45"/>
      <c r="K1254" s="45"/>
      <c r="L1254" s="45"/>
      <c r="M1254" s="45"/>
      <c r="N1254" s="45"/>
      <c r="O1254" s="21"/>
      <c r="P1254" s="21"/>
      <c r="Q1254" s="21"/>
      <c r="R1254" s="25" t="str">
        <f t="shared" si="19"/>
        <v/>
      </c>
    </row>
    <row r="1255" spans="1:18">
      <c r="A1255" s="28"/>
      <c r="B1255" s="48"/>
      <c r="C1255" s="48"/>
      <c r="D1255" s="21"/>
      <c r="E1255" s="21"/>
      <c r="F1255" s="21"/>
      <c r="G1255" s="21"/>
      <c r="H1255" s="21"/>
      <c r="I1255" s="21"/>
      <c r="J1255" s="45"/>
      <c r="K1255" s="45"/>
      <c r="L1255" s="45"/>
      <c r="M1255" s="45"/>
      <c r="N1255" s="45"/>
      <c r="O1255" s="21"/>
      <c r="P1255" s="21"/>
      <c r="Q1255" s="21"/>
      <c r="R1255" s="25" t="str">
        <f t="shared" si="19"/>
        <v/>
      </c>
    </row>
    <row r="1256" spans="1:18">
      <c r="A1256" s="28"/>
      <c r="B1256" s="48"/>
      <c r="C1256" s="48"/>
      <c r="D1256" s="21"/>
      <c r="E1256" s="21"/>
      <c r="F1256" s="21"/>
      <c r="G1256" s="21"/>
      <c r="H1256" s="21"/>
      <c r="I1256" s="21"/>
      <c r="J1256" s="45"/>
      <c r="K1256" s="45"/>
      <c r="L1256" s="45"/>
      <c r="M1256" s="45"/>
      <c r="N1256" s="45"/>
      <c r="O1256" s="21"/>
      <c r="P1256" s="21"/>
      <c r="Q1256" s="21"/>
      <c r="R1256" s="25" t="str">
        <f t="shared" si="19"/>
        <v/>
      </c>
    </row>
    <row r="1257" spans="1:18">
      <c r="A1257" s="28"/>
      <c r="B1257" s="48"/>
      <c r="C1257" s="48"/>
      <c r="D1257" s="21"/>
      <c r="E1257" s="21"/>
      <c r="F1257" s="21"/>
      <c r="G1257" s="21"/>
      <c r="H1257" s="21"/>
      <c r="I1257" s="21"/>
      <c r="J1257" s="45"/>
      <c r="K1257" s="45"/>
      <c r="L1257" s="45"/>
      <c r="M1257" s="45"/>
      <c r="N1257" s="45"/>
      <c r="O1257" s="21"/>
      <c r="P1257" s="21"/>
      <c r="Q1257" s="21"/>
      <c r="R1257" s="25" t="str">
        <f t="shared" si="19"/>
        <v/>
      </c>
    </row>
    <row r="1258" spans="1:18">
      <c r="A1258" s="28"/>
      <c r="B1258" s="48"/>
      <c r="C1258" s="48"/>
      <c r="D1258" s="21"/>
      <c r="E1258" s="21"/>
      <c r="F1258" s="21"/>
      <c r="G1258" s="21"/>
      <c r="H1258" s="21"/>
      <c r="I1258" s="21"/>
      <c r="J1258" s="45"/>
      <c r="K1258" s="45"/>
      <c r="L1258" s="45"/>
      <c r="M1258" s="45"/>
      <c r="N1258" s="45"/>
      <c r="O1258" s="21"/>
      <c r="P1258" s="21"/>
      <c r="Q1258" s="21"/>
      <c r="R1258" s="25" t="str">
        <f t="shared" si="19"/>
        <v/>
      </c>
    </row>
    <row r="1259" spans="1:18">
      <c r="A1259" s="28"/>
      <c r="B1259" s="48"/>
      <c r="C1259" s="48"/>
      <c r="D1259" s="21"/>
      <c r="E1259" s="21"/>
      <c r="F1259" s="21"/>
      <c r="G1259" s="21"/>
      <c r="H1259" s="21"/>
      <c r="I1259" s="21"/>
      <c r="J1259" s="45"/>
      <c r="K1259" s="45"/>
      <c r="L1259" s="45"/>
      <c r="M1259" s="45"/>
      <c r="N1259" s="45"/>
      <c r="O1259" s="21"/>
      <c r="P1259" s="21"/>
      <c r="Q1259" s="21"/>
      <c r="R1259" s="25" t="str">
        <f t="shared" si="19"/>
        <v/>
      </c>
    </row>
    <row r="1260" spans="1:18">
      <c r="A1260" s="28"/>
      <c r="B1260" s="48"/>
      <c r="C1260" s="48"/>
      <c r="D1260" s="21"/>
      <c r="E1260" s="21"/>
      <c r="F1260" s="21"/>
      <c r="G1260" s="21"/>
      <c r="H1260" s="21"/>
      <c r="I1260" s="21"/>
      <c r="J1260" s="45"/>
      <c r="K1260" s="45"/>
      <c r="L1260" s="45"/>
      <c r="M1260" s="45"/>
      <c r="N1260" s="45"/>
      <c r="O1260" s="21"/>
      <c r="P1260" s="21"/>
      <c r="Q1260" s="21"/>
      <c r="R1260" s="25" t="str">
        <f t="shared" si="19"/>
        <v/>
      </c>
    </row>
    <row r="1261" spans="1:18">
      <c r="A1261" s="28"/>
      <c r="B1261" s="48"/>
      <c r="C1261" s="48"/>
      <c r="D1261" s="21"/>
      <c r="E1261" s="21"/>
      <c r="F1261" s="21"/>
      <c r="G1261" s="21"/>
      <c r="H1261" s="21"/>
      <c r="I1261" s="21"/>
      <c r="J1261" s="45"/>
      <c r="K1261" s="45"/>
      <c r="L1261" s="45"/>
      <c r="M1261" s="45"/>
      <c r="N1261" s="45"/>
      <c r="O1261" s="21"/>
      <c r="P1261" s="21"/>
      <c r="Q1261" s="21"/>
      <c r="R1261" s="25" t="str">
        <f t="shared" si="19"/>
        <v/>
      </c>
    </row>
    <row r="1262" spans="1:18">
      <c r="A1262" s="28"/>
      <c r="B1262" s="48"/>
      <c r="C1262" s="48"/>
      <c r="D1262" s="21"/>
      <c r="E1262" s="21"/>
      <c r="F1262" s="21"/>
      <c r="G1262" s="21"/>
      <c r="H1262" s="21"/>
      <c r="I1262" s="21"/>
      <c r="J1262" s="45"/>
      <c r="K1262" s="45"/>
      <c r="L1262" s="45"/>
      <c r="M1262" s="45"/>
      <c r="N1262" s="45"/>
      <c r="O1262" s="21"/>
      <c r="P1262" s="21"/>
      <c r="Q1262" s="21"/>
      <c r="R1262" s="25" t="str">
        <f t="shared" si="19"/>
        <v/>
      </c>
    </row>
    <row r="1263" spans="1:18">
      <c r="A1263" s="28"/>
      <c r="B1263" s="48"/>
      <c r="C1263" s="48"/>
      <c r="D1263" s="21"/>
      <c r="E1263" s="21"/>
      <c r="F1263" s="21"/>
      <c r="G1263" s="21"/>
      <c r="H1263" s="21"/>
      <c r="I1263" s="21"/>
      <c r="J1263" s="45"/>
      <c r="K1263" s="45"/>
      <c r="L1263" s="45"/>
      <c r="M1263" s="45"/>
      <c r="N1263" s="45"/>
      <c r="O1263" s="21"/>
      <c r="P1263" s="21"/>
      <c r="Q1263" s="21"/>
      <c r="R1263" s="25" t="str">
        <f t="shared" si="19"/>
        <v/>
      </c>
    </row>
    <row r="1264" spans="1:18">
      <c r="A1264" s="28"/>
      <c r="B1264" s="48"/>
      <c r="C1264" s="48"/>
      <c r="D1264" s="21"/>
      <c r="E1264" s="21"/>
      <c r="F1264" s="21"/>
      <c r="G1264" s="21"/>
      <c r="H1264" s="21"/>
      <c r="I1264" s="21"/>
      <c r="J1264" s="45"/>
      <c r="K1264" s="45"/>
      <c r="L1264" s="45"/>
      <c r="M1264" s="45"/>
      <c r="N1264" s="45"/>
      <c r="O1264" s="21"/>
      <c r="P1264" s="21"/>
      <c r="Q1264" s="21"/>
      <c r="R1264" s="25" t="str">
        <f t="shared" si="19"/>
        <v/>
      </c>
    </row>
    <row r="1265" spans="1:18">
      <c r="A1265" s="28"/>
      <c r="B1265" s="48"/>
      <c r="C1265" s="48"/>
      <c r="D1265" s="21"/>
      <c r="E1265" s="21"/>
      <c r="F1265" s="21"/>
      <c r="G1265" s="21"/>
      <c r="H1265" s="21"/>
      <c r="I1265" s="21"/>
      <c r="J1265" s="45"/>
      <c r="K1265" s="45"/>
      <c r="L1265" s="45"/>
      <c r="M1265" s="45"/>
      <c r="N1265" s="45"/>
      <c r="O1265" s="21"/>
      <c r="P1265" s="21"/>
      <c r="Q1265" s="21"/>
      <c r="R1265" s="25" t="str">
        <f t="shared" si="19"/>
        <v/>
      </c>
    </row>
    <row r="1266" spans="1:18">
      <c r="A1266" s="28"/>
      <c r="B1266" s="48"/>
      <c r="C1266" s="48"/>
      <c r="D1266" s="21"/>
      <c r="E1266" s="21"/>
      <c r="F1266" s="21"/>
      <c r="G1266" s="21"/>
      <c r="H1266" s="21"/>
      <c r="I1266" s="21"/>
      <c r="J1266" s="45"/>
      <c r="K1266" s="45"/>
      <c r="L1266" s="45"/>
      <c r="M1266" s="45"/>
      <c r="N1266" s="45"/>
      <c r="O1266" s="21"/>
      <c r="P1266" s="21"/>
      <c r="Q1266" s="21"/>
      <c r="R1266" s="25" t="str">
        <f t="shared" si="19"/>
        <v/>
      </c>
    </row>
    <row r="1267" spans="1:18">
      <c r="A1267" s="28"/>
      <c r="B1267" s="48"/>
      <c r="C1267" s="48"/>
      <c r="D1267" s="21"/>
      <c r="E1267" s="21"/>
      <c r="F1267" s="21"/>
      <c r="G1267" s="21"/>
      <c r="H1267" s="21"/>
      <c r="I1267" s="21"/>
      <c r="J1267" s="45"/>
      <c r="K1267" s="45"/>
      <c r="L1267" s="45"/>
      <c r="M1267" s="45"/>
      <c r="N1267" s="45"/>
      <c r="O1267" s="21"/>
      <c r="P1267" s="21"/>
      <c r="Q1267" s="21"/>
      <c r="R1267" s="25" t="str">
        <f t="shared" ref="R1267:R1330" si="20">IF(COUNTIF($A$17:$A$2010,$A1267)&gt;1,"Possible Duplicate","")</f>
        <v/>
      </c>
    </row>
    <row r="1268" spans="1:18">
      <c r="A1268" s="28"/>
      <c r="B1268" s="48"/>
      <c r="C1268" s="48"/>
      <c r="D1268" s="21"/>
      <c r="E1268" s="21"/>
      <c r="F1268" s="21"/>
      <c r="G1268" s="21"/>
      <c r="H1268" s="21"/>
      <c r="I1268" s="21"/>
      <c r="J1268" s="45"/>
      <c r="K1268" s="45"/>
      <c r="L1268" s="45"/>
      <c r="M1268" s="45"/>
      <c r="N1268" s="45"/>
      <c r="O1268" s="21"/>
      <c r="P1268" s="21"/>
      <c r="Q1268" s="21"/>
      <c r="R1268" s="25" t="str">
        <f t="shared" si="20"/>
        <v/>
      </c>
    </row>
    <row r="1269" spans="1:18">
      <c r="A1269" s="28"/>
      <c r="B1269" s="48"/>
      <c r="C1269" s="48"/>
      <c r="D1269" s="21"/>
      <c r="E1269" s="21"/>
      <c r="F1269" s="21"/>
      <c r="G1269" s="21"/>
      <c r="H1269" s="21"/>
      <c r="I1269" s="21"/>
      <c r="J1269" s="45"/>
      <c r="K1269" s="45"/>
      <c r="L1269" s="45"/>
      <c r="M1269" s="45"/>
      <c r="N1269" s="45"/>
      <c r="O1269" s="21"/>
      <c r="P1269" s="21"/>
      <c r="Q1269" s="21"/>
      <c r="R1269" s="25" t="str">
        <f t="shared" si="20"/>
        <v/>
      </c>
    </row>
    <row r="1270" spans="1:18">
      <c r="A1270" s="28"/>
      <c r="B1270" s="48"/>
      <c r="C1270" s="48"/>
      <c r="D1270" s="21"/>
      <c r="E1270" s="21"/>
      <c r="F1270" s="21"/>
      <c r="G1270" s="21"/>
      <c r="H1270" s="21"/>
      <c r="I1270" s="21"/>
      <c r="J1270" s="45"/>
      <c r="K1270" s="45"/>
      <c r="L1270" s="45"/>
      <c r="M1270" s="45"/>
      <c r="N1270" s="45"/>
      <c r="O1270" s="21"/>
      <c r="P1270" s="21"/>
      <c r="Q1270" s="21"/>
      <c r="R1270" s="25" t="str">
        <f t="shared" si="20"/>
        <v/>
      </c>
    </row>
    <row r="1271" spans="1:18">
      <c r="A1271" s="28"/>
      <c r="B1271" s="48"/>
      <c r="C1271" s="48"/>
      <c r="D1271" s="21"/>
      <c r="E1271" s="21"/>
      <c r="F1271" s="21"/>
      <c r="G1271" s="21"/>
      <c r="H1271" s="21"/>
      <c r="I1271" s="21"/>
      <c r="J1271" s="45"/>
      <c r="K1271" s="45"/>
      <c r="L1271" s="45"/>
      <c r="M1271" s="45"/>
      <c r="N1271" s="45"/>
      <c r="O1271" s="21"/>
      <c r="P1271" s="21"/>
      <c r="Q1271" s="21"/>
      <c r="R1271" s="25" t="str">
        <f t="shared" si="20"/>
        <v/>
      </c>
    </row>
    <row r="1272" spans="1:18">
      <c r="A1272" s="28"/>
      <c r="B1272" s="48"/>
      <c r="C1272" s="48"/>
      <c r="D1272" s="21"/>
      <c r="E1272" s="21"/>
      <c r="F1272" s="21"/>
      <c r="G1272" s="21"/>
      <c r="H1272" s="21"/>
      <c r="I1272" s="21"/>
      <c r="J1272" s="45"/>
      <c r="K1272" s="45"/>
      <c r="L1272" s="45"/>
      <c r="M1272" s="45"/>
      <c r="N1272" s="45"/>
      <c r="O1272" s="21"/>
      <c r="P1272" s="21"/>
      <c r="Q1272" s="21"/>
      <c r="R1272" s="25" t="str">
        <f t="shared" si="20"/>
        <v/>
      </c>
    </row>
    <row r="1273" spans="1:18">
      <c r="A1273" s="28"/>
      <c r="B1273" s="48"/>
      <c r="C1273" s="48"/>
      <c r="D1273" s="21"/>
      <c r="E1273" s="21"/>
      <c r="F1273" s="21"/>
      <c r="G1273" s="21"/>
      <c r="H1273" s="21"/>
      <c r="I1273" s="21"/>
      <c r="J1273" s="45"/>
      <c r="K1273" s="45"/>
      <c r="L1273" s="45"/>
      <c r="M1273" s="45"/>
      <c r="N1273" s="45"/>
      <c r="O1273" s="21"/>
      <c r="P1273" s="21"/>
      <c r="Q1273" s="21"/>
      <c r="R1273" s="25" t="str">
        <f t="shared" si="20"/>
        <v/>
      </c>
    </row>
    <row r="1274" spans="1:18">
      <c r="A1274" s="28"/>
      <c r="B1274" s="48"/>
      <c r="C1274" s="48"/>
      <c r="D1274" s="21"/>
      <c r="E1274" s="21"/>
      <c r="F1274" s="21"/>
      <c r="G1274" s="21"/>
      <c r="H1274" s="21"/>
      <c r="I1274" s="21"/>
      <c r="J1274" s="45"/>
      <c r="K1274" s="45"/>
      <c r="L1274" s="45"/>
      <c r="M1274" s="45"/>
      <c r="N1274" s="45"/>
      <c r="O1274" s="21"/>
      <c r="P1274" s="21"/>
      <c r="Q1274" s="21"/>
      <c r="R1274" s="25" t="str">
        <f t="shared" si="20"/>
        <v/>
      </c>
    </row>
    <row r="1275" spans="1:18">
      <c r="A1275" s="28"/>
      <c r="B1275" s="48"/>
      <c r="C1275" s="48"/>
      <c r="D1275" s="21"/>
      <c r="E1275" s="21"/>
      <c r="F1275" s="21"/>
      <c r="G1275" s="21"/>
      <c r="H1275" s="21"/>
      <c r="I1275" s="21"/>
      <c r="J1275" s="45"/>
      <c r="K1275" s="45"/>
      <c r="L1275" s="45"/>
      <c r="M1275" s="45"/>
      <c r="N1275" s="45"/>
      <c r="O1275" s="21"/>
      <c r="P1275" s="21"/>
      <c r="Q1275" s="21"/>
      <c r="R1275" s="25" t="str">
        <f t="shared" si="20"/>
        <v/>
      </c>
    </row>
    <row r="1276" spans="1:18">
      <c r="A1276" s="28"/>
      <c r="B1276" s="48"/>
      <c r="C1276" s="48"/>
      <c r="D1276" s="21"/>
      <c r="E1276" s="21"/>
      <c r="F1276" s="21"/>
      <c r="G1276" s="21"/>
      <c r="H1276" s="21"/>
      <c r="I1276" s="21"/>
      <c r="J1276" s="45"/>
      <c r="K1276" s="45"/>
      <c r="L1276" s="45"/>
      <c r="M1276" s="45"/>
      <c r="N1276" s="45"/>
      <c r="O1276" s="21"/>
      <c r="P1276" s="21"/>
      <c r="Q1276" s="21"/>
      <c r="R1276" s="25" t="str">
        <f t="shared" si="20"/>
        <v/>
      </c>
    </row>
    <row r="1277" spans="1:18">
      <c r="A1277" s="28"/>
      <c r="B1277" s="48"/>
      <c r="C1277" s="48"/>
      <c r="D1277" s="21"/>
      <c r="E1277" s="21"/>
      <c r="F1277" s="21"/>
      <c r="G1277" s="21"/>
      <c r="H1277" s="21"/>
      <c r="I1277" s="21"/>
      <c r="J1277" s="45"/>
      <c r="K1277" s="45"/>
      <c r="L1277" s="45"/>
      <c r="M1277" s="45"/>
      <c r="N1277" s="45"/>
      <c r="O1277" s="21"/>
      <c r="P1277" s="21"/>
      <c r="Q1277" s="21"/>
      <c r="R1277" s="25" t="str">
        <f t="shared" si="20"/>
        <v/>
      </c>
    </row>
    <row r="1278" spans="1:18">
      <c r="A1278" s="28"/>
      <c r="B1278" s="48"/>
      <c r="C1278" s="48"/>
      <c r="D1278" s="21"/>
      <c r="E1278" s="21"/>
      <c r="F1278" s="21"/>
      <c r="G1278" s="21"/>
      <c r="H1278" s="21"/>
      <c r="I1278" s="21"/>
      <c r="J1278" s="45"/>
      <c r="K1278" s="45"/>
      <c r="L1278" s="45"/>
      <c r="M1278" s="45"/>
      <c r="N1278" s="45"/>
      <c r="O1278" s="21"/>
      <c r="P1278" s="21"/>
      <c r="Q1278" s="21"/>
      <c r="R1278" s="25" t="str">
        <f t="shared" si="20"/>
        <v/>
      </c>
    </row>
    <row r="1279" spans="1:18">
      <c r="A1279" s="28"/>
      <c r="B1279" s="48"/>
      <c r="C1279" s="48"/>
      <c r="D1279" s="21"/>
      <c r="E1279" s="21"/>
      <c r="F1279" s="21"/>
      <c r="G1279" s="21"/>
      <c r="H1279" s="21"/>
      <c r="I1279" s="21"/>
      <c r="J1279" s="45"/>
      <c r="K1279" s="45"/>
      <c r="L1279" s="45"/>
      <c r="M1279" s="45"/>
      <c r="N1279" s="45"/>
      <c r="O1279" s="21"/>
      <c r="P1279" s="21"/>
      <c r="Q1279" s="21"/>
      <c r="R1279" s="25" t="str">
        <f t="shared" si="20"/>
        <v/>
      </c>
    </row>
    <row r="1280" spans="1:18">
      <c r="A1280" s="28"/>
      <c r="B1280" s="48"/>
      <c r="C1280" s="48"/>
      <c r="D1280" s="21"/>
      <c r="E1280" s="21"/>
      <c r="F1280" s="21"/>
      <c r="G1280" s="21"/>
      <c r="H1280" s="21"/>
      <c r="I1280" s="21"/>
      <c r="J1280" s="45"/>
      <c r="K1280" s="45"/>
      <c r="L1280" s="45"/>
      <c r="M1280" s="45"/>
      <c r="N1280" s="45"/>
      <c r="O1280" s="21"/>
      <c r="P1280" s="21"/>
      <c r="Q1280" s="21"/>
      <c r="R1280" s="25" t="str">
        <f t="shared" si="20"/>
        <v/>
      </c>
    </row>
    <row r="1281" spans="1:18">
      <c r="A1281" s="28"/>
      <c r="B1281" s="48"/>
      <c r="C1281" s="48"/>
      <c r="D1281" s="21"/>
      <c r="E1281" s="21"/>
      <c r="F1281" s="21"/>
      <c r="G1281" s="21"/>
      <c r="H1281" s="21"/>
      <c r="I1281" s="21"/>
      <c r="J1281" s="45"/>
      <c r="K1281" s="45"/>
      <c r="L1281" s="45"/>
      <c r="M1281" s="45"/>
      <c r="N1281" s="45"/>
      <c r="O1281" s="21"/>
      <c r="P1281" s="21"/>
      <c r="Q1281" s="21"/>
      <c r="R1281" s="25" t="str">
        <f t="shared" si="20"/>
        <v/>
      </c>
    </row>
    <row r="1282" spans="1:18">
      <c r="A1282" s="28"/>
      <c r="B1282" s="48"/>
      <c r="C1282" s="48"/>
      <c r="D1282" s="21"/>
      <c r="E1282" s="21"/>
      <c r="F1282" s="21"/>
      <c r="G1282" s="21"/>
      <c r="H1282" s="21"/>
      <c r="I1282" s="21"/>
      <c r="J1282" s="45"/>
      <c r="K1282" s="45"/>
      <c r="L1282" s="45"/>
      <c r="M1282" s="45"/>
      <c r="N1282" s="45"/>
      <c r="O1282" s="21"/>
      <c r="P1282" s="21"/>
      <c r="Q1282" s="21"/>
      <c r="R1282" s="25" t="str">
        <f t="shared" si="20"/>
        <v/>
      </c>
    </row>
    <row r="1283" spans="1:18">
      <c r="A1283" s="28"/>
      <c r="B1283" s="48"/>
      <c r="C1283" s="48"/>
      <c r="D1283" s="21"/>
      <c r="E1283" s="21"/>
      <c r="F1283" s="21"/>
      <c r="G1283" s="21"/>
      <c r="H1283" s="21"/>
      <c r="I1283" s="21"/>
      <c r="J1283" s="45"/>
      <c r="K1283" s="45"/>
      <c r="L1283" s="45"/>
      <c r="M1283" s="45"/>
      <c r="N1283" s="45"/>
      <c r="O1283" s="21"/>
      <c r="P1283" s="21"/>
      <c r="Q1283" s="21"/>
      <c r="R1283" s="25" t="str">
        <f t="shared" si="20"/>
        <v/>
      </c>
    </row>
    <row r="1284" spans="1:18">
      <c r="A1284" s="28"/>
      <c r="B1284" s="48"/>
      <c r="C1284" s="48"/>
      <c r="D1284" s="21"/>
      <c r="E1284" s="21"/>
      <c r="F1284" s="21"/>
      <c r="G1284" s="21"/>
      <c r="H1284" s="21"/>
      <c r="I1284" s="21"/>
      <c r="J1284" s="45"/>
      <c r="K1284" s="45"/>
      <c r="L1284" s="45"/>
      <c r="M1284" s="45"/>
      <c r="N1284" s="45"/>
      <c r="O1284" s="21"/>
      <c r="P1284" s="21"/>
      <c r="Q1284" s="21"/>
      <c r="R1284" s="25" t="str">
        <f t="shared" si="20"/>
        <v/>
      </c>
    </row>
    <row r="1285" spans="1:18">
      <c r="A1285" s="28"/>
      <c r="B1285" s="48"/>
      <c r="C1285" s="48"/>
      <c r="D1285" s="21"/>
      <c r="E1285" s="21"/>
      <c r="F1285" s="21"/>
      <c r="G1285" s="21"/>
      <c r="H1285" s="21"/>
      <c r="I1285" s="21"/>
      <c r="J1285" s="45"/>
      <c r="K1285" s="45"/>
      <c r="L1285" s="45"/>
      <c r="M1285" s="45"/>
      <c r="N1285" s="45"/>
      <c r="O1285" s="21"/>
      <c r="P1285" s="21"/>
      <c r="Q1285" s="21"/>
      <c r="R1285" s="25" t="str">
        <f t="shared" si="20"/>
        <v/>
      </c>
    </row>
    <row r="1286" spans="1:18">
      <c r="A1286" s="28"/>
      <c r="B1286" s="48"/>
      <c r="C1286" s="48"/>
      <c r="D1286" s="21"/>
      <c r="E1286" s="21"/>
      <c r="F1286" s="21"/>
      <c r="G1286" s="21"/>
      <c r="H1286" s="21"/>
      <c r="I1286" s="21"/>
      <c r="J1286" s="45"/>
      <c r="K1286" s="45"/>
      <c r="L1286" s="45"/>
      <c r="M1286" s="45"/>
      <c r="N1286" s="45"/>
      <c r="O1286" s="21"/>
      <c r="P1286" s="21"/>
      <c r="Q1286" s="21"/>
      <c r="R1286" s="25" t="str">
        <f t="shared" si="20"/>
        <v/>
      </c>
    </row>
    <row r="1287" spans="1:18">
      <c r="A1287" s="28"/>
      <c r="B1287" s="48"/>
      <c r="C1287" s="48"/>
      <c r="D1287" s="21"/>
      <c r="E1287" s="21"/>
      <c r="F1287" s="21"/>
      <c r="G1287" s="21"/>
      <c r="H1287" s="21"/>
      <c r="I1287" s="21"/>
      <c r="J1287" s="45"/>
      <c r="K1287" s="45"/>
      <c r="L1287" s="45"/>
      <c r="M1287" s="45"/>
      <c r="N1287" s="45"/>
      <c r="O1287" s="21"/>
      <c r="P1287" s="21"/>
      <c r="Q1287" s="21"/>
      <c r="R1287" s="25" t="str">
        <f t="shared" si="20"/>
        <v/>
      </c>
    </row>
    <row r="1288" spans="1:18">
      <c r="A1288" s="28"/>
      <c r="B1288" s="48"/>
      <c r="C1288" s="48"/>
      <c r="D1288" s="21"/>
      <c r="E1288" s="21"/>
      <c r="F1288" s="21"/>
      <c r="G1288" s="21"/>
      <c r="H1288" s="21"/>
      <c r="I1288" s="21"/>
      <c r="J1288" s="45"/>
      <c r="K1288" s="45"/>
      <c r="L1288" s="45"/>
      <c r="M1288" s="45"/>
      <c r="N1288" s="45"/>
      <c r="O1288" s="21"/>
      <c r="P1288" s="21"/>
      <c r="Q1288" s="21"/>
      <c r="R1288" s="25" t="str">
        <f t="shared" si="20"/>
        <v/>
      </c>
    </row>
    <row r="1289" spans="1:18">
      <c r="A1289" s="28"/>
      <c r="B1289" s="48"/>
      <c r="C1289" s="48"/>
      <c r="D1289" s="21"/>
      <c r="E1289" s="21"/>
      <c r="F1289" s="21"/>
      <c r="G1289" s="21"/>
      <c r="H1289" s="21"/>
      <c r="I1289" s="21"/>
      <c r="J1289" s="45"/>
      <c r="K1289" s="45"/>
      <c r="L1289" s="45"/>
      <c r="M1289" s="45"/>
      <c r="N1289" s="45"/>
      <c r="O1289" s="21"/>
      <c r="P1289" s="21"/>
      <c r="Q1289" s="21"/>
      <c r="R1289" s="25" t="str">
        <f t="shared" si="20"/>
        <v/>
      </c>
    </row>
    <row r="1290" spans="1:18">
      <c r="A1290" s="28"/>
      <c r="B1290" s="48"/>
      <c r="C1290" s="48"/>
      <c r="D1290" s="21"/>
      <c r="E1290" s="21"/>
      <c r="F1290" s="21"/>
      <c r="G1290" s="21"/>
      <c r="H1290" s="21"/>
      <c r="I1290" s="21"/>
      <c r="J1290" s="45"/>
      <c r="K1290" s="45"/>
      <c r="L1290" s="45"/>
      <c r="M1290" s="45"/>
      <c r="N1290" s="45"/>
      <c r="O1290" s="21"/>
      <c r="P1290" s="21"/>
      <c r="Q1290" s="21"/>
      <c r="R1290" s="25" t="str">
        <f t="shared" si="20"/>
        <v/>
      </c>
    </row>
    <row r="1291" spans="1:18">
      <c r="A1291" s="28"/>
      <c r="B1291" s="48"/>
      <c r="C1291" s="48"/>
      <c r="D1291" s="21"/>
      <c r="E1291" s="21"/>
      <c r="F1291" s="21"/>
      <c r="G1291" s="21"/>
      <c r="H1291" s="21"/>
      <c r="I1291" s="21"/>
      <c r="J1291" s="45"/>
      <c r="K1291" s="45"/>
      <c r="L1291" s="45"/>
      <c r="M1291" s="45"/>
      <c r="N1291" s="45"/>
      <c r="O1291" s="21"/>
      <c r="P1291" s="21"/>
      <c r="Q1291" s="21"/>
      <c r="R1291" s="25" t="str">
        <f t="shared" si="20"/>
        <v/>
      </c>
    </row>
    <row r="1292" spans="1:18">
      <c r="A1292" s="28"/>
      <c r="B1292" s="48"/>
      <c r="C1292" s="48"/>
      <c r="D1292" s="21"/>
      <c r="E1292" s="21"/>
      <c r="F1292" s="21"/>
      <c r="G1292" s="21"/>
      <c r="H1292" s="21"/>
      <c r="I1292" s="21"/>
      <c r="J1292" s="45"/>
      <c r="K1292" s="45"/>
      <c r="L1292" s="45"/>
      <c r="M1292" s="45"/>
      <c r="N1292" s="45"/>
      <c r="O1292" s="21"/>
      <c r="P1292" s="21"/>
      <c r="Q1292" s="21"/>
      <c r="R1292" s="25" t="str">
        <f t="shared" si="20"/>
        <v/>
      </c>
    </row>
    <row r="1293" spans="1:18">
      <c r="A1293" s="28"/>
      <c r="B1293" s="48"/>
      <c r="C1293" s="48"/>
      <c r="D1293" s="21"/>
      <c r="E1293" s="21"/>
      <c r="F1293" s="21"/>
      <c r="G1293" s="21"/>
      <c r="H1293" s="21"/>
      <c r="I1293" s="21"/>
      <c r="J1293" s="45"/>
      <c r="K1293" s="45"/>
      <c r="L1293" s="45"/>
      <c r="M1293" s="45"/>
      <c r="N1293" s="45"/>
      <c r="O1293" s="21"/>
      <c r="P1293" s="21"/>
      <c r="Q1293" s="21"/>
      <c r="R1293" s="25" t="str">
        <f t="shared" si="20"/>
        <v/>
      </c>
    </row>
    <row r="1294" spans="1:18">
      <c r="A1294" s="28"/>
      <c r="B1294" s="48"/>
      <c r="C1294" s="48"/>
      <c r="D1294" s="21"/>
      <c r="E1294" s="21"/>
      <c r="F1294" s="21"/>
      <c r="G1294" s="21"/>
      <c r="H1294" s="21"/>
      <c r="I1294" s="21"/>
      <c r="J1294" s="45"/>
      <c r="K1294" s="45"/>
      <c r="L1294" s="45"/>
      <c r="M1294" s="45"/>
      <c r="N1294" s="45"/>
      <c r="O1294" s="21"/>
      <c r="P1294" s="21"/>
      <c r="Q1294" s="21"/>
      <c r="R1294" s="25" t="str">
        <f t="shared" si="20"/>
        <v/>
      </c>
    </row>
    <row r="1295" spans="1:18">
      <c r="A1295" s="28"/>
      <c r="B1295" s="48"/>
      <c r="C1295" s="48"/>
      <c r="D1295" s="21"/>
      <c r="E1295" s="21"/>
      <c r="F1295" s="21"/>
      <c r="G1295" s="21"/>
      <c r="H1295" s="21"/>
      <c r="I1295" s="21"/>
      <c r="J1295" s="45"/>
      <c r="K1295" s="45"/>
      <c r="L1295" s="45"/>
      <c r="M1295" s="45"/>
      <c r="N1295" s="45"/>
      <c r="O1295" s="21"/>
      <c r="P1295" s="21"/>
      <c r="Q1295" s="21"/>
      <c r="R1295" s="25" t="str">
        <f t="shared" si="20"/>
        <v/>
      </c>
    </row>
    <row r="1296" spans="1:18">
      <c r="A1296" s="28"/>
      <c r="B1296" s="48"/>
      <c r="C1296" s="48"/>
      <c r="D1296" s="21"/>
      <c r="E1296" s="21"/>
      <c r="F1296" s="21"/>
      <c r="G1296" s="21"/>
      <c r="H1296" s="21"/>
      <c r="I1296" s="21"/>
      <c r="J1296" s="45"/>
      <c r="K1296" s="45"/>
      <c r="L1296" s="45"/>
      <c r="M1296" s="45"/>
      <c r="N1296" s="45"/>
      <c r="O1296" s="21"/>
      <c r="P1296" s="21"/>
      <c r="Q1296" s="21"/>
      <c r="R1296" s="25" t="str">
        <f t="shared" si="20"/>
        <v/>
      </c>
    </row>
    <row r="1297" spans="1:18">
      <c r="A1297" s="28"/>
      <c r="B1297" s="48"/>
      <c r="C1297" s="48"/>
      <c r="D1297" s="21"/>
      <c r="E1297" s="21"/>
      <c r="F1297" s="21"/>
      <c r="G1297" s="21"/>
      <c r="H1297" s="21"/>
      <c r="I1297" s="21"/>
      <c r="J1297" s="45"/>
      <c r="K1297" s="45"/>
      <c r="L1297" s="45"/>
      <c r="M1297" s="45"/>
      <c r="N1297" s="45"/>
      <c r="O1297" s="21"/>
      <c r="P1297" s="21"/>
      <c r="Q1297" s="21"/>
      <c r="R1297" s="25" t="str">
        <f t="shared" si="20"/>
        <v/>
      </c>
    </row>
    <row r="1298" spans="1:18">
      <c r="A1298" s="28"/>
      <c r="B1298" s="48"/>
      <c r="C1298" s="48"/>
      <c r="D1298" s="21"/>
      <c r="E1298" s="21"/>
      <c r="F1298" s="21"/>
      <c r="G1298" s="21"/>
      <c r="H1298" s="21"/>
      <c r="I1298" s="21"/>
      <c r="J1298" s="45"/>
      <c r="K1298" s="45"/>
      <c r="L1298" s="45"/>
      <c r="M1298" s="45"/>
      <c r="N1298" s="45"/>
      <c r="O1298" s="21"/>
      <c r="P1298" s="21"/>
      <c r="Q1298" s="21"/>
      <c r="R1298" s="25" t="str">
        <f t="shared" si="20"/>
        <v/>
      </c>
    </row>
    <row r="1299" spans="1:18">
      <c r="A1299" s="28"/>
      <c r="B1299" s="48"/>
      <c r="C1299" s="48"/>
      <c r="D1299" s="21"/>
      <c r="E1299" s="21"/>
      <c r="F1299" s="21"/>
      <c r="G1299" s="21"/>
      <c r="H1299" s="21"/>
      <c r="I1299" s="21"/>
      <c r="J1299" s="45"/>
      <c r="K1299" s="45"/>
      <c r="L1299" s="45"/>
      <c r="M1299" s="45"/>
      <c r="N1299" s="45"/>
      <c r="O1299" s="21"/>
      <c r="P1299" s="21"/>
      <c r="Q1299" s="21"/>
      <c r="R1299" s="25" t="str">
        <f t="shared" si="20"/>
        <v/>
      </c>
    </row>
    <row r="1300" spans="1:18">
      <c r="A1300" s="28"/>
      <c r="B1300" s="48"/>
      <c r="C1300" s="48"/>
      <c r="D1300" s="21"/>
      <c r="E1300" s="21"/>
      <c r="F1300" s="21"/>
      <c r="G1300" s="21"/>
      <c r="H1300" s="21"/>
      <c r="I1300" s="21"/>
      <c r="J1300" s="45"/>
      <c r="K1300" s="45"/>
      <c r="L1300" s="45"/>
      <c r="M1300" s="45"/>
      <c r="N1300" s="45"/>
      <c r="O1300" s="21"/>
      <c r="P1300" s="21"/>
      <c r="Q1300" s="21"/>
      <c r="R1300" s="25" t="str">
        <f t="shared" si="20"/>
        <v/>
      </c>
    </row>
    <row r="1301" spans="1:18">
      <c r="A1301" s="28"/>
      <c r="B1301" s="48"/>
      <c r="C1301" s="48"/>
      <c r="D1301" s="21"/>
      <c r="E1301" s="21"/>
      <c r="F1301" s="21"/>
      <c r="G1301" s="21"/>
      <c r="H1301" s="21"/>
      <c r="I1301" s="21"/>
      <c r="J1301" s="45"/>
      <c r="K1301" s="45"/>
      <c r="L1301" s="45"/>
      <c r="M1301" s="45"/>
      <c r="N1301" s="45"/>
      <c r="O1301" s="21"/>
      <c r="P1301" s="21"/>
      <c r="Q1301" s="21"/>
      <c r="R1301" s="25" t="str">
        <f t="shared" si="20"/>
        <v/>
      </c>
    </row>
    <row r="1302" spans="1:18">
      <c r="A1302" s="28"/>
      <c r="B1302" s="48"/>
      <c r="C1302" s="48"/>
      <c r="D1302" s="21"/>
      <c r="E1302" s="21"/>
      <c r="F1302" s="21"/>
      <c r="G1302" s="21"/>
      <c r="H1302" s="21"/>
      <c r="I1302" s="21"/>
      <c r="J1302" s="45"/>
      <c r="K1302" s="45"/>
      <c r="L1302" s="45"/>
      <c r="M1302" s="45"/>
      <c r="N1302" s="45"/>
      <c r="O1302" s="21"/>
      <c r="P1302" s="21"/>
      <c r="Q1302" s="21"/>
      <c r="R1302" s="25" t="str">
        <f t="shared" si="20"/>
        <v/>
      </c>
    </row>
    <row r="1303" spans="1:18">
      <c r="A1303" s="28"/>
      <c r="B1303" s="48"/>
      <c r="C1303" s="48"/>
      <c r="D1303" s="21"/>
      <c r="E1303" s="21"/>
      <c r="F1303" s="21"/>
      <c r="G1303" s="21"/>
      <c r="H1303" s="21"/>
      <c r="I1303" s="21"/>
      <c r="J1303" s="45"/>
      <c r="K1303" s="45"/>
      <c r="L1303" s="45"/>
      <c r="M1303" s="45"/>
      <c r="N1303" s="45"/>
      <c r="O1303" s="21"/>
      <c r="P1303" s="21"/>
      <c r="Q1303" s="21"/>
      <c r="R1303" s="25" t="str">
        <f t="shared" si="20"/>
        <v/>
      </c>
    </row>
    <row r="1304" spans="1:18">
      <c r="A1304" s="28"/>
      <c r="B1304" s="48"/>
      <c r="C1304" s="48"/>
      <c r="D1304" s="21"/>
      <c r="E1304" s="21"/>
      <c r="F1304" s="21"/>
      <c r="G1304" s="21"/>
      <c r="H1304" s="21"/>
      <c r="I1304" s="21"/>
      <c r="J1304" s="45"/>
      <c r="K1304" s="45"/>
      <c r="L1304" s="45"/>
      <c r="M1304" s="45"/>
      <c r="N1304" s="45"/>
      <c r="O1304" s="21"/>
      <c r="P1304" s="21"/>
      <c r="Q1304" s="21"/>
      <c r="R1304" s="25" t="str">
        <f t="shared" si="20"/>
        <v/>
      </c>
    </row>
    <row r="1305" spans="1:18">
      <c r="A1305" s="28"/>
      <c r="B1305" s="48"/>
      <c r="C1305" s="48"/>
      <c r="D1305" s="21"/>
      <c r="E1305" s="21"/>
      <c r="F1305" s="21"/>
      <c r="G1305" s="21"/>
      <c r="H1305" s="21"/>
      <c r="I1305" s="21"/>
      <c r="J1305" s="45"/>
      <c r="K1305" s="45"/>
      <c r="L1305" s="45"/>
      <c r="M1305" s="45"/>
      <c r="N1305" s="45"/>
      <c r="O1305" s="21"/>
      <c r="P1305" s="21"/>
      <c r="Q1305" s="21"/>
      <c r="R1305" s="25" t="str">
        <f t="shared" si="20"/>
        <v/>
      </c>
    </row>
    <row r="1306" spans="1:18">
      <c r="A1306" s="28"/>
      <c r="B1306" s="48"/>
      <c r="C1306" s="48"/>
      <c r="D1306" s="21"/>
      <c r="E1306" s="21"/>
      <c r="F1306" s="21"/>
      <c r="G1306" s="21"/>
      <c r="H1306" s="21"/>
      <c r="I1306" s="21"/>
      <c r="J1306" s="45"/>
      <c r="K1306" s="45"/>
      <c r="L1306" s="45"/>
      <c r="M1306" s="45"/>
      <c r="N1306" s="45"/>
      <c r="O1306" s="21"/>
      <c r="P1306" s="21"/>
      <c r="Q1306" s="21"/>
      <c r="R1306" s="25" t="str">
        <f t="shared" si="20"/>
        <v/>
      </c>
    </row>
    <row r="1307" spans="1:18">
      <c r="A1307" s="28"/>
      <c r="B1307" s="48"/>
      <c r="C1307" s="48"/>
      <c r="D1307" s="21"/>
      <c r="E1307" s="21"/>
      <c r="F1307" s="21"/>
      <c r="G1307" s="21"/>
      <c r="H1307" s="21"/>
      <c r="I1307" s="21"/>
      <c r="J1307" s="45"/>
      <c r="K1307" s="45"/>
      <c r="L1307" s="45"/>
      <c r="M1307" s="45"/>
      <c r="N1307" s="45"/>
      <c r="O1307" s="21"/>
      <c r="P1307" s="21"/>
      <c r="Q1307" s="21"/>
      <c r="R1307" s="25" t="str">
        <f t="shared" si="20"/>
        <v/>
      </c>
    </row>
    <row r="1308" spans="1:18">
      <c r="A1308" s="28"/>
      <c r="B1308" s="48"/>
      <c r="C1308" s="48"/>
      <c r="D1308" s="21"/>
      <c r="E1308" s="21"/>
      <c r="F1308" s="21"/>
      <c r="G1308" s="21"/>
      <c r="H1308" s="21"/>
      <c r="I1308" s="21"/>
      <c r="J1308" s="45"/>
      <c r="K1308" s="45"/>
      <c r="L1308" s="45"/>
      <c r="M1308" s="45"/>
      <c r="N1308" s="45"/>
      <c r="O1308" s="21"/>
      <c r="P1308" s="21"/>
      <c r="Q1308" s="21"/>
      <c r="R1308" s="25" t="str">
        <f t="shared" si="20"/>
        <v/>
      </c>
    </row>
    <row r="1309" spans="1:18">
      <c r="A1309" s="28"/>
      <c r="B1309" s="48"/>
      <c r="C1309" s="48"/>
      <c r="D1309" s="21"/>
      <c r="E1309" s="21"/>
      <c r="F1309" s="21"/>
      <c r="G1309" s="21"/>
      <c r="H1309" s="21"/>
      <c r="I1309" s="21"/>
      <c r="J1309" s="45"/>
      <c r="K1309" s="45"/>
      <c r="L1309" s="45"/>
      <c r="M1309" s="45"/>
      <c r="N1309" s="45"/>
      <c r="O1309" s="21"/>
      <c r="P1309" s="21"/>
      <c r="Q1309" s="21"/>
      <c r="R1309" s="25" t="str">
        <f t="shared" si="20"/>
        <v/>
      </c>
    </row>
    <row r="1310" spans="1:18">
      <c r="A1310" s="28"/>
      <c r="B1310" s="48"/>
      <c r="C1310" s="48"/>
      <c r="D1310" s="21"/>
      <c r="E1310" s="21"/>
      <c r="F1310" s="21"/>
      <c r="G1310" s="21"/>
      <c r="H1310" s="21"/>
      <c r="I1310" s="21"/>
      <c r="J1310" s="45"/>
      <c r="K1310" s="45"/>
      <c r="L1310" s="45"/>
      <c r="M1310" s="45"/>
      <c r="N1310" s="45"/>
      <c r="O1310" s="21"/>
      <c r="P1310" s="21"/>
      <c r="Q1310" s="21"/>
      <c r="R1310" s="25" t="str">
        <f t="shared" si="20"/>
        <v/>
      </c>
    </row>
    <row r="1311" spans="1:18">
      <c r="A1311" s="28"/>
      <c r="B1311" s="48"/>
      <c r="C1311" s="48"/>
      <c r="D1311" s="21"/>
      <c r="E1311" s="21"/>
      <c r="F1311" s="21"/>
      <c r="G1311" s="21"/>
      <c r="H1311" s="21"/>
      <c r="I1311" s="21"/>
      <c r="J1311" s="45"/>
      <c r="K1311" s="45"/>
      <c r="L1311" s="45"/>
      <c r="M1311" s="45"/>
      <c r="N1311" s="45"/>
      <c r="O1311" s="21"/>
      <c r="P1311" s="21"/>
      <c r="Q1311" s="21"/>
      <c r="R1311" s="25" t="str">
        <f t="shared" si="20"/>
        <v/>
      </c>
    </row>
    <row r="1312" spans="1:18">
      <c r="A1312" s="28"/>
      <c r="B1312" s="48"/>
      <c r="C1312" s="48"/>
      <c r="D1312" s="21"/>
      <c r="E1312" s="21"/>
      <c r="F1312" s="21"/>
      <c r="G1312" s="21"/>
      <c r="H1312" s="21"/>
      <c r="I1312" s="21"/>
      <c r="J1312" s="45"/>
      <c r="K1312" s="45"/>
      <c r="L1312" s="45"/>
      <c r="M1312" s="45"/>
      <c r="N1312" s="45"/>
      <c r="O1312" s="21"/>
      <c r="P1312" s="21"/>
      <c r="Q1312" s="21"/>
      <c r="R1312" s="25" t="str">
        <f t="shared" si="20"/>
        <v/>
      </c>
    </row>
    <row r="1313" spans="1:18">
      <c r="A1313" s="28"/>
      <c r="B1313" s="48"/>
      <c r="C1313" s="48"/>
      <c r="D1313" s="21"/>
      <c r="E1313" s="21"/>
      <c r="F1313" s="21"/>
      <c r="G1313" s="21"/>
      <c r="H1313" s="21"/>
      <c r="I1313" s="21"/>
      <c r="J1313" s="45"/>
      <c r="K1313" s="45"/>
      <c r="L1313" s="45"/>
      <c r="M1313" s="45"/>
      <c r="N1313" s="45"/>
      <c r="O1313" s="21"/>
      <c r="P1313" s="21"/>
      <c r="Q1313" s="21"/>
      <c r="R1313" s="25" t="str">
        <f t="shared" si="20"/>
        <v/>
      </c>
    </row>
    <row r="1314" spans="1:18">
      <c r="A1314" s="28"/>
      <c r="B1314" s="48"/>
      <c r="C1314" s="48"/>
      <c r="D1314" s="21"/>
      <c r="E1314" s="21"/>
      <c r="F1314" s="21"/>
      <c r="G1314" s="21"/>
      <c r="H1314" s="21"/>
      <c r="I1314" s="21"/>
      <c r="J1314" s="45"/>
      <c r="K1314" s="45"/>
      <c r="L1314" s="45"/>
      <c r="M1314" s="45"/>
      <c r="N1314" s="45"/>
      <c r="O1314" s="21"/>
      <c r="P1314" s="21"/>
      <c r="Q1314" s="21"/>
      <c r="R1314" s="25" t="str">
        <f t="shared" si="20"/>
        <v/>
      </c>
    </row>
    <row r="1315" spans="1:18">
      <c r="A1315" s="28"/>
      <c r="B1315" s="48"/>
      <c r="C1315" s="48"/>
      <c r="D1315" s="21"/>
      <c r="E1315" s="21"/>
      <c r="F1315" s="21"/>
      <c r="G1315" s="21"/>
      <c r="H1315" s="21"/>
      <c r="I1315" s="21"/>
      <c r="J1315" s="45"/>
      <c r="K1315" s="45"/>
      <c r="L1315" s="45"/>
      <c r="M1315" s="45"/>
      <c r="N1315" s="45"/>
      <c r="O1315" s="21"/>
      <c r="P1315" s="21"/>
      <c r="Q1315" s="21"/>
      <c r="R1315" s="25" t="str">
        <f t="shared" si="20"/>
        <v/>
      </c>
    </row>
    <row r="1316" spans="1:18">
      <c r="A1316" s="28"/>
      <c r="B1316" s="48"/>
      <c r="C1316" s="48"/>
      <c r="D1316" s="21"/>
      <c r="E1316" s="21"/>
      <c r="F1316" s="21"/>
      <c r="G1316" s="21"/>
      <c r="H1316" s="21"/>
      <c r="I1316" s="21"/>
      <c r="J1316" s="45"/>
      <c r="K1316" s="45"/>
      <c r="L1316" s="45"/>
      <c r="M1316" s="45"/>
      <c r="N1316" s="45"/>
      <c r="O1316" s="21"/>
      <c r="P1316" s="21"/>
      <c r="Q1316" s="21"/>
      <c r="R1316" s="25" t="str">
        <f t="shared" si="20"/>
        <v/>
      </c>
    </row>
    <row r="1317" spans="1:18">
      <c r="A1317" s="28"/>
      <c r="B1317" s="48"/>
      <c r="C1317" s="48"/>
      <c r="D1317" s="21"/>
      <c r="E1317" s="21"/>
      <c r="F1317" s="21"/>
      <c r="G1317" s="21"/>
      <c r="H1317" s="21"/>
      <c r="I1317" s="21"/>
      <c r="J1317" s="45"/>
      <c r="K1317" s="45"/>
      <c r="L1317" s="45"/>
      <c r="M1317" s="45"/>
      <c r="N1317" s="45"/>
      <c r="O1317" s="21"/>
      <c r="P1317" s="21"/>
      <c r="Q1317" s="21"/>
      <c r="R1317" s="25" t="str">
        <f t="shared" si="20"/>
        <v/>
      </c>
    </row>
    <row r="1318" spans="1:18">
      <c r="A1318" s="28"/>
      <c r="B1318" s="48"/>
      <c r="C1318" s="48"/>
      <c r="D1318" s="21"/>
      <c r="E1318" s="21"/>
      <c r="F1318" s="21"/>
      <c r="G1318" s="21"/>
      <c r="H1318" s="21"/>
      <c r="I1318" s="21"/>
      <c r="J1318" s="45"/>
      <c r="K1318" s="45"/>
      <c r="L1318" s="45"/>
      <c r="M1318" s="45"/>
      <c r="N1318" s="45"/>
      <c r="O1318" s="21"/>
      <c r="P1318" s="21"/>
      <c r="Q1318" s="21"/>
      <c r="R1318" s="25" t="str">
        <f t="shared" si="20"/>
        <v/>
      </c>
    </row>
    <row r="1319" spans="1:18">
      <c r="A1319" s="28"/>
      <c r="B1319" s="48"/>
      <c r="C1319" s="48"/>
      <c r="D1319" s="21"/>
      <c r="E1319" s="21"/>
      <c r="F1319" s="21"/>
      <c r="G1319" s="21"/>
      <c r="H1319" s="21"/>
      <c r="I1319" s="21"/>
      <c r="J1319" s="45"/>
      <c r="K1319" s="45"/>
      <c r="L1319" s="45"/>
      <c r="M1319" s="45"/>
      <c r="N1319" s="45"/>
      <c r="O1319" s="21"/>
      <c r="P1319" s="21"/>
      <c r="Q1319" s="21"/>
      <c r="R1319" s="25" t="str">
        <f t="shared" si="20"/>
        <v/>
      </c>
    </row>
    <row r="1320" spans="1:18">
      <c r="A1320" s="28"/>
      <c r="B1320" s="48"/>
      <c r="C1320" s="48"/>
      <c r="D1320" s="21"/>
      <c r="E1320" s="21"/>
      <c r="F1320" s="21"/>
      <c r="G1320" s="21"/>
      <c r="H1320" s="21"/>
      <c r="I1320" s="21"/>
      <c r="J1320" s="45"/>
      <c r="K1320" s="45"/>
      <c r="L1320" s="45"/>
      <c r="M1320" s="45"/>
      <c r="N1320" s="45"/>
      <c r="O1320" s="21"/>
      <c r="P1320" s="21"/>
      <c r="Q1320" s="21"/>
      <c r="R1320" s="25" t="str">
        <f t="shared" si="20"/>
        <v/>
      </c>
    </row>
    <row r="1321" spans="1:18">
      <c r="A1321" s="28"/>
      <c r="B1321" s="48"/>
      <c r="C1321" s="48"/>
      <c r="D1321" s="21"/>
      <c r="E1321" s="21"/>
      <c r="F1321" s="21"/>
      <c r="G1321" s="21"/>
      <c r="H1321" s="21"/>
      <c r="I1321" s="21"/>
      <c r="J1321" s="45"/>
      <c r="K1321" s="45"/>
      <c r="L1321" s="45"/>
      <c r="M1321" s="45"/>
      <c r="N1321" s="45"/>
      <c r="O1321" s="21"/>
      <c r="P1321" s="21"/>
      <c r="Q1321" s="21"/>
      <c r="R1321" s="25" t="str">
        <f t="shared" si="20"/>
        <v/>
      </c>
    </row>
    <row r="1322" spans="1:18">
      <c r="A1322" s="28"/>
      <c r="B1322" s="48"/>
      <c r="C1322" s="48"/>
      <c r="D1322" s="21"/>
      <c r="E1322" s="21"/>
      <c r="F1322" s="21"/>
      <c r="G1322" s="21"/>
      <c r="H1322" s="21"/>
      <c r="I1322" s="21"/>
      <c r="J1322" s="45"/>
      <c r="K1322" s="45"/>
      <c r="L1322" s="45"/>
      <c r="M1322" s="45"/>
      <c r="N1322" s="45"/>
      <c r="O1322" s="21"/>
      <c r="P1322" s="21"/>
      <c r="Q1322" s="21"/>
      <c r="R1322" s="25" t="str">
        <f t="shared" si="20"/>
        <v/>
      </c>
    </row>
    <row r="1323" spans="1:18">
      <c r="A1323" s="28"/>
      <c r="B1323" s="48"/>
      <c r="C1323" s="48"/>
      <c r="D1323" s="21"/>
      <c r="E1323" s="21"/>
      <c r="F1323" s="21"/>
      <c r="G1323" s="21"/>
      <c r="H1323" s="21"/>
      <c r="I1323" s="21"/>
      <c r="J1323" s="45"/>
      <c r="K1323" s="45"/>
      <c r="L1323" s="45"/>
      <c r="M1323" s="45"/>
      <c r="N1323" s="45"/>
      <c r="O1323" s="21"/>
      <c r="P1323" s="21"/>
      <c r="Q1323" s="21"/>
      <c r="R1323" s="25" t="str">
        <f t="shared" si="20"/>
        <v/>
      </c>
    </row>
    <row r="1324" spans="1:18">
      <c r="A1324" s="28"/>
      <c r="B1324" s="48"/>
      <c r="C1324" s="48"/>
      <c r="D1324" s="21"/>
      <c r="E1324" s="21"/>
      <c r="F1324" s="21"/>
      <c r="G1324" s="21"/>
      <c r="H1324" s="21"/>
      <c r="I1324" s="21"/>
      <c r="J1324" s="45"/>
      <c r="K1324" s="45"/>
      <c r="L1324" s="45"/>
      <c r="M1324" s="45"/>
      <c r="N1324" s="45"/>
      <c r="O1324" s="21"/>
      <c r="P1324" s="21"/>
      <c r="Q1324" s="21"/>
      <c r="R1324" s="25" t="str">
        <f t="shared" si="20"/>
        <v/>
      </c>
    </row>
    <row r="1325" spans="1:18">
      <c r="A1325" s="28"/>
      <c r="B1325" s="48"/>
      <c r="C1325" s="48"/>
      <c r="D1325" s="21"/>
      <c r="E1325" s="21"/>
      <c r="F1325" s="21"/>
      <c r="G1325" s="21"/>
      <c r="H1325" s="21"/>
      <c r="I1325" s="21"/>
      <c r="J1325" s="45"/>
      <c r="K1325" s="45"/>
      <c r="L1325" s="45"/>
      <c r="M1325" s="45"/>
      <c r="N1325" s="45"/>
      <c r="O1325" s="21"/>
      <c r="P1325" s="21"/>
      <c r="Q1325" s="21"/>
      <c r="R1325" s="25" t="str">
        <f t="shared" si="20"/>
        <v/>
      </c>
    </row>
    <row r="1326" spans="1:18">
      <c r="A1326" s="28"/>
      <c r="B1326" s="48"/>
      <c r="C1326" s="48"/>
      <c r="D1326" s="21"/>
      <c r="E1326" s="21"/>
      <c r="F1326" s="21"/>
      <c r="G1326" s="21"/>
      <c r="H1326" s="21"/>
      <c r="I1326" s="21"/>
      <c r="J1326" s="45"/>
      <c r="K1326" s="45"/>
      <c r="L1326" s="45"/>
      <c r="M1326" s="45"/>
      <c r="N1326" s="45"/>
      <c r="O1326" s="21"/>
      <c r="P1326" s="21"/>
      <c r="Q1326" s="21"/>
      <c r="R1326" s="25" t="str">
        <f t="shared" si="20"/>
        <v/>
      </c>
    </row>
    <row r="1327" spans="1:18">
      <c r="A1327" s="28"/>
      <c r="B1327" s="48"/>
      <c r="C1327" s="48"/>
      <c r="D1327" s="21"/>
      <c r="E1327" s="21"/>
      <c r="F1327" s="21"/>
      <c r="G1327" s="21"/>
      <c r="H1327" s="21"/>
      <c r="I1327" s="21"/>
      <c r="J1327" s="45"/>
      <c r="K1327" s="45"/>
      <c r="L1327" s="45"/>
      <c r="M1327" s="45"/>
      <c r="N1327" s="45"/>
      <c r="O1327" s="21"/>
      <c r="P1327" s="21"/>
      <c r="Q1327" s="21"/>
      <c r="R1327" s="25" t="str">
        <f t="shared" si="20"/>
        <v/>
      </c>
    </row>
    <row r="1328" spans="1:18">
      <c r="A1328" s="28"/>
      <c r="B1328" s="48"/>
      <c r="C1328" s="48"/>
      <c r="D1328" s="21"/>
      <c r="E1328" s="21"/>
      <c r="F1328" s="21"/>
      <c r="G1328" s="21"/>
      <c r="H1328" s="21"/>
      <c r="I1328" s="21"/>
      <c r="J1328" s="45"/>
      <c r="K1328" s="45"/>
      <c r="L1328" s="45"/>
      <c r="M1328" s="45"/>
      <c r="N1328" s="45"/>
      <c r="O1328" s="21"/>
      <c r="P1328" s="21"/>
      <c r="Q1328" s="21"/>
      <c r="R1328" s="25" t="str">
        <f t="shared" si="20"/>
        <v/>
      </c>
    </row>
    <row r="1329" spans="1:18">
      <c r="A1329" s="28"/>
      <c r="B1329" s="48"/>
      <c r="C1329" s="48"/>
      <c r="D1329" s="21"/>
      <c r="E1329" s="21"/>
      <c r="F1329" s="21"/>
      <c r="G1329" s="21"/>
      <c r="H1329" s="21"/>
      <c r="I1329" s="21"/>
      <c r="J1329" s="45"/>
      <c r="K1329" s="45"/>
      <c r="L1329" s="45"/>
      <c r="M1329" s="45"/>
      <c r="N1329" s="45"/>
      <c r="O1329" s="21"/>
      <c r="P1329" s="21"/>
      <c r="Q1329" s="21"/>
      <c r="R1329" s="25" t="str">
        <f t="shared" si="20"/>
        <v/>
      </c>
    </row>
    <row r="1330" spans="1:18">
      <c r="A1330" s="28"/>
      <c r="B1330" s="48"/>
      <c r="C1330" s="48"/>
      <c r="D1330" s="21"/>
      <c r="E1330" s="21"/>
      <c r="F1330" s="21"/>
      <c r="G1330" s="21"/>
      <c r="H1330" s="21"/>
      <c r="I1330" s="21"/>
      <c r="J1330" s="45"/>
      <c r="K1330" s="45"/>
      <c r="L1330" s="45"/>
      <c r="M1330" s="45"/>
      <c r="N1330" s="45"/>
      <c r="O1330" s="21"/>
      <c r="P1330" s="21"/>
      <c r="Q1330" s="21"/>
      <c r="R1330" s="25" t="str">
        <f t="shared" si="20"/>
        <v/>
      </c>
    </row>
    <row r="1331" spans="1:18">
      <c r="A1331" s="28"/>
      <c r="B1331" s="48"/>
      <c r="C1331" s="48"/>
      <c r="D1331" s="21"/>
      <c r="E1331" s="21"/>
      <c r="F1331" s="21"/>
      <c r="G1331" s="21"/>
      <c r="H1331" s="21"/>
      <c r="I1331" s="21"/>
      <c r="J1331" s="45"/>
      <c r="K1331" s="45"/>
      <c r="L1331" s="45"/>
      <c r="M1331" s="45"/>
      <c r="N1331" s="45"/>
      <c r="O1331" s="21"/>
      <c r="P1331" s="21"/>
      <c r="Q1331" s="21"/>
      <c r="R1331" s="25" t="str">
        <f t="shared" ref="R1331:R1394" si="21">IF(COUNTIF($A$17:$A$2010,$A1331)&gt;1,"Possible Duplicate","")</f>
        <v/>
      </c>
    </row>
    <row r="1332" spans="1:18">
      <c r="A1332" s="28"/>
      <c r="B1332" s="48"/>
      <c r="C1332" s="48"/>
      <c r="D1332" s="21"/>
      <c r="E1332" s="21"/>
      <c r="F1332" s="21"/>
      <c r="G1332" s="21"/>
      <c r="H1332" s="21"/>
      <c r="I1332" s="21"/>
      <c r="J1332" s="45"/>
      <c r="K1332" s="45"/>
      <c r="L1332" s="45"/>
      <c r="M1332" s="45"/>
      <c r="N1332" s="45"/>
      <c r="O1332" s="21"/>
      <c r="P1332" s="21"/>
      <c r="Q1332" s="21"/>
      <c r="R1332" s="25" t="str">
        <f t="shared" si="21"/>
        <v/>
      </c>
    </row>
    <row r="1333" spans="1:18">
      <c r="A1333" s="28"/>
      <c r="B1333" s="48"/>
      <c r="C1333" s="48"/>
      <c r="D1333" s="21"/>
      <c r="E1333" s="21"/>
      <c r="F1333" s="21"/>
      <c r="G1333" s="21"/>
      <c r="H1333" s="21"/>
      <c r="I1333" s="21"/>
      <c r="J1333" s="45"/>
      <c r="K1333" s="45"/>
      <c r="L1333" s="45"/>
      <c r="M1333" s="45"/>
      <c r="N1333" s="45"/>
      <c r="O1333" s="21"/>
      <c r="P1333" s="21"/>
      <c r="Q1333" s="21"/>
      <c r="R1333" s="25" t="str">
        <f t="shared" si="21"/>
        <v/>
      </c>
    </row>
    <row r="1334" spans="1:18">
      <c r="A1334" s="28"/>
      <c r="B1334" s="48"/>
      <c r="C1334" s="48"/>
      <c r="D1334" s="21"/>
      <c r="E1334" s="21"/>
      <c r="F1334" s="21"/>
      <c r="G1334" s="21"/>
      <c r="H1334" s="21"/>
      <c r="I1334" s="21"/>
      <c r="J1334" s="45"/>
      <c r="K1334" s="45"/>
      <c r="L1334" s="45"/>
      <c r="M1334" s="45"/>
      <c r="N1334" s="45"/>
      <c r="O1334" s="21"/>
      <c r="P1334" s="21"/>
      <c r="Q1334" s="21"/>
      <c r="R1334" s="25" t="str">
        <f t="shared" si="21"/>
        <v/>
      </c>
    </row>
    <row r="1335" spans="1:18">
      <c r="A1335" s="28"/>
      <c r="B1335" s="48"/>
      <c r="C1335" s="48"/>
      <c r="D1335" s="21"/>
      <c r="E1335" s="21"/>
      <c r="F1335" s="21"/>
      <c r="G1335" s="21"/>
      <c r="H1335" s="21"/>
      <c r="I1335" s="21"/>
      <c r="J1335" s="45"/>
      <c r="K1335" s="45"/>
      <c r="L1335" s="45"/>
      <c r="M1335" s="45"/>
      <c r="N1335" s="45"/>
      <c r="O1335" s="21"/>
      <c r="P1335" s="21"/>
      <c r="Q1335" s="21"/>
      <c r="R1335" s="25" t="str">
        <f t="shared" si="21"/>
        <v/>
      </c>
    </row>
    <row r="1336" spans="1:18">
      <c r="A1336" s="28"/>
      <c r="B1336" s="48"/>
      <c r="C1336" s="48"/>
      <c r="D1336" s="21"/>
      <c r="E1336" s="21"/>
      <c r="F1336" s="21"/>
      <c r="G1336" s="21"/>
      <c r="H1336" s="21"/>
      <c r="I1336" s="21"/>
      <c r="J1336" s="45"/>
      <c r="K1336" s="45"/>
      <c r="L1336" s="45"/>
      <c r="M1336" s="45"/>
      <c r="N1336" s="45"/>
      <c r="O1336" s="21"/>
      <c r="P1336" s="21"/>
      <c r="Q1336" s="21"/>
      <c r="R1336" s="25" t="str">
        <f t="shared" si="21"/>
        <v/>
      </c>
    </row>
    <row r="1337" spans="1:18">
      <c r="A1337" s="28"/>
      <c r="B1337" s="48"/>
      <c r="C1337" s="48"/>
      <c r="D1337" s="21"/>
      <c r="E1337" s="21"/>
      <c r="F1337" s="21"/>
      <c r="G1337" s="21"/>
      <c r="H1337" s="21"/>
      <c r="I1337" s="21"/>
      <c r="J1337" s="45"/>
      <c r="K1337" s="45"/>
      <c r="L1337" s="45"/>
      <c r="M1337" s="45"/>
      <c r="N1337" s="45"/>
      <c r="O1337" s="21"/>
      <c r="P1337" s="21"/>
      <c r="Q1337" s="21"/>
      <c r="R1337" s="25" t="str">
        <f t="shared" si="21"/>
        <v/>
      </c>
    </row>
    <row r="1338" spans="1:18">
      <c r="A1338" s="28"/>
      <c r="B1338" s="48"/>
      <c r="C1338" s="48"/>
      <c r="D1338" s="21"/>
      <c r="E1338" s="21"/>
      <c r="F1338" s="21"/>
      <c r="G1338" s="21"/>
      <c r="H1338" s="21"/>
      <c r="I1338" s="21"/>
      <c r="J1338" s="45"/>
      <c r="K1338" s="45"/>
      <c r="L1338" s="45"/>
      <c r="M1338" s="45"/>
      <c r="N1338" s="45"/>
      <c r="O1338" s="21"/>
      <c r="P1338" s="21"/>
      <c r="Q1338" s="21"/>
      <c r="R1338" s="25" t="str">
        <f t="shared" si="21"/>
        <v/>
      </c>
    </row>
    <row r="1339" spans="1:18">
      <c r="A1339" s="28"/>
      <c r="B1339" s="48"/>
      <c r="C1339" s="48"/>
      <c r="D1339" s="21"/>
      <c r="E1339" s="21"/>
      <c r="F1339" s="21"/>
      <c r="G1339" s="21"/>
      <c r="H1339" s="21"/>
      <c r="I1339" s="21"/>
      <c r="J1339" s="45"/>
      <c r="K1339" s="45"/>
      <c r="L1339" s="45"/>
      <c r="M1339" s="45"/>
      <c r="N1339" s="45"/>
      <c r="O1339" s="21"/>
      <c r="P1339" s="21"/>
      <c r="Q1339" s="21"/>
      <c r="R1339" s="25" t="str">
        <f t="shared" si="21"/>
        <v/>
      </c>
    </row>
    <row r="1340" spans="1:18">
      <c r="A1340" s="28"/>
      <c r="B1340" s="48"/>
      <c r="C1340" s="48"/>
      <c r="D1340" s="21"/>
      <c r="E1340" s="21"/>
      <c r="F1340" s="21"/>
      <c r="G1340" s="21"/>
      <c r="H1340" s="21"/>
      <c r="I1340" s="21"/>
      <c r="J1340" s="45"/>
      <c r="K1340" s="45"/>
      <c r="L1340" s="45"/>
      <c r="M1340" s="45"/>
      <c r="N1340" s="45"/>
      <c r="O1340" s="21"/>
      <c r="P1340" s="21"/>
      <c r="Q1340" s="21"/>
      <c r="R1340" s="25" t="str">
        <f t="shared" si="21"/>
        <v/>
      </c>
    </row>
    <row r="1341" spans="1:18">
      <c r="A1341" s="28"/>
      <c r="B1341" s="48"/>
      <c r="C1341" s="48"/>
      <c r="D1341" s="21"/>
      <c r="E1341" s="21"/>
      <c r="F1341" s="21"/>
      <c r="G1341" s="21"/>
      <c r="H1341" s="21"/>
      <c r="I1341" s="21"/>
      <c r="J1341" s="45"/>
      <c r="K1341" s="45"/>
      <c r="L1341" s="45"/>
      <c r="M1341" s="45"/>
      <c r="N1341" s="45"/>
      <c r="O1341" s="21"/>
      <c r="P1341" s="21"/>
      <c r="Q1341" s="21"/>
      <c r="R1341" s="25" t="str">
        <f t="shared" si="21"/>
        <v/>
      </c>
    </row>
    <row r="1342" spans="1:18">
      <c r="A1342" s="28"/>
      <c r="B1342" s="48"/>
      <c r="C1342" s="48"/>
      <c r="D1342" s="21"/>
      <c r="E1342" s="21"/>
      <c r="F1342" s="21"/>
      <c r="G1342" s="21"/>
      <c r="H1342" s="21"/>
      <c r="I1342" s="21"/>
      <c r="J1342" s="45"/>
      <c r="K1342" s="45"/>
      <c r="L1342" s="45"/>
      <c r="M1342" s="45"/>
      <c r="N1342" s="45"/>
      <c r="O1342" s="21"/>
      <c r="P1342" s="21"/>
      <c r="Q1342" s="21"/>
      <c r="R1342" s="25" t="str">
        <f t="shared" si="21"/>
        <v/>
      </c>
    </row>
    <row r="1343" spans="1:18">
      <c r="A1343" s="28"/>
      <c r="B1343" s="48"/>
      <c r="C1343" s="48"/>
      <c r="D1343" s="21"/>
      <c r="E1343" s="21"/>
      <c r="F1343" s="21"/>
      <c r="G1343" s="21"/>
      <c r="H1343" s="21"/>
      <c r="I1343" s="21"/>
      <c r="J1343" s="45"/>
      <c r="K1343" s="45"/>
      <c r="L1343" s="45"/>
      <c r="M1343" s="45"/>
      <c r="N1343" s="45"/>
      <c r="O1343" s="21"/>
      <c r="P1343" s="21"/>
      <c r="Q1343" s="21"/>
      <c r="R1343" s="25" t="str">
        <f t="shared" si="21"/>
        <v/>
      </c>
    </row>
    <row r="1344" spans="1:18">
      <c r="A1344" s="28"/>
      <c r="B1344" s="48"/>
      <c r="C1344" s="48"/>
      <c r="D1344" s="21"/>
      <c r="E1344" s="21"/>
      <c r="F1344" s="21"/>
      <c r="G1344" s="21"/>
      <c r="H1344" s="21"/>
      <c r="I1344" s="21"/>
      <c r="J1344" s="45"/>
      <c r="K1344" s="45"/>
      <c r="L1344" s="45"/>
      <c r="M1344" s="45"/>
      <c r="N1344" s="45"/>
      <c r="O1344" s="21"/>
      <c r="P1344" s="21"/>
      <c r="Q1344" s="21"/>
      <c r="R1344" s="25" t="str">
        <f t="shared" si="21"/>
        <v/>
      </c>
    </row>
    <row r="1345" spans="1:18">
      <c r="A1345" s="28"/>
      <c r="B1345" s="48"/>
      <c r="C1345" s="48"/>
      <c r="D1345" s="21"/>
      <c r="E1345" s="21"/>
      <c r="F1345" s="21"/>
      <c r="G1345" s="21"/>
      <c r="H1345" s="21"/>
      <c r="I1345" s="21"/>
      <c r="J1345" s="45"/>
      <c r="K1345" s="45"/>
      <c r="L1345" s="45"/>
      <c r="M1345" s="45"/>
      <c r="N1345" s="45"/>
      <c r="O1345" s="21"/>
      <c r="P1345" s="21"/>
      <c r="Q1345" s="21"/>
      <c r="R1345" s="25" t="str">
        <f t="shared" si="21"/>
        <v/>
      </c>
    </row>
    <row r="1346" spans="1:18">
      <c r="A1346" s="28"/>
      <c r="B1346" s="48"/>
      <c r="C1346" s="48"/>
      <c r="D1346" s="21"/>
      <c r="E1346" s="21"/>
      <c r="F1346" s="21"/>
      <c r="G1346" s="21"/>
      <c r="H1346" s="21"/>
      <c r="I1346" s="21"/>
      <c r="J1346" s="45"/>
      <c r="K1346" s="45"/>
      <c r="L1346" s="45"/>
      <c r="M1346" s="45"/>
      <c r="N1346" s="45"/>
      <c r="O1346" s="21"/>
      <c r="P1346" s="21"/>
      <c r="Q1346" s="21"/>
      <c r="R1346" s="25" t="str">
        <f t="shared" si="21"/>
        <v/>
      </c>
    </row>
    <row r="1347" spans="1:18">
      <c r="A1347" s="28"/>
      <c r="B1347" s="48"/>
      <c r="C1347" s="48"/>
      <c r="D1347" s="21"/>
      <c r="E1347" s="21"/>
      <c r="F1347" s="21"/>
      <c r="G1347" s="21"/>
      <c r="H1347" s="21"/>
      <c r="I1347" s="21"/>
      <c r="J1347" s="45"/>
      <c r="K1347" s="45"/>
      <c r="L1347" s="45"/>
      <c r="M1347" s="45"/>
      <c r="N1347" s="45"/>
      <c r="O1347" s="21"/>
      <c r="P1347" s="21"/>
      <c r="Q1347" s="21"/>
      <c r="R1347" s="25" t="str">
        <f t="shared" si="21"/>
        <v/>
      </c>
    </row>
    <row r="1348" spans="1:18">
      <c r="A1348" s="28"/>
      <c r="B1348" s="48"/>
      <c r="C1348" s="48"/>
      <c r="D1348" s="21"/>
      <c r="E1348" s="21"/>
      <c r="F1348" s="21"/>
      <c r="G1348" s="21"/>
      <c r="H1348" s="21"/>
      <c r="I1348" s="21"/>
      <c r="J1348" s="45"/>
      <c r="K1348" s="45"/>
      <c r="L1348" s="45"/>
      <c r="M1348" s="45"/>
      <c r="N1348" s="45"/>
      <c r="O1348" s="21"/>
      <c r="P1348" s="21"/>
      <c r="Q1348" s="21"/>
      <c r="R1348" s="25" t="str">
        <f t="shared" si="21"/>
        <v/>
      </c>
    </row>
    <row r="1349" spans="1:18">
      <c r="A1349" s="28"/>
      <c r="B1349" s="48"/>
      <c r="C1349" s="48"/>
      <c r="D1349" s="21"/>
      <c r="E1349" s="21"/>
      <c r="F1349" s="21"/>
      <c r="G1349" s="21"/>
      <c r="H1349" s="21"/>
      <c r="I1349" s="21"/>
      <c r="J1349" s="45"/>
      <c r="K1349" s="45"/>
      <c r="L1349" s="45"/>
      <c r="M1349" s="45"/>
      <c r="N1349" s="45"/>
      <c r="O1349" s="21"/>
      <c r="P1349" s="21"/>
      <c r="Q1349" s="21"/>
      <c r="R1349" s="25" t="str">
        <f t="shared" si="21"/>
        <v/>
      </c>
    </row>
    <row r="1350" spans="1:18">
      <c r="A1350" s="28"/>
      <c r="B1350" s="48"/>
      <c r="C1350" s="48"/>
      <c r="D1350" s="21"/>
      <c r="E1350" s="21"/>
      <c r="F1350" s="21"/>
      <c r="G1350" s="21"/>
      <c r="H1350" s="21"/>
      <c r="I1350" s="21"/>
      <c r="J1350" s="45"/>
      <c r="K1350" s="45"/>
      <c r="L1350" s="45"/>
      <c r="M1350" s="45"/>
      <c r="N1350" s="45"/>
      <c r="O1350" s="21"/>
      <c r="P1350" s="21"/>
      <c r="Q1350" s="21"/>
      <c r="R1350" s="25" t="str">
        <f t="shared" si="21"/>
        <v/>
      </c>
    </row>
    <row r="1351" spans="1:18">
      <c r="A1351" s="28"/>
      <c r="B1351" s="48"/>
      <c r="C1351" s="48"/>
      <c r="D1351" s="21"/>
      <c r="E1351" s="21"/>
      <c r="F1351" s="21"/>
      <c r="G1351" s="21"/>
      <c r="H1351" s="21"/>
      <c r="I1351" s="21"/>
      <c r="J1351" s="45"/>
      <c r="K1351" s="45"/>
      <c r="L1351" s="45"/>
      <c r="M1351" s="45"/>
      <c r="N1351" s="45"/>
      <c r="O1351" s="21"/>
      <c r="P1351" s="21"/>
      <c r="Q1351" s="21"/>
      <c r="R1351" s="25" t="str">
        <f t="shared" si="21"/>
        <v/>
      </c>
    </row>
    <row r="1352" spans="1:18">
      <c r="A1352" s="28"/>
      <c r="B1352" s="48"/>
      <c r="C1352" s="48"/>
      <c r="D1352" s="21"/>
      <c r="E1352" s="21"/>
      <c r="F1352" s="21"/>
      <c r="G1352" s="21"/>
      <c r="H1352" s="21"/>
      <c r="I1352" s="21"/>
      <c r="J1352" s="45"/>
      <c r="K1352" s="45"/>
      <c r="L1352" s="45"/>
      <c r="M1352" s="45"/>
      <c r="N1352" s="45"/>
      <c r="O1352" s="21"/>
      <c r="P1352" s="21"/>
      <c r="Q1352" s="21"/>
      <c r="R1352" s="25" t="str">
        <f t="shared" si="21"/>
        <v/>
      </c>
    </row>
    <row r="1353" spans="1:18">
      <c r="A1353" s="28"/>
      <c r="B1353" s="48"/>
      <c r="C1353" s="48"/>
      <c r="D1353" s="21"/>
      <c r="E1353" s="21"/>
      <c r="F1353" s="21"/>
      <c r="G1353" s="21"/>
      <c r="H1353" s="21"/>
      <c r="I1353" s="21"/>
      <c r="J1353" s="45"/>
      <c r="K1353" s="45"/>
      <c r="L1353" s="45"/>
      <c r="M1353" s="45"/>
      <c r="N1353" s="45"/>
      <c r="O1353" s="21"/>
      <c r="P1353" s="21"/>
      <c r="Q1353" s="21"/>
      <c r="R1353" s="25" t="str">
        <f t="shared" si="21"/>
        <v/>
      </c>
    </row>
    <row r="1354" spans="1:18">
      <c r="A1354" s="28"/>
      <c r="B1354" s="48"/>
      <c r="C1354" s="48"/>
      <c r="D1354" s="21"/>
      <c r="E1354" s="21"/>
      <c r="F1354" s="21"/>
      <c r="G1354" s="21"/>
      <c r="H1354" s="21"/>
      <c r="I1354" s="21"/>
      <c r="J1354" s="45"/>
      <c r="K1354" s="45"/>
      <c r="L1354" s="45"/>
      <c r="M1354" s="45"/>
      <c r="N1354" s="45"/>
      <c r="O1354" s="21"/>
      <c r="P1354" s="21"/>
      <c r="Q1354" s="21"/>
      <c r="R1354" s="25" t="str">
        <f t="shared" si="21"/>
        <v/>
      </c>
    </row>
    <row r="1355" spans="1:18">
      <c r="A1355" s="28"/>
      <c r="B1355" s="48"/>
      <c r="C1355" s="48"/>
      <c r="D1355" s="21"/>
      <c r="E1355" s="21"/>
      <c r="F1355" s="21"/>
      <c r="G1355" s="21"/>
      <c r="H1355" s="21"/>
      <c r="I1355" s="21"/>
      <c r="J1355" s="45"/>
      <c r="K1355" s="45"/>
      <c r="L1355" s="45"/>
      <c r="M1355" s="45"/>
      <c r="N1355" s="45"/>
      <c r="O1355" s="21"/>
      <c r="P1355" s="21"/>
      <c r="Q1355" s="21"/>
      <c r="R1355" s="25" t="str">
        <f t="shared" si="21"/>
        <v/>
      </c>
    </row>
    <row r="1356" spans="1:18">
      <c r="A1356" s="28"/>
      <c r="B1356" s="48"/>
      <c r="C1356" s="48"/>
      <c r="D1356" s="21"/>
      <c r="E1356" s="21"/>
      <c r="F1356" s="21"/>
      <c r="G1356" s="21"/>
      <c r="H1356" s="21"/>
      <c r="I1356" s="21"/>
      <c r="J1356" s="45"/>
      <c r="K1356" s="45"/>
      <c r="L1356" s="45"/>
      <c r="M1356" s="45"/>
      <c r="N1356" s="45"/>
      <c r="O1356" s="21"/>
      <c r="P1356" s="21"/>
      <c r="Q1356" s="21"/>
      <c r="R1356" s="25" t="str">
        <f t="shared" si="21"/>
        <v/>
      </c>
    </row>
    <row r="1357" spans="1:18">
      <c r="A1357" s="28"/>
      <c r="B1357" s="48"/>
      <c r="C1357" s="48"/>
      <c r="D1357" s="21"/>
      <c r="E1357" s="21"/>
      <c r="F1357" s="21"/>
      <c r="G1357" s="21"/>
      <c r="H1357" s="21"/>
      <c r="I1357" s="21"/>
      <c r="J1357" s="45"/>
      <c r="K1357" s="45"/>
      <c r="L1357" s="45"/>
      <c r="M1357" s="45"/>
      <c r="N1357" s="45"/>
      <c r="O1357" s="21"/>
      <c r="P1357" s="21"/>
      <c r="Q1357" s="21"/>
      <c r="R1357" s="25" t="str">
        <f t="shared" si="21"/>
        <v/>
      </c>
    </row>
    <row r="1358" spans="1:18">
      <c r="A1358" s="28"/>
      <c r="B1358" s="48"/>
      <c r="C1358" s="48"/>
      <c r="D1358" s="21"/>
      <c r="E1358" s="21"/>
      <c r="F1358" s="21"/>
      <c r="G1358" s="21"/>
      <c r="H1358" s="21"/>
      <c r="I1358" s="21"/>
      <c r="J1358" s="45"/>
      <c r="K1358" s="45"/>
      <c r="L1358" s="45"/>
      <c r="M1358" s="45"/>
      <c r="N1358" s="45"/>
      <c r="O1358" s="21"/>
      <c r="P1358" s="21"/>
      <c r="Q1358" s="21"/>
      <c r="R1358" s="25" t="str">
        <f t="shared" si="21"/>
        <v/>
      </c>
    </row>
    <row r="1359" spans="1:18">
      <c r="A1359" s="28"/>
      <c r="B1359" s="48"/>
      <c r="C1359" s="48"/>
      <c r="D1359" s="21"/>
      <c r="E1359" s="21"/>
      <c r="F1359" s="21"/>
      <c r="G1359" s="21"/>
      <c r="H1359" s="21"/>
      <c r="I1359" s="21"/>
      <c r="J1359" s="45"/>
      <c r="K1359" s="45"/>
      <c r="L1359" s="45"/>
      <c r="M1359" s="45"/>
      <c r="N1359" s="45"/>
      <c r="O1359" s="21"/>
      <c r="P1359" s="21"/>
      <c r="Q1359" s="21"/>
      <c r="R1359" s="25" t="str">
        <f t="shared" si="21"/>
        <v/>
      </c>
    </row>
    <row r="1360" spans="1:18">
      <c r="A1360" s="28"/>
      <c r="B1360" s="48"/>
      <c r="C1360" s="48"/>
      <c r="D1360" s="21"/>
      <c r="E1360" s="21"/>
      <c r="F1360" s="21"/>
      <c r="G1360" s="21"/>
      <c r="H1360" s="21"/>
      <c r="I1360" s="21"/>
      <c r="J1360" s="45"/>
      <c r="K1360" s="45"/>
      <c r="L1360" s="45"/>
      <c r="M1360" s="45"/>
      <c r="N1360" s="45"/>
      <c r="O1360" s="21"/>
      <c r="P1360" s="21"/>
      <c r="Q1360" s="21"/>
      <c r="R1360" s="25" t="str">
        <f t="shared" si="21"/>
        <v/>
      </c>
    </row>
    <row r="1361" spans="1:18">
      <c r="A1361" s="28"/>
      <c r="B1361" s="48"/>
      <c r="C1361" s="48"/>
      <c r="D1361" s="21"/>
      <c r="E1361" s="21"/>
      <c r="F1361" s="21"/>
      <c r="G1361" s="21"/>
      <c r="H1361" s="21"/>
      <c r="I1361" s="21"/>
      <c r="J1361" s="45"/>
      <c r="K1361" s="45"/>
      <c r="L1361" s="45"/>
      <c r="M1361" s="45"/>
      <c r="N1361" s="45"/>
      <c r="O1361" s="21"/>
      <c r="P1361" s="21"/>
      <c r="Q1361" s="21"/>
      <c r="R1361" s="25" t="str">
        <f t="shared" si="21"/>
        <v/>
      </c>
    </row>
    <row r="1362" spans="1:18">
      <c r="A1362" s="28"/>
      <c r="B1362" s="48"/>
      <c r="C1362" s="48"/>
      <c r="D1362" s="21"/>
      <c r="E1362" s="21"/>
      <c r="F1362" s="21"/>
      <c r="G1362" s="21"/>
      <c r="H1362" s="21"/>
      <c r="I1362" s="21"/>
      <c r="J1362" s="45"/>
      <c r="K1362" s="45"/>
      <c r="L1362" s="45"/>
      <c r="M1362" s="45"/>
      <c r="N1362" s="45"/>
      <c r="O1362" s="21"/>
      <c r="P1362" s="21"/>
      <c r="Q1362" s="21"/>
      <c r="R1362" s="25" t="str">
        <f t="shared" si="21"/>
        <v/>
      </c>
    </row>
    <row r="1363" spans="1:18">
      <c r="A1363" s="28"/>
      <c r="B1363" s="48"/>
      <c r="C1363" s="48"/>
      <c r="D1363" s="21"/>
      <c r="E1363" s="21"/>
      <c r="F1363" s="21"/>
      <c r="G1363" s="21"/>
      <c r="H1363" s="21"/>
      <c r="I1363" s="21"/>
      <c r="J1363" s="45"/>
      <c r="K1363" s="45"/>
      <c r="L1363" s="45"/>
      <c r="M1363" s="45"/>
      <c r="N1363" s="45"/>
      <c r="O1363" s="21"/>
      <c r="P1363" s="21"/>
      <c r="Q1363" s="21"/>
      <c r="R1363" s="25" t="str">
        <f t="shared" si="21"/>
        <v/>
      </c>
    </row>
    <row r="1364" spans="1:18">
      <c r="A1364" s="28"/>
      <c r="B1364" s="48"/>
      <c r="C1364" s="48"/>
      <c r="D1364" s="21"/>
      <c r="E1364" s="21"/>
      <c r="F1364" s="21"/>
      <c r="G1364" s="21"/>
      <c r="H1364" s="21"/>
      <c r="I1364" s="21"/>
      <c r="J1364" s="45"/>
      <c r="K1364" s="45"/>
      <c r="L1364" s="45"/>
      <c r="M1364" s="45"/>
      <c r="N1364" s="45"/>
      <c r="O1364" s="21"/>
      <c r="P1364" s="21"/>
      <c r="Q1364" s="21"/>
      <c r="R1364" s="25" t="str">
        <f t="shared" si="21"/>
        <v/>
      </c>
    </row>
    <row r="1365" spans="1:18">
      <c r="A1365" s="28"/>
      <c r="B1365" s="48"/>
      <c r="C1365" s="48"/>
      <c r="D1365" s="21"/>
      <c r="E1365" s="21"/>
      <c r="F1365" s="21"/>
      <c r="G1365" s="21"/>
      <c r="H1365" s="21"/>
      <c r="I1365" s="21"/>
      <c r="J1365" s="45"/>
      <c r="K1365" s="45"/>
      <c r="L1365" s="45"/>
      <c r="M1365" s="45"/>
      <c r="N1365" s="45"/>
      <c r="O1365" s="21"/>
      <c r="P1365" s="21"/>
      <c r="Q1365" s="21"/>
      <c r="R1365" s="25" t="str">
        <f t="shared" si="21"/>
        <v/>
      </c>
    </row>
    <row r="1366" spans="1:18">
      <c r="A1366" s="28"/>
      <c r="B1366" s="48"/>
      <c r="C1366" s="48"/>
      <c r="D1366" s="21"/>
      <c r="E1366" s="21"/>
      <c r="F1366" s="21"/>
      <c r="G1366" s="21"/>
      <c r="H1366" s="21"/>
      <c r="I1366" s="21"/>
      <c r="J1366" s="45"/>
      <c r="K1366" s="45"/>
      <c r="L1366" s="45"/>
      <c r="M1366" s="45"/>
      <c r="N1366" s="45"/>
      <c r="O1366" s="21"/>
      <c r="P1366" s="21"/>
      <c r="Q1366" s="21"/>
      <c r="R1366" s="25" t="str">
        <f t="shared" si="21"/>
        <v/>
      </c>
    </row>
    <row r="1367" spans="1:18">
      <c r="A1367" s="28"/>
      <c r="B1367" s="48"/>
      <c r="C1367" s="48"/>
      <c r="D1367" s="21"/>
      <c r="E1367" s="21"/>
      <c r="F1367" s="21"/>
      <c r="G1367" s="21"/>
      <c r="H1367" s="21"/>
      <c r="I1367" s="21"/>
      <c r="J1367" s="45"/>
      <c r="K1367" s="45"/>
      <c r="L1367" s="45"/>
      <c r="M1367" s="45"/>
      <c r="N1367" s="45"/>
      <c r="O1367" s="21"/>
      <c r="P1367" s="21"/>
      <c r="Q1367" s="21"/>
      <c r="R1367" s="25" t="str">
        <f t="shared" si="21"/>
        <v/>
      </c>
    </row>
    <row r="1368" spans="1:18">
      <c r="A1368" s="28"/>
      <c r="B1368" s="48"/>
      <c r="C1368" s="48"/>
      <c r="D1368" s="21"/>
      <c r="E1368" s="21"/>
      <c r="F1368" s="21"/>
      <c r="G1368" s="21"/>
      <c r="H1368" s="21"/>
      <c r="I1368" s="21"/>
      <c r="J1368" s="45"/>
      <c r="K1368" s="45"/>
      <c r="L1368" s="45"/>
      <c r="M1368" s="45"/>
      <c r="N1368" s="45"/>
      <c r="O1368" s="21"/>
      <c r="P1368" s="21"/>
      <c r="Q1368" s="21"/>
      <c r="R1368" s="25" t="str">
        <f t="shared" si="21"/>
        <v/>
      </c>
    </row>
    <row r="1369" spans="1:18">
      <c r="A1369" s="28"/>
      <c r="B1369" s="48"/>
      <c r="C1369" s="48"/>
      <c r="D1369" s="21"/>
      <c r="E1369" s="21"/>
      <c r="F1369" s="21"/>
      <c r="G1369" s="21"/>
      <c r="H1369" s="21"/>
      <c r="I1369" s="21"/>
      <c r="J1369" s="45"/>
      <c r="K1369" s="45"/>
      <c r="L1369" s="45"/>
      <c r="M1369" s="45"/>
      <c r="N1369" s="45"/>
      <c r="O1369" s="21"/>
      <c r="P1369" s="21"/>
      <c r="Q1369" s="21"/>
      <c r="R1369" s="25" t="str">
        <f t="shared" si="21"/>
        <v/>
      </c>
    </row>
    <row r="1370" spans="1:18">
      <c r="A1370" s="28"/>
      <c r="B1370" s="48"/>
      <c r="C1370" s="48"/>
      <c r="D1370" s="21"/>
      <c r="E1370" s="21"/>
      <c r="F1370" s="21"/>
      <c r="G1370" s="21"/>
      <c r="H1370" s="21"/>
      <c r="I1370" s="21"/>
      <c r="J1370" s="45"/>
      <c r="K1370" s="45"/>
      <c r="L1370" s="45"/>
      <c r="M1370" s="45"/>
      <c r="N1370" s="45"/>
      <c r="O1370" s="21"/>
      <c r="P1370" s="21"/>
      <c r="Q1370" s="21"/>
      <c r="R1370" s="25" t="str">
        <f t="shared" si="21"/>
        <v/>
      </c>
    </row>
    <row r="1371" spans="1:18">
      <c r="A1371" s="28"/>
      <c r="B1371" s="48"/>
      <c r="C1371" s="48"/>
      <c r="D1371" s="21"/>
      <c r="E1371" s="21"/>
      <c r="F1371" s="21"/>
      <c r="G1371" s="21"/>
      <c r="H1371" s="21"/>
      <c r="I1371" s="21"/>
      <c r="J1371" s="45"/>
      <c r="K1371" s="45"/>
      <c r="L1371" s="45"/>
      <c r="M1371" s="45"/>
      <c r="N1371" s="45"/>
      <c r="O1371" s="21"/>
      <c r="P1371" s="21"/>
      <c r="Q1371" s="21"/>
      <c r="R1371" s="25" t="str">
        <f t="shared" si="21"/>
        <v/>
      </c>
    </row>
    <row r="1372" spans="1:18">
      <c r="A1372" s="28"/>
      <c r="B1372" s="48"/>
      <c r="C1372" s="48"/>
      <c r="D1372" s="21"/>
      <c r="E1372" s="21"/>
      <c r="F1372" s="21"/>
      <c r="G1372" s="21"/>
      <c r="H1372" s="21"/>
      <c r="I1372" s="21"/>
      <c r="J1372" s="45"/>
      <c r="K1372" s="45"/>
      <c r="L1372" s="45"/>
      <c r="M1372" s="45"/>
      <c r="N1372" s="45"/>
      <c r="O1372" s="21"/>
      <c r="P1372" s="21"/>
      <c r="Q1372" s="21"/>
      <c r="R1372" s="25" t="str">
        <f t="shared" si="21"/>
        <v/>
      </c>
    </row>
    <row r="1373" spans="1:18">
      <c r="A1373" s="28"/>
      <c r="B1373" s="48"/>
      <c r="C1373" s="48"/>
      <c r="D1373" s="21"/>
      <c r="E1373" s="21"/>
      <c r="F1373" s="21"/>
      <c r="G1373" s="21"/>
      <c r="H1373" s="21"/>
      <c r="I1373" s="21"/>
      <c r="J1373" s="45"/>
      <c r="K1373" s="45"/>
      <c r="L1373" s="45"/>
      <c r="M1373" s="45"/>
      <c r="N1373" s="45"/>
      <c r="O1373" s="21"/>
      <c r="P1373" s="21"/>
      <c r="Q1373" s="21"/>
      <c r="R1373" s="25" t="str">
        <f t="shared" si="21"/>
        <v/>
      </c>
    </row>
    <row r="1374" spans="1:18">
      <c r="A1374" s="28"/>
      <c r="B1374" s="48"/>
      <c r="C1374" s="48"/>
      <c r="D1374" s="21"/>
      <c r="E1374" s="21"/>
      <c r="F1374" s="21"/>
      <c r="G1374" s="21"/>
      <c r="H1374" s="21"/>
      <c r="I1374" s="21"/>
      <c r="J1374" s="45"/>
      <c r="K1374" s="45"/>
      <c r="L1374" s="45"/>
      <c r="M1374" s="45"/>
      <c r="N1374" s="45"/>
      <c r="O1374" s="21"/>
      <c r="P1374" s="21"/>
      <c r="Q1374" s="21"/>
      <c r="R1374" s="25" t="str">
        <f t="shared" si="21"/>
        <v/>
      </c>
    </row>
    <row r="1375" spans="1:18">
      <c r="A1375" s="28"/>
      <c r="B1375" s="48"/>
      <c r="C1375" s="48"/>
      <c r="D1375" s="21"/>
      <c r="E1375" s="21"/>
      <c r="F1375" s="21"/>
      <c r="G1375" s="21"/>
      <c r="H1375" s="21"/>
      <c r="I1375" s="21"/>
      <c r="J1375" s="45"/>
      <c r="K1375" s="45"/>
      <c r="L1375" s="45"/>
      <c r="M1375" s="45"/>
      <c r="N1375" s="45"/>
      <c r="O1375" s="21"/>
      <c r="P1375" s="21"/>
      <c r="Q1375" s="21"/>
      <c r="R1375" s="25" t="str">
        <f t="shared" si="21"/>
        <v/>
      </c>
    </row>
    <row r="1376" spans="1:18">
      <c r="A1376" s="28"/>
      <c r="B1376" s="48"/>
      <c r="C1376" s="48"/>
      <c r="D1376" s="21"/>
      <c r="E1376" s="21"/>
      <c r="F1376" s="21"/>
      <c r="G1376" s="21"/>
      <c r="H1376" s="21"/>
      <c r="I1376" s="21"/>
      <c r="J1376" s="45"/>
      <c r="K1376" s="45"/>
      <c r="L1376" s="45"/>
      <c r="M1376" s="45"/>
      <c r="N1376" s="45"/>
      <c r="O1376" s="21"/>
      <c r="P1376" s="21"/>
      <c r="Q1376" s="21"/>
      <c r="R1376" s="25" t="str">
        <f t="shared" si="21"/>
        <v/>
      </c>
    </row>
    <row r="1377" spans="1:18">
      <c r="A1377" s="28"/>
      <c r="B1377" s="48"/>
      <c r="C1377" s="48"/>
      <c r="D1377" s="21"/>
      <c r="E1377" s="21"/>
      <c r="F1377" s="21"/>
      <c r="G1377" s="21"/>
      <c r="H1377" s="21"/>
      <c r="I1377" s="21"/>
      <c r="J1377" s="45"/>
      <c r="K1377" s="45"/>
      <c r="L1377" s="45"/>
      <c r="M1377" s="45"/>
      <c r="N1377" s="45"/>
      <c r="O1377" s="21"/>
      <c r="P1377" s="21"/>
      <c r="Q1377" s="21"/>
      <c r="R1377" s="25" t="str">
        <f t="shared" si="21"/>
        <v/>
      </c>
    </row>
    <row r="1378" spans="1:18">
      <c r="A1378" s="28"/>
      <c r="B1378" s="48"/>
      <c r="C1378" s="48"/>
      <c r="D1378" s="21"/>
      <c r="E1378" s="21"/>
      <c r="F1378" s="21"/>
      <c r="G1378" s="21"/>
      <c r="H1378" s="21"/>
      <c r="I1378" s="21"/>
      <c r="J1378" s="45"/>
      <c r="K1378" s="45"/>
      <c r="L1378" s="45"/>
      <c r="M1378" s="45"/>
      <c r="N1378" s="45"/>
      <c r="O1378" s="21"/>
      <c r="P1378" s="21"/>
      <c r="Q1378" s="21"/>
      <c r="R1378" s="25" t="str">
        <f t="shared" si="21"/>
        <v/>
      </c>
    </row>
    <row r="1379" spans="1:18">
      <c r="A1379" s="28"/>
      <c r="B1379" s="48"/>
      <c r="C1379" s="48"/>
      <c r="D1379" s="21"/>
      <c r="E1379" s="21"/>
      <c r="F1379" s="21"/>
      <c r="G1379" s="21"/>
      <c r="H1379" s="21"/>
      <c r="I1379" s="21"/>
      <c r="J1379" s="45"/>
      <c r="K1379" s="45"/>
      <c r="L1379" s="45"/>
      <c r="M1379" s="45"/>
      <c r="N1379" s="45"/>
      <c r="O1379" s="21"/>
      <c r="P1379" s="21"/>
      <c r="Q1379" s="21"/>
      <c r="R1379" s="25" t="str">
        <f t="shared" si="21"/>
        <v/>
      </c>
    </row>
    <row r="1380" spans="1:18">
      <c r="A1380" s="28"/>
      <c r="B1380" s="48"/>
      <c r="C1380" s="48"/>
      <c r="D1380" s="21"/>
      <c r="E1380" s="21"/>
      <c r="F1380" s="21"/>
      <c r="G1380" s="21"/>
      <c r="H1380" s="21"/>
      <c r="I1380" s="21"/>
      <c r="J1380" s="45"/>
      <c r="K1380" s="45"/>
      <c r="L1380" s="45"/>
      <c r="M1380" s="45"/>
      <c r="N1380" s="45"/>
      <c r="O1380" s="21"/>
      <c r="P1380" s="21"/>
      <c r="Q1380" s="21"/>
      <c r="R1380" s="25" t="str">
        <f t="shared" si="21"/>
        <v/>
      </c>
    </row>
    <row r="1381" spans="1:18">
      <c r="A1381" s="28"/>
      <c r="B1381" s="48"/>
      <c r="C1381" s="48"/>
      <c r="D1381" s="21"/>
      <c r="E1381" s="21"/>
      <c r="F1381" s="21"/>
      <c r="G1381" s="21"/>
      <c r="H1381" s="21"/>
      <c r="I1381" s="21"/>
      <c r="J1381" s="45"/>
      <c r="K1381" s="45"/>
      <c r="L1381" s="45"/>
      <c r="M1381" s="45"/>
      <c r="N1381" s="45"/>
      <c r="O1381" s="21"/>
      <c r="P1381" s="21"/>
      <c r="Q1381" s="21"/>
      <c r="R1381" s="25" t="str">
        <f t="shared" si="21"/>
        <v/>
      </c>
    </row>
    <row r="1382" spans="1:18">
      <c r="A1382" s="28"/>
      <c r="B1382" s="48"/>
      <c r="C1382" s="48"/>
      <c r="D1382" s="21"/>
      <c r="E1382" s="21"/>
      <c r="F1382" s="21"/>
      <c r="G1382" s="21"/>
      <c r="H1382" s="21"/>
      <c r="I1382" s="21"/>
      <c r="J1382" s="45"/>
      <c r="K1382" s="45"/>
      <c r="L1382" s="45"/>
      <c r="M1382" s="45"/>
      <c r="N1382" s="45"/>
      <c r="O1382" s="21"/>
      <c r="P1382" s="21"/>
      <c r="Q1382" s="21"/>
      <c r="R1382" s="25" t="str">
        <f t="shared" si="21"/>
        <v/>
      </c>
    </row>
    <row r="1383" spans="1:18">
      <c r="A1383" s="28"/>
      <c r="B1383" s="48"/>
      <c r="C1383" s="48"/>
      <c r="D1383" s="21"/>
      <c r="E1383" s="21"/>
      <c r="F1383" s="21"/>
      <c r="G1383" s="21"/>
      <c r="H1383" s="21"/>
      <c r="I1383" s="21"/>
      <c r="J1383" s="45"/>
      <c r="K1383" s="45"/>
      <c r="L1383" s="45"/>
      <c r="M1383" s="45"/>
      <c r="N1383" s="45"/>
      <c r="O1383" s="21"/>
      <c r="P1383" s="21"/>
      <c r="Q1383" s="21"/>
      <c r="R1383" s="25" t="str">
        <f t="shared" si="21"/>
        <v/>
      </c>
    </row>
    <row r="1384" spans="1:18">
      <c r="A1384" s="28"/>
      <c r="B1384" s="48"/>
      <c r="C1384" s="48"/>
      <c r="D1384" s="21"/>
      <c r="E1384" s="21"/>
      <c r="F1384" s="21"/>
      <c r="G1384" s="21"/>
      <c r="H1384" s="21"/>
      <c r="I1384" s="21"/>
      <c r="J1384" s="45"/>
      <c r="K1384" s="45"/>
      <c r="L1384" s="45"/>
      <c r="M1384" s="45"/>
      <c r="N1384" s="45"/>
      <c r="O1384" s="21"/>
      <c r="P1384" s="21"/>
      <c r="Q1384" s="21"/>
      <c r="R1384" s="25" t="str">
        <f t="shared" si="21"/>
        <v/>
      </c>
    </row>
    <row r="1385" spans="1:18">
      <c r="A1385" s="28"/>
      <c r="B1385" s="48"/>
      <c r="C1385" s="48"/>
      <c r="D1385" s="21"/>
      <c r="E1385" s="21"/>
      <c r="F1385" s="21"/>
      <c r="G1385" s="21"/>
      <c r="H1385" s="21"/>
      <c r="I1385" s="21"/>
      <c r="J1385" s="45"/>
      <c r="K1385" s="45"/>
      <c r="L1385" s="45"/>
      <c r="M1385" s="45"/>
      <c r="N1385" s="45"/>
      <c r="O1385" s="21"/>
      <c r="P1385" s="21"/>
      <c r="Q1385" s="21"/>
      <c r="R1385" s="25" t="str">
        <f t="shared" si="21"/>
        <v/>
      </c>
    </row>
    <row r="1386" spans="1:18">
      <c r="A1386" s="28"/>
      <c r="B1386" s="48"/>
      <c r="C1386" s="48"/>
      <c r="D1386" s="21"/>
      <c r="E1386" s="21"/>
      <c r="F1386" s="21"/>
      <c r="G1386" s="21"/>
      <c r="H1386" s="21"/>
      <c r="I1386" s="21"/>
      <c r="J1386" s="45"/>
      <c r="K1386" s="45"/>
      <c r="L1386" s="45"/>
      <c r="M1386" s="45"/>
      <c r="N1386" s="45"/>
      <c r="O1386" s="21"/>
      <c r="P1386" s="21"/>
      <c r="Q1386" s="21"/>
      <c r="R1386" s="25" t="str">
        <f t="shared" si="21"/>
        <v/>
      </c>
    </row>
    <row r="1387" spans="1:18">
      <c r="A1387" s="28"/>
      <c r="B1387" s="48"/>
      <c r="C1387" s="48"/>
      <c r="D1387" s="21"/>
      <c r="E1387" s="21"/>
      <c r="F1387" s="21"/>
      <c r="G1387" s="21"/>
      <c r="H1387" s="21"/>
      <c r="I1387" s="21"/>
      <c r="J1387" s="45"/>
      <c r="K1387" s="45"/>
      <c r="L1387" s="45"/>
      <c r="M1387" s="45"/>
      <c r="N1387" s="45"/>
      <c r="O1387" s="21"/>
      <c r="P1387" s="21"/>
      <c r="Q1387" s="21"/>
      <c r="R1387" s="25" t="str">
        <f t="shared" si="21"/>
        <v/>
      </c>
    </row>
    <row r="1388" spans="1:18">
      <c r="A1388" s="28"/>
      <c r="B1388" s="48"/>
      <c r="C1388" s="48"/>
      <c r="D1388" s="21"/>
      <c r="E1388" s="21"/>
      <c r="F1388" s="21"/>
      <c r="G1388" s="21"/>
      <c r="H1388" s="21"/>
      <c r="I1388" s="21"/>
      <c r="J1388" s="45"/>
      <c r="K1388" s="45"/>
      <c r="L1388" s="45"/>
      <c r="M1388" s="45"/>
      <c r="N1388" s="45"/>
      <c r="O1388" s="21"/>
      <c r="P1388" s="21"/>
      <c r="Q1388" s="21"/>
      <c r="R1388" s="25" t="str">
        <f t="shared" si="21"/>
        <v/>
      </c>
    </row>
    <row r="1389" spans="1:18">
      <c r="A1389" s="28"/>
      <c r="B1389" s="48"/>
      <c r="C1389" s="48"/>
      <c r="D1389" s="21"/>
      <c r="E1389" s="21"/>
      <c r="F1389" s="21"/>
      <c r="G1389" s="21"/>
      <c r="H1389" s="21"/>
      <c r="I1389" s="21"/>
      <c r="J1389" s="45"/>
      <c r="K1389" s="45"/>
      <c r="L1389" s="45"/>
      <c r="M1389" s="45"/>
      <c r="N1389" s="45"/>
      <c r="O1389" s="21"/>
      <c r="P1389" s="21"/>
      <c r="Q1389" s="21"/>
      <c r="R1389" s="25" t="str">
        <f t="shared" si="21"/>
        <v/>
      </c>
    </row>
    <row r="1390" spans="1:18">
      <c r="A1390" s="28"/>
      <c r="B1390" s="48"/>
      <c r="C1390" s="48"/>
      <c r="D1390" s="21"/>
      <c r="E1390" s="21"/>
      <c r="F1390" s="21"/>
      <c r="G1390" s="21"/>
      <c r="H1390" s="21"/>
      <c r="I1390" s="21"/>
      <c r="J1390" s="45"/>
      <c r="K1390" s="45"/>
      <c r="L1390" s="45"/>
      <c r="M1390" s="45"/>
      <c r="N1390" s="45"/>
      <c r="O1390" s="21"/>
      <c r="P1390" s="21"/>
      <c r="Q1390" s="21"/>
      <c r="R1390" s="25" t="str">
        <f t="shared" si="21"/>
        <v/>
      </c>
    </row>
    <row r="1391" spans="1:18">
      <c r="A1391" s="28"/>
      <c r="B1391" s="48"/>
      <c r="C1391" s="48"/>
      <c r="D1391" s="21"/>
      <c r="E1391" s="21"/>
      <c r="F1391" s="21"/>
      <c r="G1391" s="21"/>
      <c r="H1391" s="21"/>
      <c r="I1391" s="21"/>
      <c r="J1391" s="45"/>
      <c r="K1391" s="45"/>
      <c r="L1391" s="45"/>
      <c r="M1391" s="45"/>
      <c r="N1391" s="45"/>
      <c r="O1391" s="21"/>
      <c r="P1391" s="21"/>
      <c r="Q1391" s="21"/>
      <c r="R1391" s="25" t="str">
        <f t="shared" si="21"/>
        <v/>
      </c>
    </row>
    <row r="1392" spans="1:18">
      <c r="A1392" s="28"/>
      <c r="B1392" s="48"/>
      <c r="C1392" s="48"/>
      <c r="D1392" s="21"/>
      <c r="E1392" s="21"/>
      <c r="F1392" s="21"/>
      <c r="G1392" s="21"/>
      <c r="H1392" s="21"/>
      <c r="I1392" s="21"/>
      <c r="J1392" s="45"/>
      <c r="K1392" s="45"/>
      <c r="L1392" s="45"/>
      <c r="M1392" s="45"/>
      <c r="N1392" s="45"/>
      <c r="O1392" s="21"/>
      <c r="P1392" s="21"/>
      <c r="Q1392" s="21"/>
      <c r="R1392" s="25" t="str">
        <f t="shared" si="21"/>
        <v/>
      </c>
    </row>
    <row r="1393" spans="1:18">
      <c r="A1393" s="28"/>
      <c r="B1393" s="48"/>
      <c r="C1393" s="48"/>
      <c r="D1393" s="21"/>
      <c r="E1393" s="21"/>
      <c r="F1393" s="21"/>
      <c r="G1393" s="21"/>
      <c r="H1393" s="21"/>
      <c r="I1393" s="21"/>
      <c r="J1393" s="45"/>
      <c r="K1393" s="45"/>
      <c r="L1393" s="45"/>
      <c r="M1393" s="45"/>
      <c r="N1393" s="45"/>
      <c r="O1393" s="21"/>
      <c r="P1393" s="21"/>
      <c r="Q1393" s="21"/>
      <c r="R1393" s="25" t="str">
        <f t="shared" si="21"/>
        <v/>
      </c>
    </row>
    <row r="1394" spans="1:18">
      <c r="A1394" s="28"/>
      <c r="B1394" s="48"/>
      <c r="C1394" s="48"/>
      <c r="D1394" s="21"/>
      <c r="E1394" s="21"/>
      <c r="F1394" s="21"/>
      <c r="G1394" s="21"/>
      <c r="H1394" s="21"/>
      <c r="I1394" s="21"/>
      <c r="J1394" s="45"/>
      <c r="K1394" s="45"/>
      <c r="L1394" s="45"/>
      <c r="M1394" s="45"/>
      <c r="N1394" s="45"/>
      <c r="O1394" s="21"/>
      <c r="P1394" s="21"/>
      <c r="Q1394" s="21"/>
      <c r="R1394" s="25" t="str">
        <f t="shared" si="21"/>
        <v/>
      </c>
    </row>
    <row r="1395" spans="1:18">
      <c r="A1395" s="28"/>
      <c r="B1395" s="48"/>
      <c r="C1395" s="48"/>
      <c r="D1395" s="21"/>
      <c r="E1395" s="21"/>
      <c r="F1395" s="21"/>
      <c r="G1395" s="21"/>
      <c r="H1395" s="21"/>
      <c r="I1395" s="21"/>
      <c r="J1395" s="45"/>
      <c r="K1395" s="45"/>
      <c r="L1395" s="45"/>
      <c r="M1395" s="45"/>
      <c r="N1395" s="45"/>
      <c r="O1395" s="21"/>
      <c r="P1395" s="21"/>
      <c r="Q1395" s="21"/>
      <c r="R1395" s="25" t="str">
        <f t="shared" ref="R1395:R1458" si="22">IF(COUNTIF($A$17:$A$2010,$A1395)&gt;1,"Possible Duplicate","")</f>
        <v/>
      </c>
    </row>
    <row r="1396" spans="1:18">
      <c r="A1396" s="28"/>
      <c r="B1396" s="48"/>
      <c r="C1396" s="48"/>
      <c r="D1396" s="21"/>
      <c r="E1396" s="21"/>
      <c r="F1396" s="21"/>
      <c r="G1396" s="21"/>
      <c r="H1396" s="21"/>
      <c r="I1396" s="21"/>
      <c r="J1396" s="45"/>
      <c r="K1396" s="45"/>
      <c r="L1396" s="45"/>
      <c r="M1396" s="45"/>
      <c r="N1396" s="45"/>
      <c r="O1396" s="21"/>
      <c r="P1396" s="21"/>
      <c r="Q1396" s="21"/>
      <c r="R1396" s="25" t="str">
        <f t="shared" si="22"/>
        <v/>
      </c>
    </row>
    <row r="1397" spans="1:18">
      <c r="A1397" s="28"/>
      <c r="B1397" s="48"/>
      <c r="C1397" s="48"/>
      <c r="D1397" s="21"/>
      <c r="E1397" s="21"/>
      <c r="F1397" s="21"/>
      <c r="G1397" s="21"/>
      <c r="H1397" s="21"/>
      <c r="I1397" s="21"/>
      <c r="J1397" s="45"/>
      <c r="K1397" s="45"/>
      <c r="L1397" s="45"/>
      <c r="M1397" s="45"/>
      <c r="N1397" s="45"/>
      <c r="O1397" s="21"/>
      <c r="P1397" s="21"/>
      <c r="Q1397" s="21"/>
      <c r="R1397" s="25" t="str">
        <f t="shared" si="22"/>
        <v/>
      </c>
    </row>
    <row r="1398" spans="1:18">
      <c r="A1398" s="28"/>
      <c r="B1398" s="48"/>
      <c r="C1398" s="48"/>
      <c r="D1398" s="21"/>
      <c r="E1398" s="21"/>
      <c r="F1398" s="21"/>
      <c r="G1398" s="21"/>
      <c r="H1398" s="21"/>
      <c r="I1398" s="21"/>
      <c r="J1398" s="45"/>
      <c r="K1398" s="45"/>
      <c r="L1398" s="45"/>
      <c r="M1398" s="45"/>
      <c r="N1398" s="45"/>
      <c r="O1398" s="21"/>
      <c r="P1398" s="21"/>
      <c r="Q1398" s="21"/>
      <c r="R1398" s="25" t="str">
        <f t="shared" si="22"/>
        <v/>
      </c>
    </row>
    <row r="1399" spans="1:18">
      <c r="A1399" s="28"/>
      <c r="B1399" s="48"/>
      <c r="C1399" s="48"/>
      <c r="D1399" s="21"/>
      <c r="E1399" s="21"/>
      <c r="F1399" s="21"/>
      <c r="G1399" s="21"/>
      <c r="H1399" s="21"/>
      <c r="I1399" s="21"/>
      <c r="J1399" s="45"/>
      <c r="K1399" s="45"/>
      <c r="L1399" s="45"/>
      <c r="M1399" s="45"/>
      <c r="N1399" s="45"/>
      <c r="O1399" s="21"/>
      <c r="P1399" s="21"/>
      <c r="Q1399" s="21"/>
      <c r="R1399" s="25" t="str">
        <f t="shared" si="22"/>
        <v/>
      </c>
    </row>
    <row r="1400" spans="1:18">
      <c r="A1400" s="28"/>
      <c r="B1400" s="48"/>
      <c r="C1400" s="48"/>
      <c r="D1400" s="21"/>
      <c r="E1400" s="21"/>
      <c r="F1400" s="21"/>
      <c r="G1400" s="21"/>
      <c r="H1400" s="21"/>
      <c r="I1400" s="21"/>
      <c r="J1400" s="45"/>
      <c r="K1400" s="45"/>
      <c r="L1400" s="45"/>
      <c r="M1400" s="45"/>
      <c r="N1400" s="45"/>
      <c r="O1400" s="21"/>
      <c r="P1400" s="21"/>
      <c r="Q1400" s="21"/>
      <c r="R1400" s="25" t="str">
        <f t="shared" si="22"/>
        <v/>
      </c>
    </row>
    <row r="1401" spans="1:18">
      <c r="A1401" s="28"/>
      <c r="B1401" s="48"/>
      <c r="C1401" s="48"/>
      <c r="D1401" s="21"/>
      <c r="E1401" s="21"/>
      <c r="F1401" s="21"/>
      <c r="G1401" s="21"/>
      <c r="H1401" s="21"/>
      <c r="I1401" s="21"/>
      <c r="J1401" s="45"/>
      <c r="K1401" s="45"/>
      <c r="L1401" s="45"/>
      <c r="M1401" s="45"/>
      <c r="N1401" s="45"/>
      <c r="O1401" s="21"/>
      <c r="P1401" s="21"/>
      <c r="Q1401" s="21"/>
      <c r="R1401" s="25" t="str">
        <f t="shared" si="22"/>
        <v/>
      </c>
    </row>
    <row r="1402" spans="1:18">
      <c r="A1402" s="28"/>
      <c r="B1402" s="48"/>
      <c r="C1402" s="48"/>
      <c r="D1402" s="21"/>
      <c r="E1402" s="21"/>
      <c r="F1402" s="21"/>
      <c r="G1402" s="21"/>
      <c r="H1402" s="21"/>
      <c r="I1402" s="21"/>
      <c r="J1402" s="45"/>
      <c r="K1402" s="45"/>
      <c r="L1402" s="45"/>
      <c r="M1402" s="45"/>
      <c r="N1402" s="45"/>
      <c r="O1402" s="21"/>
      <c r="P1402" s="21"/>
      <c r="Q1402" s="21"/>
      <c r="R1402" s="25" t="str">
        <f t="shared" si="22"/>
        <v/>
      </c>
    </row>
    <row r="1403" spans="1:18">
      <c r="A1403" s="28"/>
      <c r="B1403" s="48"/>
      <c r="C1403" s="48"/>
      <c r="D1403" s="21"/>
      <c r="E1403" s="21"/>
      <c r="F1403" s="21"/>
      <c r="G1403" s="21"/>
      <c r="H1403" s="21"/>
      <c r="I1403" s="21"/>
      <c r="J1403" s="45"/>
      <c r="K1403" s="45"/>
      <c r="L1403" s="45"/>
      <c r="M1403" s="45"/>
      <c r="N1403" s="45"/>
      <c r="O1403" s="21"/>
      <c r="P1403" s="21"/>
      <c r="Q1403" s="21"/>
      <c r="R1403" s="25" t="str">
        <f t="shared" si="22"/>
        <v/>
      </c>
    </row>
    <row r="1404" spans="1:18">
      <c r="A1404" s="28"/>
      <c r="B1404" s="48"/>
      <c r="C1404" s="48"/>
      <c r="D1404" s="21"/>
      <c r="E1404" s="21"/>
      <c r="F1404" s="21"/>
      <c r="G1404" s="21"/>
      <c r="H1404" s="21"/>
      <c r="I1404" s="21"/>
      <c r="J1404" s="45"/>
      <c r="K1404" s="45"/>
      <c r="L1404" s="45"/>
      <c r="M1404" s="45"/>
      <c r="N1404" s="45"/>
      <c r="O1404" s="21"/>
      <c r="P1404" s="21"/>
      <c r="Q1404" s="21"/>
      <c r="R1404" s="25" t="str">
        <f t="shared" si="22"/>
        <v/>
      </c>
    </row>
    <row r="1405" spans="1:18">
      <c r="A1405" s="28"/>
      <c r="B1405" s="48"/>
      <c r="C1405" s="48"/>
      <c r="D1405" s="21"/>
      <c r="E1405" s="21"/>
      <c r="F1405" s="21"/>
      <c r="G1405" s="21"/>
      <c r="H1405" s="21"/>
      <c r="I1405" s="21"/>
      <c r="J1405" s="45"/>
      <c r="K1405" s="45"/>
      <c r="L1405" s="45"/>
      <c r="M1405" s="45"/>
      <c r="N1405" s="45"/>
      <c r="O1405" s="21"/>
      <c r="P1405" s="21"/>
      <c r="Q1405" s="21"/>
      <c r="R1405" s="25" t="str">
        <f t="shared" si="22"/>
        <v/>
      </c>
    </row>
    <row r="1406" spans="1:18">
      <c r="A1406" s="28"/>
      <c r="B1406" s="48"/>
      <c r="C1406" s="48"/>
      <c r="D1406" s="21"/>
      <c r="E1406" s="21"/>
      <c r="F1406" s="21"/>
      <c r="G1406" s="21"/>
      <c r="H1406" s="21"/>
      <c r="I1406" s="21"/>
      <c r="J1406" s="45"/>
      <c r="K1406" s="45"/>
      <c r="L1406" s="45"/>
      <c r="M1406" s="45"/>
      <c r="N1406" s="45"/>
      <c r="O1406" s="21"/>
      <c r="P1406" s="21"/>
      <c r="Q1406" s="21"/>
      <c r="R1406" s="25" t="str">
        <f t="shared" si="22"/>
        <v/>
      </c>
    </row>
    <row r="1407" spans="1:18">
      <c r="A1407" s="28"/>
      <c r="B1407" s="48"/>
      <c r="C1407" s="48"/>
      <c r="D1407" s="21"/>
      <c r="E1407" s="21"/>
      <c r="F1407" s="21"/>
      <c r="G1407" s="21"/>
      <c r="H1407" s="21"/>
      <c r="I1407" s="21"/>
      <c r="J1407" s="45"/>
      <c r="K1407" s="45"/>
      <c r="L1407" s="45"/>
      <c r="M1407" s="45"/>
      <c r="N1407" s="45"/>
      <c r="O1407" s="21"/>
      <c r="P1407" s="21"/>
      <c r="Q1407" s="21"/>
      <c r="R1407" s="25" t="str">
        <f t="shared" si="22"/>
        <v/>
      </c>
    </row>
    <row r="1408" spans="1:18">
      <c r="A1408" s="28"/>
      <c r="B1408" s="48"/>
      <c r="C1408" s="48"/>
      <c r="D1408" s="21"/>
      <c r="E1408" s="21"/>
      <c r="F1408" s="21"/>
      <c r="G1408" s="21"/>
      <c r="H1408" s="21"/>
      <c r="I1408" s="21"/>
      <c r="J1408" s="45"/>
      <c r="K1408" s="45"/>
      <c r="L1408" s="45"/>
      <c r="M1408" s="45"/>
      <c r="N1408" s="45"/>
      <c r="O1408" s="21"/>
      <c r="P1408" s="21"/>
      <c r="Q1408" s="21"/>
      <c r="R1408" s="25" t="str">
        <f t="shared" si="22"/>
        <v/>
      </c>
    </row>
    <row r="1409" spans="1:18">
      <c r="A1409" s="28"/>
      <c r="B1409" s="48"/>
      <c r="C1409" s="48"/>
      <c r="D1409" s="21"/>
      <c r="E1409" s="21"/>
      <c r="F1409" s="21"/>
      <c r="G1409" s="21"/>
      <c r="H1409" s="21"/>
      <c r="I1409" s="21"/>
      <c r="J1409" s="45"/>
      <c r="K1409" s="45"/>
      <c r="L1409" s="45"/>
      <c r="M1409" s="45"/>
      <c r="N1409" s="45"/>
      <c r="O1409" s="21"/>
      <c r="P1409" s="21"/>
      <c r="Q1409" s="21"/>
      <c r="R1409" s="25" t="str">
        <f t="shared" si="22"/>
        <v/>
      </c>
    </row>
    <row r="1410" spans="1:18">
      <c r="A1410" s="28"/>
      <c r="B1410" s="48"/>
      <c r="C1410" s="48"/>
      <c r="D1410" s="21"/>
      <c r="E1410" s="21"/>
      <c r="F1410" s="21"/>
      <c r="G1410" s="21"/>
      <c r="H1410" s="21"/>
      <c r="I1410" s="21"/>
      <c r="J1410" s="45"/>
      <c r="K1410" s="45"/>
      <c r="L1410" s="45"/>
      <c r="M1410" s="45"/>
      <c r="N1410" s="45"/>
      <c r="O1410" s="21"/>
      <c r="P1410" s="21"/>
      <c r="Q1410" s="21"/>
      <c r="R1410" s="25" t="str">
        <f t="shared" si="22"/>
        <v/>
      </c>
    </row>
    <row r="1411" spans="1:18">
      <c r="A1411" s="28"/>
      <c r="B1411" s="48"/>
      <c r="C1411" s="48"/>
      <c r="D1411" s="21"/>
      <c r="E1411" s="21"/>
      <c r="F1411" s="21"/>
      <c r="G1411" s="21"/>
      <c r="H1411" s="21"/>
      <c r="I1411" s="21"/>
      <c r="J1411" s="45"/>
      <c r="K1411" s="45"/>
      <c r="L1411" s="45"/>
      <c r="M1411" s="45"/>
      <c r="N1411" s="45"/>
      <c r="O1411" s="21"/>
      <c r="P1411" s="21"/>
      <c r="Q1411" s="21"/>
      <c r="R1411" s="25" t="str">
        <f t="shared" si="22"/>
        <v/>
      </c>
    </row>
    <row r="1412" spans="1:18">
      <c r="A1412" s="28"/>
      <c r="B1412" s="48"/>
      <c r="C1412" s="48"/>
      <c r="D1412" s="21"/>
      <c r="E1412" s="21"/>
      <c r="F1412" s="21"/>
      <c r="G1412" s="21"/>
      <c r="H1412" s="21"/>
      <c r="I1412" s="21"/>
      <c r="J1412" s="45"/>
      <c r="K1412" s="45"/>
      <c r="L1412" s="45"/>
      <c r="M1412" s="45"/>
      <c r="N1412" s="45"/>
      <c r="O1412" s="21"/>
      <c r="P1412" s="21"/>
      <c r="Q1412" s="21"/>
      <c r="R1412" s="25" t="str">
        <f t="shared" si="22"/>
        <v/>
      </c>
    </row>
    <row r="1413" spans="1:18">
      <c r="A1413" s="28"/>
      <c r="B1413" s="48"/>
      <c r="C1413" s="48"/>
      <c r="D1413" s="21"/>
      <c r="E1413" s="21"/>
      <c r="F1413" s="21"/>
      <c r="G1413" s="21"/>
      <c r="H1413" s="21"/>
      <c r="I1413" s="21"/>
      <c r="J1413" s="45"/>
      <c r="K1413" s="45"/>
      <c r="L1413" s="45"/>
      <c r="M1413" s="45"/>
      <c r="N1413" s="45"/>
      <c r="O1413" s="21"/>
      <c r="P1413" s="21"/>
      <c r="Q1413" s="21"/>
      <c r="R1413" s="25" t="str">
        <f t="shared" si="22"/>
        <v/>
      </c>
    </row>
    <row r="1414" spans="1:18">
      <c r="A1414" s="28"/>
      <c r="B1414" s="48"/>
      <c r="C1414" s="48"/>
      <c r="D1414" s="21"/>
      <c r="E1414" s="21"/>
      <c r="F1414" s="21"/>
      <c r="G1414" s="21"/>
      <c r="H1414" s="21"/>
      <c r="I1414" s="21"/>
      <c r="J1414" s="45"/>
      <c r="K1414" s="45"/>
      <c r="L1414" s="45"/>
      <c r="M1414" s="45"/>
      <c r="N1414" s="45"/>
      <c r="O1414" s="21"/>
      <c r="P1414" s="21"/>
      <c r="Q1414" s="21"/>
      <c r="R1414" s="25" t="str">
        <f t="shared" si="22"/>
        <v/>
      </c>
    </row>
    <row r="1415" spans="1:18">
      <c r="A1415" s="28"/>
      <c r="B1415" s="48"/>
      <c r="C1415" s="48"/>
      <c r="D1415" s="21"/>
      <c r="E1415" s="21"/>
      <c r="F1415" s="21"/>
      <c r="G1415" s="21"/>
      <c r="H1415" s="21"/>
      <c r="I1415" s="21"/>
      <c r="J1415" s="45"/>
      <c r="K1415" s="45"/>
      <c r="L1415" s="45"/>
      <c r="M1415" s="45"/>
      <c r="N1415" s="45"/>
      <c r="O1415" s="21"/>
      <c r="P1415" s="21"/>
      <c r="Q1415" s="21"/>
      <c r="R1415" s="25" t="str">
        <f t="shared" si="22"/>
        <v/>
      </c>
    </row>
    <row r="1416" spans="1:18">
      <c r="A1416" s="28"/>
      <c r="B1416" s="48"/>
      <c r="C1416" s="48"/>
      <c r="D1416" s="21"/>
      <c r="E1416" s="21"/>
      <c r="F1416" s="21"/>
      <c r="G1416" s="21"/>
      <c r="H1416" s="21"/>
      <c r="I1416" s="21"/>
      <c r="J1416" s="45"/>
      <c r="K1416" s="45"/>
      <c r="L1416" s="45"/>
      <c r="M1416" s="45"/>
      <c r="N1416" s="45"/>
      <c r="O1416" s="21"/>
      <c r="P1416" s="21"/>
      <c r="Q1416" s="21"/>
      <c r="R1416" s="25" t="str">
        <f t="shared" si="22"/>
        <v/>
      </c>
    </row>
    <row r="1417" spans="1:18">
      <c r="A1417" s="28"/>
      <c r="B1417" s="48"/>
      <c r="C1417" s="48"/>
      <c r="D1417" s="21"/>
      <c r="E1417" s="21"/>
      <c r="F1417" s="21"/>
      <c r="G1417" s="21"/>
      <c r="H1417" s="21"/>
      <c r="I1417" s="21"/>
      <c r="J1417" s="45"/>
      <c r="K1417" s="45"/>
      <c r="L1417" s="45"/>
      <c r="M1417" s="45"/>
      <c r="N1417" s="45"/>
      <c r="O1417" s="21"/>
      <c r="P1417" s="21"/>
      <c r="Q1417" s="21"/>
      <c r="R1417" s="25" t="str">
        <f t="shared" si="22"/>
        <v/>
      </c>
    </row>
    <row r="1418" spans="1:18">
      <c r="A1418" s="28"/>
      <c r="B1418" s="48"/>
      <c r="C1418" s="48"/>
      <c r="D1418" s="21"/>
      <c r="E1418" s="21"/>
      <c r="F1418" s="21"/>
      <c r="G1418" s="21"/>
      <c r="H1418" s="21"/>
      <c r="I1418" s="21"/>
      <c r="J1418" s="45"/>
      <c r="K1418" s="45"/>
      <c r="L1418" s="45"/>
      <c r="M1418" s="45"/>
      <c r="N1418" s="45"/>
      <c r="O1418" s="21"/>
      <c r="P1418" s="21"/>
      <c r="Q1418" s="21"/>
      <c r="R1418" s="25" t="str">
        <f t="shared" si="22"/>
        <v/>
      </c>
    </row>
    <row r="1419" spans="1:18">
      <c r="A1419" s="28"/>
      <c r="B1419" s="48"/>
      <c r="C1419" s="48"/>
      <c r="D1419" s="21"/>
      <c r="E1419" s="21"/>
      <c r="F1419" s="21"/>
      <c r="G1419" s="21"/>
      <c r="H1419" s="21"/>
      <c r="I1419" s="21"/>
      <c r="J1419" s="45"/>
      <c r="K1419" s="45"/>
      <c r="L1419" s="45"/>
      <c r="M1419" s="45"/>
      <c r="N1419" s="45"/>
      <c r="O1419" s="21"/>
      <c r="P1419" s="21"/>
      <c r="Q1419" s="21"/>
      <c r="R1419" s="25" t="str">
        <f t="shared" si="22"/>
        <v/>
      </c>
    </row>
    <row r="1420" spans="1:18">
      <c r="A1420" s="28"/>
      <c r="B1420" s="48"/>
      <c r="C1420" s="48"/>
      <c r="D1420" s="21"/>
      <c r="E1420" s="21"/>
      <c r="F1420" s="21"/>
      <c r="G1420" s="21"/>
      <c r="H1420" s="21"/>
      <c r="I1420" s="21"/>
      <c r="J1420" s="45"/>
      <c r="K1420" s="45"/>
      <c r="L1420" s="45"/>
      <c r="M1420" s="45"/>
      <c r="N1420" s="45"/>
      <c r="O1420" s="21"/>
      <c r="P1420" s="21"/>
      <c r="Q1420" s="21"/>
      <c r="R1420" s="25" t="str">
        <f t="shared" si="22"/>
        <v/>
      </c>
    </row>
    <row r="1421" spans="1:18">
      <c r="A1421" s="28"/>
      <c r="B1421" s="48"/>
      <c r="C1421" s="48"/>
      <c r="D1421" s="21"/>
      <c r="E1421" s="21"/>
      <c r="F1421" s="21"/>
      <c r="G1421" s="21"/>
      <c r="H1421" s="21"/>
      <c r="I1421" s="21"/>
      <c r="J1421" s="45"/>
      <c r="K1421" s="45"/>
      <c r="L1421" s="45"/>
      <c r="M1421" s="45"/>
      <c r="N1421" s="45"/>
      <c r="O1421" s="21"/>
      <c r="P1421" s="21"/>
      <c r="Q1421" s="21"/>
      <c r="R1421" s="25" t="str">
        <f t="shared" si="22"/>
        <v/>
      </c>
    </row>
    <row r="1422" spans="1:18">
      <c r="A1422" s="28"/>
      <c r="B1422" s="48"/>
      <c r="C1422" s="48"/>
      <c r="D1422" s="21"/>
      <c r="E1422" s="21"/>
      <c r="F1422" s="21"/>
      <c r="G1422" s="21"/>
      <c r="H1422" s="21"/>
      <c r="I1422" s="21"/>
      <c r="J1422" s="45"/>
      <c r="K1422" s="45"/>
      <c r="L1422" s="45"/>
      <c r="M1422" s="45"/>
      <c r="N1422" s="45"/>
      <c r="O1422" s="21"/>
      <c r="P1422" s="21"/>
      <c r="Q1422" s="21"/>
      <c r="R1422" s="25" t="str">
        <f t="shared" si="22"/>
        <v/>
      </c>
    </row>
    <row r="1423" spans="1:18">
      <c r="A1423" s="28"/>
      <c r="B1423" s="48"/>
      <c r="C1423" s="48"/>
      <c r="D1423" s="21"/>
      <c r="E1423" s="21"/>
      <c r="F1423" s="21"/>
      <c r="G1423" s="21"/>
      <c r="H1423" s="21"/>
      <c r="I1423" s="21"/>
      <c r="J1423" s="45"/>
      <c r="K1423" s="45"/>
      <c r="L1423" s="45"/>
      <c r="M1423" s="45"/>
      <c r="N1423" s="45"/>
      <c r="O1423" s="21"/>
      <c r="P1423" s="21"/>
      <c r="Q1423" s="21"/>
      <c r="R1423" s="25" t="str">
        <f t="shared" si="22"/>
        <v/>
      </c>
    </row>
    <row r="1424" spans="1:18">
      <c r="A1424" s="28"/>
      <c r="B1424" s="48"/>
      <c r="C1424" s="48"/>
      <c r="D1424" s="21"/>
      <c r="E1424" s="21"/>
      <c r="F1424" s="21"/>
      <c r="G1424" s="21"/>
      <c r="H1424" s="21"/>
      <c r="I1424" s="21"/>
      <c r="J1424" s="45"/>
      <c r="K1424" s="45"/>
      <c r="L1424" s="45"/>
      <c r="M1424" s="45"/>
      <c r="N1424" s="45"/>
      <c r="O1424" s="21"/>
      <c r="P1424" s="21"/>
      <c r="Q1424" s="21"/>
      <c r="R1424" s="25" t="str">
        <f t="shared" si="22"/>
        <v/>
      </c>
    </row>
    <row r="1425" spans="1:18">
      <c r="A1425" s="28"/>
      <c r="B1425" s="48"/>
      <c r="C1425" s="48"/>
      <c r="D1425" s="21"/>
      <c r="E1425" s="21"/>
      <c r="F1425" s="21"/>
      <c r="G1425" s="21"/>
      <c r="H1425" s="21"/>
      <c r="I1425" s="21"/>
      <c r="J1425" s="45"/>
      <c r="K1425" s="45"/>
      <c r="L1425" s="45"/>
      <c r="M1425" s="45"/>
      <c r="N1425" s="45"/>
      <c r="O1425" s="21"/>
      <c r="P1425" s="21"/>
      <c r="Q1425" s="21"/>
      <c r="R1425" s="25" t="str">
        <f t="shared" si="22"/>
        <v/>
      </c>
    </row>
    <row r="1426" spans="1:18">
      <c r="A1426" s="28"/>
      <c r="B1426" s="48"/>
      <c r="C1426" s="48"/>
      <c r="D1426" s="21"/>
      <c r="E1426" s="21"/>
      <c r="F1426" s="21"/>
      <c r="G1426" s="21"/>
      <c r="H1426" s="21"/>
      <c r="I1426" s="21"/>
      <c r="J1426" s="45"/>
      <c r="K1426" s="45"/>
      <c r="L1426" s="45"/>
      <c r="M1426" s="45"/>
      <c r="N1426" s="45"/>
      <c r="O1426" s="21"/>
      <c r="P1426" s="21"/>
      <c r="Q1426" s="21"/>
      <c r="R1426" s="25" t="str">
        <f t="shared" si="22"/>
        <v/>
      </c>
    </row>
    <row r="1427" spans="1:18">
      <c r="A1427" s="28"/>
      <c r="B1427" s="48"/>
      <c r="C1427" s="48"/>
      <c r="D1427" s="21"/>
      <c r="E1427" s="21"/>
      <c r="F1427" s="21"/>
      <c r="G1427" s="21"/>
      <c r="H1427" s="21"/>
      <c r="I1427" s="21"/>
      <c r="J1427" s="45"/>
      <c r="K1427" s="45"/>
      <c r="L1427" s="45"/>
      <c r="M1427" s="45"/>
      <c r="N1427" s="45"/>
      <c r="O1427" s="21"/>
      <c r="P1427" s="21"/>
      <c r="Q1427" s="21"/>
      <c r="R1427" s="25" t="str">
        <f t="shared" si="22"/>
        <v/>
      </c>
    </row>
    <row r="1428" spans="1:18">
      <c r="A1428" s="28"/>
      <c r="B1428" s="48"/>
      <c r="C1428" s="48"/>
      <c r="D1428" s="21"/>
      <c r="E1428" s="21"/>
      <c r="F1428" s="21"/>
      <c r="G1428" s="21"/>
      <c r="H1428" s="21"/>
      <c r="I1428" s="21"/>
      <c r="J1428" s="45"/>
      <c r="K1428" s="45"/>
      <c r="L1428" s="45"/>
      <c r="M1428" s="45"/>
      <c r="N1428" s="45"/>
      <c r="O1428" s="21"/>
      <c r="P1428" s="21"/>
      <c r="Q1428" s="21"/>
      <c r="R1428" s="25" t="str">
        <f t="shared" si="22"/>
        <v/>
      </c>
    </row>
    <row r="1429" spans="1:18">
      <c r="A1429" s="28"/>
      <c r="B1429" s="48"/>
      <c r="C1429" s="48"/>
      <c r="D1429" s="21"/>
      <c r="E1429" s="21"/>
      <c r="F1429" s="21"/>
      <c r="G1429" s="21"/>
      <c r="H1429" s="21"/>
      <c r="I1429" s="21"/>
      <c r="J1429" s="45"/>
      <c r="K1429" s="45"/>
      <c r="L1429" s="45"/>
      <c r="M1429" s="45"/>
      <c r="N1429" s="45"/>
      <c r="O1429" s="21"/>
      <c r="P1429" s="21"/>
      <c r="Q1429" s="21"/>
      <c r="R1429" s="25" t="str">
        <f t="shared" si="22"/>
        <v/>
      </c>
    </row>
    <row r="1430" spans="1:18">
      <c r="A1430" s="28"/>
      <c r="B1430" s="48"/>
      <c r="C1430" s="48"/>
      <c r="D1430" s="21"/>
      <c r="E1430" s="21"/>
      <c r="F1430" s="21"/>
      <c r="G1430" s="21"/>
      <c r="H1430" s="21"/>
      <c r="I1430" s="21"/>
      <c r="J1430" s="45"/>
      <c r="K1430" s="45"/>
      <c r="L1430" s="45"/>
      <c r="M1430" s="45"/>
      <c r="N1430" s="45"/>
      <c r="O1430" s="21"/>
      <c r="P1430" s="21"/>
      <c r="Q1430" s="21"/>
      <c r="R1430" s="25" t="str">
        <f t="shared" si="22"/>
        <v/>
      </c>
    </row>
    <row r="1431" spans="1:18">
      <c r="A1431" s="28"/>
      <c r="B1431" s="48"/>
      <c r="C1431" s="48"/>
      <c r="D1431" s="21"/>
      <c r="E1431" s="21"/>
      <c r="F1431" s="21"/>
      <c r="G1431" s="21"/>
      <c r="H1431" s="21"/>
      <c r="I1431" s="21"/>
      <c r="J1431" s="45"/>
      <c r="K1431" s="45"/>
      <c r="L1431" s="45"/>
      <c r="M1431" s="45"/>
      <c r="N1431" s="45"/>
      <c r="O1431" s="21"/>
      <c r="P1431" s="21"/>
      <c r="Q1431" s="21"/>
      <c r="R1431" s="25" t="str">
        <f t="shared" si="22"/>
        <v/>
      </c>
    </row>
    <row r="1432" spans="1:18">
      <c r="A1432" s="28"/>
      <c r="B1432" s="48"/>
      <c r="C1432" s="48"/>
      <c r="D1432" s="21"/>
      <c r="E1432" s="21"/>
      <c r="F1432" s="21"/>
      <c r="G1432" s="21"/>
      <c r="H1432" s="21"/>
      <c r="I1432" s="21"/>
      <c r="J1432" s="45"/>
      <c r="K1432" s="45"/>
      <c r="L1432" s="45"/>
      <c r="M1432" s="45"/>
      <c r="N1432" s="45"/>
      <c r="O1432" s="21"/>
      <c r="P1432" s="21"/>
      <c r="Q1432" s="21"/>
      <c r="R1432" s="25" t="str">
        <f t="shared" si="22"/>
        <v/>
      </c>
    </row>
    <row r="1433" spans="1:18">
      <c r="A1433" s="28"/>
      <c r="B1433" s="48"/>
      <c r="C1433" s="48"/>
      <c r="D1433" s="21"/>
      <c r="E1433" s="21"/>
      <c r="F1433" s="21"/>
      <c r="G1433" s="21"/>
      <c r="H1433" s="21"/>
      <c r="I1433" s="21"/>
      <c r="J1433" s="45"/>
      <c r="K1433" s="45"/>
      <c r="L1433" s="45"/>
      <c r="M1433" s="45"/>
      <c r="N1433" s="45"/>
      <c r="O1433" s="21"/>
      <c r="P1433" s="21"/>
      <c r="Q1433" s="21"/>
      <c r="R1433" s="25" t="str">
        <f t="shared" si="22"/>
        <v/>
      </c>
    </row>
    <row r="1434" spans="1:18">
      <c r="A1434" s="28"/>
      <c r="B1434" s="48"/>
      <c r="C1434" s="48"/>
      <c r="D1434" s="21"/>
      <c r="E1434" s="21"/>
      <c r="F1434" s="21"/>
      <c r="G1434" s="21"/>
      <c r="H1434" s="21"/>
      <c r="I1434" s="21"/>
      <c r="J1434" s="45"/>
      <c r="K1434" s="45"/>
      <c r="L1434" s="45"/>
      <c r="M1434" s="45"/>
      <c r="N1434" s="45"/>
      <c r="O1434" s="21"/>
      <c r="P1434" s="21"/>
      <c r="Q1434" s="21"/>
      <c r="R1434" s="25" t="str">
        <f t="shared" si="22"/>
        <v/>
      </c>
    </row>
    <row r="1435" spans="1:18">
      <c r="A1435" s="28"/>
      <c r="B1435" s="48"/>
      <c r="C1435" s="48"/>
      <c r="D1435" s="21"/>
      <c r="E1435" s="21"/>
      <c r="F1435" s="21"/>
      <c r="G1435" s="21"/>
      <c r="H1435" s="21"/>
      <c r="I1435" s="21"/>
      <c r="J1435" s="45"/>
      <c r="K1435" s="45"/>
      <c r="L1435" s="45"/>
      <c r="M1435" s="45"/>
      <c r="N1435" s="45"/>
      <c r="O1435" s="21"/>
      <c r="P1435" s="21"/>
      <c r="Q1435" s="21"/>
      <c r="R1435" s="25" t="str">
        <f t="shared" si="22"/>
        <v/>
      </c>
    </row>
    <row r="1436" spans="1:18">
      <c r="A1436" s="28"/>
      <c r="B1436" s="48"/>
      <c r="C1436" s="48"/>
      <c r="D1436" s="21"/>
      <c r="E1436" s="21"/>
      <c r="F1436" s="21"/>
      <c r="G1436" s="21"/>
      <c r="H1436" s="21"/>
      <c r="I1436" s="21"/>
      <c r="J1436" s="45"/>
      <c r="K1436" s="45"/>
      <c r="L1436" s="45"/>
      <c r="M1436" s="45"/>
      <c r="N1436" s="45"/>
      <c r="O1436" s="21"/>
      <c r="P1436" s="21"/>
      <c r="Q1436" s="21"/>
      <c r="R1436" s="25" t="str">
        <f t="shared" si="22"/>
        <v/>
      </c>
    </row>
    <row r="1437" spans="1:18">
      <c r="A1437" s="28"/>
      <c r="B1437" s="48"/>
      <c r="C1437" s="48"/>
      <c r="D1437" s="21"/>
      <c r="E1437" s="21"/>
      <c r="F1437" s="21"/>
      <c r="G1437" s="21"/>
      <c r="H1437" s="21"/>
      <c r="I1437" s="21"/>
      <c r="J1437" s="45"/>
      <c r="K1437" s="45"/>
      <c r="L1437" s="45"/>
      <c r="M1437" s="45"/>
      <c r="N1437" s="45"/>
      <c r="O1437" s="21"/>
      <c r="P1437" s="21"/>
      <c r="Q1437" s="21"/>
      <c r="R1437" s="25" t="str">
        <f t="shared" si="22"/>
        <v/>
      </c>
    </row>
    <row r="1438" spans="1:18">
      <c r="A1438" s="28"/>
      <c r="B1438" s="48"/>
      <c r="C1438" s="48"/>
      <c r="D1438" s="21"/>
      <c r="E1438" s="21"/>
      <c r="F1438" s="21"/>
      <c r="G1438" s="21"/>
      <c r="H1438" s="21"/>
      <c r="I1438" s="21"/>
      <c r="J1438" s="45"/>
      <c r="K1438" s="45"/>
      <c r="L1438" s="45"/>
      <c r="M1438" s="45"/>
      <c r="N1438" s="45"/>
      <c r="O1438" s="21"/>
      <c r="P1438" s="21"/>
      <c r="Q1438" s="21"/>
      <c r="R1438" s="25" t="str">
        <f t="shared" si="22"/>
        <v/>
      </c>
    </row>
    <row r="1439" spans="1:18">
      <c r="A1439" s="28"/>
      <c r="B1439" s="48"/>
      <c r="C1439" s="48"/>
      <c r="D1439" s="21"/>
      <c r="E1439" s="21"/>
      <c r="F1439" s="21"/>
      <c r="G1439" s="21"/>
      <c r="H1439" s="21"/>
      <c r="I1439" s="21"/>
      <c r="J1439" s="45"/>
      <c r="K1439" s="45"/>
      <c r="L1439" s="45"/>
      <c r="M1439" s="45"/>
      <c r="N1439" s="45"/>
      <c r="O1439" s="21"/>
      <c r="P1439" s="21"/>
      <c r="Q1439" s="21"/>
      <c r="R1439" s="25" t="str">
        <f t="shared" si="22"/>
        <v/>
      </c>
    </row>
    <row r="1440" spans="1:18">
      <c r="A1440" s="28"/>
      <c r="B1440" s="48"/>
      <c r="C1440" s="48"/>
      <c r="D1440" s="21"/>
      <c r="E1440" s="21"/>
      <c r="F1440" s="21"/>
      <c r="G1440" s="21"/>
      <c r="H1440" s="21"/>
      <c r="I1440" s="21"/>
      <c r="J1440" s="45"/>
      <c r="K1440" s="45"/>
      <c r="L1440" s="45"/>
      <c r="M1440" s="45"/>
      <c r="N1440" s="45"/>
      <c r="O1440" s="21"/>
      <c r="P1440" s="21"/>
      <c r="Q1440" s="21"/>
      <c r="R1440" s="25" t="str">
        <f t="shared" si="22"/>
        <v/>
      </c>
    </row>
    <row r="1441" spans="1:18">
      <c r="A1441" s="28"/>
      <c r="B1441" s="48"/>
      <c r="C1441" s="48"/>
      <c r="D1441" s="21"/>
      <c r="E1441" s="21"/>
      <c r="F1441" s="21"/>
      <c r="G1441" s="21"/>
      <c r="H1441" s="21"/>
      <c r="I1441" s="21"/>
      <c r="J1441" s="45"/>
      <c r="K1441" s="45"/>
      <c r="L1441" s="45"/>
      <c r="M1441" s="45"/>
      <c r="N1441" s="45"/>
      <c r="O1441" s="21"/>
      <c r="P1441" s="21"/>
      <c r="Q1441" s="21"/>
      <c r="R1441" s="25" t="str">
        <f t="shared" si="22"/>
        <v/>
      </c>
    </row>
    <row r="1442" spans="1:18">
      <c r="A1442" s="28"/>
      <c r="B1442" s="48"/>
      <c r="C1442" s="48"/>
      <c r="D1442" s="21"/>
      <c r="E1442" s="21"/>
      <c r="F1442" s="21"/>
      <c r="G1442" s="21"/>
      <c r="H1442" s="21"/>
      <c r="I1442" s="21"/>
      <c r="J1442" s="45"/>
      <c r="K1442" s="45"/>
      <c r="L1442" s="45"/>
      <c r="M1442" s="45"/>
      <c r="N1442" s="45"/>
      <c r="O1442" s="21"/>
      <c r="P1442" s="21"/>
      <c r="Q1442" s="21"/>
      <c r="R1442" s="25" t="str">
        <f t="shared" si="22"/>
        <v/>
      </c>
    </row>
    <row r="1443" spans="1:18">
      <c r="A1443" s="28"/>
      <c r="B1443" s="48"/>
      <c r="C1443" s="48"/>
      <c r="D1443" s="21"/>
      <c r="E1443" s="21"/>
      <c r="F1443" s="21"/>
      <c r="G1443" s="21"/>
      <c r="H1443" s="21"/>
      <c r="I1443" s="21"/>
      <c r="J1443" s="45"/>
      <c r="K1443" s="45"/>
      <c r="L1443" s="45"/>
      <c r="M1443" s="45"/>
      <c r="N1443" s="45"/>
      <c r="O1443" s="21"/>
      <c r="P1443" s="21"/>
      <c r="Q1443" s="21"/>
      <c r="R1443" s="25" t="str">
        <f t="shared" si="22"/>
        <v/>
      </c>
    </row>
    <row r="1444" spans="1:18">
      <c r="A1444" s="28"/>
      <c r="B1444" s="48"/>
      <c r="C1444" s="48"/>
      <c r="D1444" s="21"/>
      <c r="E1444" s="21"/>
      <c r="F1444" s="21"/>
      <c r="G1444" s="21"/>
      <c r="H1444" s="21"/>
      <c r="I1444" s="21"/>
      <c r="J1444" s="45"/>
      <c r="K1444" s="45"/>
      <c r="L1444" s="45"/>
      <c r="M1444" s="45"/>
      <c r="N1444" s="45"/>
      <c r="O1444" s="21"/>
      <c r="P1444" s="21"/>
      <c r="Q1444" s="21"/>
      <c r="R1444" s="25" t="str">
        <f t="shared" si="22"/>
        <v/>
      </c>
    </row>
    <row r="1445" spans="1:18">
      <c r="A1445" s="28"/>
      <c r="B1445" s="48"/>
      <c r="C1445" s="48"/>
      <c r="D1445" s="21"/>
      <c r="E1445" s="21"/>
      <c r="F1445" s="21"/>
      <c r="G1445" s="21"/>
      <c r="H1445" s="21"/>
      <c r="I1445" s="21"/>
      <c r="J1445" s="45"/>
      <c r="K1445" s="45"/>
      <c r="L1445" s="45"/>
      <c r="M1445" s="45"/>
      <c r="N1445" s="45"/>
      <c r="O1445" s="21"/>
      <c r="P1445" s="21"/>
      <c r="Q1445" s="21"/>
      <c r="R1445" s="25" t="str">
        <f t="shared" si="22"/>
        <v/>
      </c>
    </row>
    <row r="1446" spans="1:18">
      <c r="A1446" s="28"/>
      <c r="B1446" s="48"/>
      <c r="C1446" s="48"/>
      <c r="D1446" s="21"/>
      <c r="E1446" s="21"/>
      <c r="F1446" s="21"/>
      <c r="G1446" s="21"/>
      <c r="H1446" s="21"/>
      <c r="I1446" s="21"/>
      <c r="J1446" s="45"/>
      <c r="K1446" s="45"/>
      <c r="L1446" s="45"/>
      <c r="M1446" s="45"/>
      <c r="N1446" s="45"/>
      <c r="O1446" s="21"/>
      <c r="P1446" s="21"/>
      <c r="Q1446" s="21"/>
      <c r="R1446" s="25" t="str">
        <f t="shared" si="22"/>
        <v/>
      </c>
    </row>
    <row r="1447" spans="1:18">
      <c r="A1447" s="28"/>
      <c r="B1447" s="48"/>
      <c r="C1447" s="48"/>
      <c r="D1447" s="21"/>
      <c r="E1447" s="21"/>
      <c r="F1447" s="21"/>
      <c r="G1447" s="21"/>
      <c r="H1447" s="21"/>
      <c r="I1447" s="21"/>
      <c r="J1447" s="45"/>
      <c r="K1447" s="45"/>
      <c r="L1447" s="45"/>
      <c r="M1447" s="45"/>
      <c r="N1447" s="45"/>
      <c r="O1447" s="21"/>
      <c r="P1447" s="21"/>
      <c r="Q1447" s="21"/>
      <c r="R1447" s="25" t="str">
        <f t="shared" si="22"/>
        <v/>
      </c>
    </row>
    <row r="1448" spans="1:18">
      <c r="A1448" s="28"/>
      <c r="B1448" s="48"/>
      <c r="C1448" s="48"/>
      <c r="D1448" s="21"/>
      <c r="E1448" s="21"/>
      <c r="F1448" s="21"/>
      <c r="G1448" s="21"/>
      <c r="H1448" s="21"/>
      <c r="I1448" s="21"/>
      <c r="J1448" s="45"/>
      <c r="K1448" s="45"/>
      <c r="L1448" s="45"/>
      <c r="M1448" s="45"/>
      <c r="N1448" s="45"/>
      <c r="O1448" s="21"/>
      <c r="P1448" s="21"/>
      <c r="Q1448" s="21"/>
      <c r="R1448" s="25" t="str">
        <f t="shared" si="22"/>
        <v/>
      </c>
    </row>
    <row r="1449" spans="1:18">
      <c r="A1449" s="28"/>
      <c r="B1449" s="48"/>
      <c r="C1449" s="48"/>
      <c r="D1449" s="21"/>
      <c r="E1449" s="21"/>
      <c r="F1449" s="21"/>
      <c r="G1449" s="21"/>
      <c r="H1449" s="21"/>
      <c r="I1449" s="21"/>
      <c r="J1449" s="45"/>
      <c r="K1449" s="45"/>
      <c r="L1449" s="45"/>
      <c r="M1449" s="45"/>
      <c r="N1449" s="45"/>
      <c r="O1449" s="21"/>
      <c r="P1449" s="21"/>
      <c r="Q1449" s="21"/>
      <c r="R1449" s="25" t="str">
        <f t="shared" si="22"/>
        <v/>
      </c>
    </row>
    <row r="1450" spans="1:18">
      <c r="A1450" s="28"/>
      <c r="B1450" s="48"/>
      <c r="C1450" s="48"/>
      <c r="D1450" s="21"/>
      <c r="E1450" s="21"/>
      <c r="F1450" s="21"/>
      <c r="G1450" s="21"/>
      <c r="H1450" s="21"/>
      <c r="I1450" s="21"/>
      <c r="J1450" s="45"/>
      <c r="K1450" s="45"/>
      <c r="L1450" s="45"/>
      <c r="M1450" s="45"/>
      <c r="N1450" s="45"/>
      <c r="O1450" s="21"/>
      <c r="P1450" s="21"/>
      <c r="Q1450" s="21"/>
      <c r="R1450" s="25" t="str">
        <f t="shared" si="22"/>
        <v/>
      </c>
    </row>
    <row r="1451" spans="1:18">
      <c r="A1451" s="28"/>
      <c r="B1451" s="48"/>
      <c r="C1451" s="48"/>
      <c r="D1451" s="21"/>
      <c r="E1451" s="21"/>
      <c r="F1451" s="21"/>
      <c r="G1451" s="21"/>
      <c r="H1451" s="21"/>
      <c r="I1451" s="21"/>
      <c r="J1451" s="45"/>
      <c r="K1451" s="45"/>
      <c r="L1451" s="45"/>
      <c r="M1451" s="45"/>
      <c r="N1451" s="45"/>
      <c r="O1451" s="21"/>
      <c r="P1451" s="21"/>
      <c r="Q1451" s="21"/>
      <c r="R1451" s="25" t="str">
        <f t="shared" si="22"/>
        <v/>
      </c>
    </row>
    <row r="1452" spans="1:18">
      <c r="A1452" s="28"/>
      <c r="B1452" s="48"/>
      <c r="C1452" s="48"/>
      <c r="D1452" s="21"/>
      <c r="E1452" s="21"/>
      <c r="F1452" s="21"/>
      <c r="G1452" s="21"/>
      <c r="H1452" s="21"/>
      <c r="I1452" s="21"/>
      <c r="J1452" s="45"/>
      <c r="K1452" s="45"/>
      <c r="L1452" s="45"/>
      <c r="M1452" s="45"/>
      <c r="N1452" s="45"/>
      <c r="O1452" s="21"/>
      <c r="P1452" s="21"/>
      <c r="Q1452" s="21"/>
      <c r="R1452" s="25" t="str">
        <f t="shared" si="22"/>
        <v/>
      </c>
    </row>
    <row r="1453" spans="1:18">
      <c r="A1453" s="28"/>
      <c r="B1453" s="48"/>
      <c r="C1453" s="48"/>
      <c r="D1453" s="21"/>
      <c r="E1453" s="21"/>
      <c r="F1453" s="21"/>
      <c r="G1453" s="21"/>
      <c r="H1453" s="21"/>
      <c r="I1453" s="21"/>
      <c r="J1453" s="45"/>
      <c r="K1453" s="45"/>
      <c r="L1453" s="45"/>
      <c r="M1453" s="45"/>
      <c r="N1453" s="45"/>
      <c r="O1453" s="21"/>
      <c r="P1453" s="21"/>
      <c r="Q1453" s="21"/>
      <c r="R1453" s="25" t="str">
        <f t="shared" si="22"/>
        <v/>
      </c>
    </row>
    <row r="1454" spans="1:18">
      <c r="A1454" s="28"/>
      <c r="B1454" s="48"/>
      <c r="C1454" s="48"/>
      <c r="D1454" s="21"/>
      <c r="E1454" s="21"/>
      <c r="F1454" s="21"/>
      <c r="G1454" s="21"/>
      <c r="H1454" s="21"/>
      <c r="I1454" s="21"/>
      <c r="J1454" s="45"/>
      <c r="K1454" s="45"/>
      <c r="L1454" s="45"/>
      <c r="M1454" s="45"/>
      <c r="N1454" s="45"/>
      <c r="O1454" s="21"/>
      <c r="P1454" s="21"/>
      <c r="Q1454" s="21"/>
      <c r="R1454" s="25" t="str">
        <f t="shared" si="22"/>
        <v/>
      </c>
    </row>
    <row r="1455" spans="1:18">
      <c r="A1455" s="28"/>
      <c r="B1455" s="48"/>
      <c r="C1455" s="48"/>
      <c r="D1455" s="21"/>
      <c r="E1455" s="21"/>
      <c r="F1455" s="21"/>
      <c r="G1455" s="21"/>
      <c r="H1455" s="21"/>
      <c r="I1455" s="21"/>
      <c r="J1455" s="45"/>
      <c r="K1455" s="45"/>
      <c r="L1455" s="45"/>
      <c r="M1455" s="45"/>
      <c r="N1455" s="45"/>
      <c r="O1455" s="21"/>
      <c r="P1455" s="21"/>
      <c r="Q1455" s="21"/>
      <c r="R1455" s="25" t="str">
        <f t="shared" si="22"/>
        <v/>
      </c>
    </row>
    <row r="1456" spans="1:18">
      <c r="A1456" s="28"/>
      <c r="B1456" s="48"/>
      <c r="C1456" s="48"/>
      <c r="D1456" s="21"/>
      <c r="E1456" s="21"/>
      <c r="F1456" s="21"/>
      <c r="G1456" s="21"/>
      <c r="H1456" s="21"/>
      <c r="I1456" s="21"/>
      <c r="J1456" s="45"/>
      <c r="K1456" s="45"/>
      <c r="L1456" s="45"/>
      <c r="M1456" s="45"/>
      <c r="N1456" s="45"/>
      <c r="O1456" s="21"/>
      <c r="P1456" s="21"/>
      <c r="Q1456" s="21"/>
      <c r="R1456" s="25" t="str">
        <f t="shared" si="22"/>
        <v/>
      </c>
    </row>
    <row r="1457" spans="1:18">
      <c r="A1457" s="28"/>
      <c r="B1457" s="48"/>
      <c r="C1457" s="48"/>
      <c r="D1457" s="21"/>
      <c r="E1457" s="21"/>
      <c r="F1457" s="21"/>
      <c r="G1457" s="21"/>
      <c r="H1457" s="21"/>
      <c r="I1457" s="21"/>
      <c r="J1457" s="45"/>
      <c r="K1457" s="45"/>
      <c r="L1457" s="45"/>
      <c r="M1457" s="45"/>
      <c r="N1457" s="45"/>
      <c r="O1457" s="21"/>
      <c r="P1457" s="21"/>
      <c r="Q1457" s="21"/>
      <c r="R1457" s="25" t="str">
        <f t="shared" si="22"/>
        <v/>
      </c>
    </row>
    <row r="1458" spans="1:18">
      <c r="A1458" s="28"/>
      <c r="B1458" s="48"/>
      <c r="C1458" s="48"/>
      <c r="D1458" s="21"/>
      <c r="E1458" s="21"/>
      <c r="F1458" s="21"/>
      <c r="G1458" s="21"/>
      <c r="H1458" s="21"/>
      <c r="I1458" s="21"/>
      <c r="J1458" s="45"/>
      <c r="K1458" s="45"/>
      <c r="L1458" s="45"/>
      <c r="M1458" s="45"/>
      <c r="N1458" s="45"/>
      <c r="O1458" s="21"/>
      <c r="P1458" s="21"/>
      <c r="Q1458" s="21"/>
      <c r="R1458" s="25" t="str">
        <f t="shared" si="22"/>
        <v/>
      </c>
    </row>
    <row r="1459" spans="1:18">
      <c r="A1459" s="28"/>
      <c r="B1459" s="48"/>
      <c r="C1459" s="48"/>
      <c r="D1459" s="21"/>
      <c r="E1459" s="21"/>
      <c r="F1459" s="21"/>
      <c r="G1459" s="21"/>
      <c r="H1459" s="21"/>
      <c r="I1459" s="21"/>
      <c r="J1459" s="45"/>
      <c r="K1459" s="45"/>
      <c r="L1459" s="45"/>
      <c r="M1459" s="45"/>
      <c r="N1459" s="45"/>
      <c r="O1459" s="21"/>
      <c r="P1459" s="21"/>
      <c r="Q1459" s="21"/>
      <c r="R1459" s="25" t="str">
        <f t="shared" ref="R1459:R1522" si="23">IF(COUNTIF($A$17:$A$2010,$A1459)&gt;1,"Possible Duplicate","")</f>
        <v/>
      </c>
    </row>
    <row r="1460" spans="1:18">
      <c r="A1460" s="28"/>
      <c r="B1460" s="48"/>
      <c r="C1460" s="48"/>
      <c r="D1460" s="21"/>
      <c r="E1460" s="21"/>
      <c r="F1460" s="21"/>
      <c r="G1460" s="21"/>
      <c r="H1460" s="21"/>
      <c r="I1460" s="21"/>
      <c r="J1460" s="45"/>
      <c r="K1460" s="45"/>
      <c r="L1460" s="45"/>
      <c r="M1460" s="45"/>
      <c r="N1460" s="45"/>
      <c r="O1460" s="21"/>
      <c r="P1460" s="21"/>
      <c r="Q1460" s="21"/>
      <c r="R1460" s="25" t="str">
        <f t="shared" si="23"/>
        <v/>
      </c>
    </row>
    <row r="1461" spans="1:18">
      <c r="A1461" s="28"/>
      <c r="B1461" s="48"/>
      <c r="C1461" s="48"/>
      <c r="D1461" s="21"/>
      <c r="E1461" s="21"/>
      <c r="F1461" s="21"/>
      <c r="G1461" s="21"/>
      <c r="H1461" s="21"/>
      <c r="I1461" s="21"/>
      <c r="J1461" s="45"/>
      <c r="K1461" s="45"/>
      <c r="L1461" s="45"/>
      <c r="M1461" s="45"/>
      <c r="N1461" s="45"/>
      <c r="O1461" s="21"/>
      <c r="P1461" s="21"/>
      <c r="Q1461" s="21"/>
      <c r="R1461" s="25" t="str">
        <f t="shared" si="23"/>
        <v/>
      </c>
    </row>
    <row r="1462" spans="1:18">
      <c r="A1462" s="28"/>
      <c r="B1462" s="48"/>
      <c r="C1462" s="48"/>
      <c r="D1462" s="21"/>
      <c r="E1462" s="21"/>
      <c r="F1462" s="21"/>
      <c r="G1462" s="21"/>
      <c r="H1462" s="21"/>
      <c r="I1462" s="21"/>
      <c r="J1462" s="45"/>
      <c r="K1462" s="45"/>
      <c r="L1462" s="45"/>
      <c r="M1462" s="45"/>
      <c r="N1462" s="45"/>
      <c r="O1462" s="21"/>
      <c r="P1462" s="21"/>
      <c r="Q1462" s="21"/>
      <c r="R1462" s="25" t="str">
        <f t="shared" si="23"/>
        <v/>
      </c>
    </row>
    <row r="1463" spans="1:18">
      <c r="A1463" s="28"/>
      <c r="B1463" s="48"/>
      <c r="C1463" s="48"/>
      <c r="D1463" s="21"/>
      <c r="E1463" s="21"/>
      <c r="F1463" s="21"/>
      <c r="G1463" s="21"/>
      <c r="H1463" s="21"/>
      <c r="I1463" s="21"/>
      <c r="J1463" s="45"/>
      <c r="K1463" s="45"/>
      <c r="L1463" s="45"/>
      <c r="M1463" s="45"/>
      <c r="N1463" s="45"/>
      <c r="O1463" s="21"/>
      <c r="P1463" s="21"/>
      <c r="Q1463" s="21"/>
      <c r="R1463" s="25" t="str">
        <f t="shared" si="23"/>
        <v/>
      </c>
    </row>
    <row r="1464" spans="1:18">
      <c r="A1464" s="28"/>
      <c r="B1464" s="48"/>
      <c r="C1464" s="48"/>
      <c r="D1464" s="21"/>
      <c r="E1464" s="21"/>
      <c r="F1464" s="21"/>
      <c r="G1464" s="21"/>
      <c r="H1464" s="21"/>
      <c r="I1464" s="21"/>
      <c r="J1464" s="45"/>
      <c r="K1464" s="45"/>
      <c r="L1464" s="45"/>
      <c r="M1464" s="45"/>
      <c r="N1464" s="45"/>
      <c r="O1464" s="21"/>
      <c r="P1464" s="21"/>
      <c r="Q1464" s="21"/>
      <c r="R1464" s="25" t="str">
        <f t="shared" si="23"/>
        <v/>
      </c>
    </row>
    <row r="1465" spans="1:18">
      <c r="A1465" s="28"/>
      <c r="B1465" s="48"/>
      <c r="C1465" s="48"/>
      <c r="D1465" s="21"/>
      <c r="E1465" s="21"/>
      <c r="F1465" s="21"/>
      <c r="G1465" s="21"/>
      <c r="H1465" s="21"/>
      <c r="I1465" s="21"/>
      <c r="J1465" s="45"/>
      <c r="K1465" s="45"/>
      <c r="L1465" s="45"/>
      <c r="M1465" s="45"/>
      <c r="N1465" s="45"/>
      <c r="O1465" s="21"/>
      <c r="P1465" s="21"/>
      <c r="Q1465" s="21"/>
      <c r="R1465" s="25" t="str">
        <f t="shared" si="23"/>
        <v/>
      </c>
    </row>
    <row r="1466" spans="1:18">
      <c r="A1466" s="28"/>
      <c r="B1466" s="48"/>
      <c r="C1466" s="48"/>
      <c r="D1466" s="21"/>
      <c r="E1466" s="21"/>
      <c r="F1466" s="21"/>
      <c r="G1466" s="21"/>
      <c r="H1466" s="21"/>
      <c r="I1466" s="21"/>
      <c r="J1466" s="45"/>
      <c r="K1466" s="45"/>
      <c r="L1466" s="45"/>
      <c r="M1466" s="45"/>
      <c r="N1466" s="45"/>
      <c r="O1466" s="21"/>
      <c r="P1466" s="21"/>
      <c r="Q1466" s="21"/>
      <c r="R1466" s="25" t="str">
        <f t="shared" si="23"/>
        <v/>
      </c>
    </row>
    <row r="1467" spans="1:18">
      <c r="A1467" s="28"/>
      <c r="B1467" s="48"/>
      <c r="C1467" s="48"/>
      <c r="D1467" s="21"/>
      <c r="E1467" s="21"/>
      <c r="F1467" s="21"/>
      <c r="G1467" s="21"/>
      <c r="H1467" s="21"/>
      <c r="I1467" s="21"/>
      <c r="J1467" s="45"/>
      <c r="K1467" s="45"/>
      <c r="L1467" s="45"/>
      <c r="M1467" s="45"/>
      <c r="N1467" s="45"/>
      <c r="O1467" s="21"/>
      <c r="P1467" s="21"/>
      <c r="Q1467" s="21"/>
      <c r="R1467" s="25" t="str">
        <f t="shared" si="23"/>
        <v/>
      </c>
    </row>
    <row r="1468" spans="1:18">
      <c r="A1468" s="28"/>
      <c r="B1468" s="48"/>
      <c r="C1468" s="48"/>
      <c r="D1468" s="21"/>
      <c r="E1468" s="21"/>
      <c r="F1468" s="21"/>
      <c r="G1468" s="21"/>
      <c r="H1468" s="21"/>
      <c r="I1468" s="21"/>
      <c r="J1468" s="45"/>
      <c r="K1468" s="45"/>
      <c r="L1468" s="45"/>
      <c r="M1468" s="45"/>
      <c r="N1468" s="45"/>
      <c r="O1468" s="21"/>
      <c r="P1468" s="21"/>
      <c r="Q1468" s="21"/>
      <c r="R1468" s="25" t="str">
        <f t="shared" si="23"/>
        <v/>
      </c>
    </row>
    <row r="1469" spans="1:18">
      <c r="A1469" s="28"/>
      <c r="B1469" s="48"/>
      <c r="C1469" s="48"/>
      <c r="D1469" s="21"/>
      <c r="E1469" s="21"/>
      <c r="F1469" s="21"/>
      <c r="G1469" s="21"/>
      <c r="H1469" s="21"/>
      <c r="I1469" s="21"/>
      <c r="J1469" s="45"/>
      <c r="K1469" s="45"/>
      <c r="L1469" s="45"/>
      <c r="M1469" s="45"/>
      <c r="N1469" s="45"/>
      <c r="O1469" s="21"/>
      <c r="P1469" s="21"/>
      <c r="Q1469" s="21"/>
      <c r="R1469" s="25" t="str">
        <f t="shared" si="23"/>
        <v/>
      </c>
    </row>
    <row r="1470" spans="1:18">
      <c r="A1470" s="28"/>
      <c r="B1470" s="48"/>
      <c r="C1470" s="48"/>
      <c r="D1470" s="21"/>
      <c r="E1470" s="21"/>
      <c r="F1470" s="21"/>
      <c r="G1470" s="21"/>
      <c r="H1470" s="21"/>
      <c r="I1470" s="21"/>
      <c r="J1470" s="45"/>
      <c r="K1470" s="45"/>
      <c r="L1470" s="45"/>
      <c r="M1470" s="45"/>
      <c r="N1470" s="45"/>
      <c r="O1470" s="21"/>
      <c r="P1470" s="21"/>
      <c r="Q1470" s="21"/>
      <c r="R1470" s="25" t="str">
        <f t="shared" si="23"/>
        <v/>
      </c>
    </row>
    <row r="1471" spans="1:18">
      <c r="A1471" s="28"/>
      <c r="B1471" s="48"/>
      <c r="C1471" s="48"/>
      <c r="D1471" s="21"/>
      <c r="E1471" s="21"/>
      <c r="F1471" s="21"/>
      <c r="G1471" s="21"/>
      <c r="H1471" s="21"/>
      <c r="I1471" s="21"/>
      <c r="J1471" s="45"/>
      <c r="K1471" s="45"/>
      <c r="L1471" s="45"/>
      <c r="M1471" s="45"/>
      <c r="N1471" s="45"/>
      <c r="O1471" s="21"/>
      <c r="P1471" s="21"/>
      <c r="Q1471" s="21"/>
      <c r="R1471" s="25" t="str">
        <f t="shared" si="23"/>
        <v/>
      </c>
    </row>
    <row r="1472" spans="1:18">
      <c r="A1472" s="28"/>
      <c r="B1472" s="48"/>
      <c r="C1472" s="48"/>
      <c r="D1472" s="21"/>
      <c r="E1472" s="21"/>
      <c r="F1472" s="21"/>
      <c r="G1472" s="21"/>
      <c r="H1472" s="21"/>
      <c r="I1472" s="21"/>
      <c r="J1472" s="45"/>
      <c r="K1472" s="45"/>
      <c r="L1472" s="45"/>
      <c r="M1472" s="45"/>
      <c r="N1472" s="45"/>
      <c r="O1472" s="21"/>
      <c r="P1472" s="21"/>
      <c r="Q1472" s="21"/>
      <c r="R1472" s="25" t="str">
        <f t="shared" si="23"/>
        <v/>
      </c>
    </row>
    <row r="1473" spans="1:18">
      <c r="A1473" s="28"/>
      <c r="B1473" s="48"/>
      <c r="C1473" s="48"/>
      <c r="D1473" s="21"/>
      <c r="E1473" s="21"/>
      <c r="F1473" s="21"/>
      <c r="G1473" s="21"/>
      <c r="H1473" s="21"/>
      <c r="I1473" s="21"/>
      <c r="J1473" s="45"/>
      <c r="K1473" s="45"/>
      <c r="L1473" s="45"/>
      <c r="M1473" s="45"/>
      <c r="N1473" s="45"/>
      <c r="O1473" s="21"/>
      <c r="P1473" s="21"/>
      <c r="Q1473" s="21"/>
      <c r="R1473" s="25" t="str">
        <f t="shared" si="23"/>
        <v/>
      </c>
    </row>
    <row r="1474" spans="1:18">
      <c r="A1474" s="28"/>
      <c r="B1474" s="48"/>
      <c r="C1474" s="48"/>
      <c r="D1474" s="21"/>
      <c r="E1474" s="21"/>
      <c r="F1474" s="21"/>
      <c r="G1474" s="21"/>
      <c r="H1474" s="21"/>
      <c r="I1474" s="21"/>
      <c r="J1474" s="45"/>
      <c r="K1474" s="45"/>
      <c r="L1474" s="45"/>
      <c r="M1474" s="45"/>
      <c r="N1474" s="45"/>
      <c r="O1474" s="21"/>
      <c r="P1474" s="21"/>
      <c r="Q1474" s="21"/>
      <c r="R1474" s="25" t="str">
        <f t="shared" si="23"/>
        <v/>
      </c>
    </row>
    <row r="1475" spans="1:18">
      <c r="A1475" s="28"/>
      <c r="B1475" s="48"/>
      <c r="C1475" s="48"/>
      <c r="D1475" s="21"/>
      <c r="E1475" s="21"/>
      <c r="F1475" s="21"/>
      <c r="G1475" s="21"/>
      <c r="H1475" s="21"/>
      <c r="I1475" s="21"/>
      <c r="J1475" s="45"/>
      <c r="K1475" s="45"/>
      <c r="L1475" s="45"/>
      <c r="M1475" s="45"/>
      <c r="N1475" s="45"/>
      <c r="O1475" s="21"/>
      <c r="P1475" s="21"/>
      <c r="Q1475" s="21"/>
      <c r="R1475" s="25" t="str">
        <f t="shared" si="23"/>
        <v/>
      </c>
    </row>
    <row r="1476" spans="1:18">
      <c r="A1476" s="28"/>
      <c r="B1476" s="48"/>
      <c r="C1476" s="48"/>
      <c r="D1476" s="21"/>
      <c r="E1476" s="21"/>
      <c r="F1476" s="21"/>
      <c r="G1476" s="21"/>
      <c r="H1476" s="21"/>
      <c r="I1476" s="21"/>
      <c r="J1476" s="45"/>
      <c r="K1476" s="45"/>
      <c r="L1476" s="45"/>
      <c r="M1476" s="45"/>
      <c r="N1476" s="45"/>
      <c r="O1476" s="21"/>
      <c r="P1476" s="21"/>
      <c r="Q1476" s="21"/>
      <c r="R1476" s="25" t="str">
        <f t="shared" si="23"/>
        <v/>
      </c>
    </row>
    <row r="1477" spans="1:18">
      <c r="A1477" s="28"/>
      <c r="B1477" s="48"/>
      <c r="C1477" s="48"/>
      <c r="D1477" s="21"/>
      <c r="E1477" s="21"/>
      <c r="F1477" s="21"/>
      <c r="G1477" s="21"/>
      <c r="H1477" s="21"/>
      <c r="I1477" s="21"/>
      <c r="J1477" s="45"/>
      <c r="K1477" s="45"/>
      <c r="L1477" s="45"/>
      <c r="M1477" s="45"/>
      <c r="N1477" s="45"/>
      <c r="O1477" s="21"/>
      <c r="P1477" s="21"/>
      <c r="Q1477" s="21"/>
      <c r="R1477" s="25" t="str">
        <f t="shared" si="23"/>
        <v/>
      </c>
    </row>
    <row r="1478" spans="1:18">
      <c r="A1478" s="28"/>
      <c r="B1478" s="48"/>
      <c r="C1478" s="48"/>
      <c r="D1478" s="21"/>
      <c r="E1478" s="21"/>
      <c r="F1478" s="21"/>
      <c r="G1478" s="21"/>
      <c r="H1478" s="21"/>
      <c r="I1478" s="21"/>
      <c r="J1478" s="45"/>
      <c r="K1478" s="45"/>
      <c r="L1478" s="45"/>
      <c r="M1478" s="45"/>
      <c r="N1478" s="45"/>
      <c r="O1478" s="21"/>
      <c r="P1478" s="21"/>
      <c r="Q1478" s="21"/>
      <c r="R1478" s="25" t="str">
        <f t="shared" si="23"/>
        <v/>
      </c>
    </row>
    <row r="1479" spans="1:18">
      <c r="A1479" s="28"/>
      <c r="B1479" s="48"/>
      <c r="C1479" s="48"/>
      <c r="D1479" s="21"/>
      <c r="E1479" s="21"/>
      <c r="F1479" s="21"/>
      <c r="G1479" s="21"/>
      <c r="H1479" s="21"/>
      <c r="I1479" s="21"/>
      <c r="J1479" s="45"/>
      <c r="K1479" s="45"/>
      <c r="L1479" s="45"/>
      <c r="M1479" s="45"/>
      <c r="N1479" s="45"/>
      <c r="O1479" s="21"/>
      <c r="P1479" s="21"/>
      <c r="Q1479" s="21"/>
      <c r="R1479" s="25" t="str">
        <f t="shared" si="23"/>
        <v/>
      </c>
    </row>
    <row r="1480" spans="1:18">
      <c r="A1480" s="28"/>
      <c r="B1480" s="48"/>
      <c r="C1480" s="48"/>
      <c r="D1480" s="21"/>
      <c r="E1480" s="21"/>
      <c r="F1480" s="21"/>
      <c r="G1480" s="21"/>
      <c r="H1480" s="21"/>
      <c r="I1480" s="21"/>
      <c r="J1480" s="45"/>
      <c r="K1480" s="45"/>
      <c r="L1480" s="45"/>
      <c r="M1480" s="45"/>
      <c r="N1480" s="45"/>
      <c r="O1480" s="21"/>
      <c r="P1480" s="21"/>
      <c r="Q1480" s="21"/>
      <c r="R1480" s="25" t="str">
        <f t="shared" si="23"/>
        <v/>
      </c>
    </row>
    <row r="1481" spans="1:18">
      <c r="A1481" s="28"/>
      <c r="B1481" s="48"/>
      <c r="C1481" s="48"/>
      <c r="D1481" s="21"/>
      <c r="E1481" s="21"/>
      <c r="F1481" s="21"/>
      <c r="G1481" s="21"/>
      <c r="H1481" s="21"/>
      <c r="I1481" s="21"/>
      <c r="J1481" s="45"/>
      <c r="K1481" s="45"/>
      <c r="L1481" s="45"/>
      <c r="M1481" s="45"/>
      <c r="N1481" s="45"/>
      <c r="O1481" s="21"/>
      <c r="P1481" s="21"/>
      <c r="Q1481" s="21"/>
      <c r="R1481" s="25" t="str">
        <f t="shared" si="23"/>
        <v/>
      </c>
    </row>
    <row r="1482" spans="1:18">
      <c r="A1482" s="28"/>
      <c r="B1482" s="48"/>
      <c r="C1482" s="48"/>
      <c r="D1482" s="21"/>
      <c r="E1482" s="21"/>
      <c r="F1482" s="21"/>
      <c r="G1482" s="21"/>
      <c r="H1482" s="21"/>
      <c r="I1482" s="21"/>
      <c r="J1482" s="45"/>
      <c r="K1482" s="45"/>
      <c r="L1482" s="45"/>
      <c r="M1482" s="45"/>
      <c r="N1482" s="45"/>
      <c r="O1482" s="21"/>
      <c r="P1482" s="21"/>
      <c r="Q1482" s="21"/>
      <c r="R1482" s="25" t="str">
        <f t="shared" si="23"/>
        <v/>
      </c>
    </row>
    <row r="1483" spans="1:18">
      <c r="A1483" s="28"/>
      <c r="B1483" s="48"/>
      <c r="C1483" s="48"/>
      <c r="D1483" s="21"/>
      <c r="E1483" s="21"/>
      <c r="F1483" s="21"/>
      <c r="G1483" s="21"/>
      <c r="H1483" s="21"/>
      <c r="I1483" s="21"/>
      <c r="J1483" s="45"/>
      <c r="K1483" s="45"/>
      <c r="L1483" s="45"/>
      <c r="M1483" s="45"/>
      <c r="N1483" s="45"/>
      <c r="O1483" s="21"/>
      <c r="P1483" s="21"/>
      <c r="Q1483" s="21"/>
      <c r="R1483" s="25" t="str">
        <f t="shared" si="23"/>
        <v/>
      </c>
    </row>
    <row r="1484" spans="1:18">
      <c r="A1484" s="28"/>
      <c r="B1484" s="48"/>
      <c r="C1484" s="48"/>
      <c r="D1484" s="21"/>
      <c r="E1484" s="21"/>
      <c r="F1484" s="21"/>
      <c r="G1484" s="21"/>
      <c r="H1484" s="21"/>
      <c r="I1484" s="21"/>
      <c r="J1484" s="45"/>
      <c r="K1484" s="45"/>
      <c r="L1484" s="45"/>
      <c r="M1484" s="45"/>
      <c r="N1484" s="45"/>
      <c r="O1484" s="21"/>
      <c r="P1484" s="21"/>
      <c r="Q1484" s="21"/>
      <c r="R1484" s="25" t="str">
        <f t="shared" si="23"/>
        <v/>
      </c>
    </row>
    <row r="1485" spans="1:18">
      <c r="A1485" s="28"/>
      <c r="B1485" s="48"/>
      <c r="C1485" s="48"/>
      <c r="D1485" s="21"/>
      <c r="E1485" s="21"/>
      <c r="F1485" s="21"/>
      <c r="G1485" s="21"/>
      <c r="H1485" s="21"/>
      <c r="I1485" s="21"/>
      <c r="J1485" s="45"/>
      <c r="K1485" s="45"/>
      <c r="L1485" s="45"/>
      <c r="M1485" s="45"/>
      <c r="N1485" s="45"/>
      <c r="O1485" s="21"/>
      <c r="P1485" s="21"/>
      <c r="Q1485" s="21"/>
      <c r="R1485" s="25" t="str">
        <f t="shared" si="23"/>
        <v/>
      </c>
    </row>
    <row r="1486" spans="1:18">
      <c r="A1486" s="28"/>
      <c r="B1486" s="48"/>
      <c r="C1486" s="48"/>
      <c r="D1486" s="21"/>
      <c r="E1486" s="21"/>
      <c r="F1486" s="21"/>
      <c r="G1486" s="21"/>
      <c r="H1486" s="21"/>
      <c r="I1486" s="21"/>
      <c r="J1486" s="45"/>
      <c r="K1486" s="45"/>
      <c r="L1486" s="45"/>
      <c r="M1486" s="45"/>
      <c r="N1486" s="45"/>
      <c r="O1486" s="21"/>
      <c r="P1486" s="21"/>
      <c r="Q1486" s="21"/>
      <c r="R1486" s="25" t="str">
        <f t="shared" si="23"/>
        <v/>
      </c>
    </row>
    <row r="1487" spans="1:18">
      <c r="A1487" s="28"/>
      <c r="B1487" s="48"/>
      <c r="C1487" s="48"/>
      <c r="D1487" s="21"/>
      <c r="E1487" s="21"/>
      <c r="F1487" s="21"/>
      <c r="G1487" s="21"/>
      <c r="H1487" s="21"/>
      <c r="I1487" s="21"/>
      <c r="J1487" s="45"/>
      <c r="K1487" s="45"/>
      <c r="L1487" s="45"/>
      <c r="M1487" s="45"/>
      <c r="N1487" s="45"/>
      <c r="O1487" s="21"/>
      <c r="P1487" s="21"/>
      <c r="Q1487" s="21"/>
      <c r="R1487" s="25" t="str">
        <f t="shared" si="23"/>
        <v/>
      </c>
    </row>
    <row r="1488" spans="1:18">
      <c r="A1488" s="28"/>
      <c r="B1488" s="48"/>
      <c r="C1488" s="48"/>
      <c r="D1488" s="21"/>
      <c r="E1488" s="21"/>
      <c r="F1488" s="21"/>
      <c r="G1488" s="21"/>
      <c r="H1488" s="21"/>
      <c r="I1488" s="21"/>
      <c r="J1488" s="45"/>
      <c r="K1488" s="45"/>
      <c r="L1488" s="45"/>
      <c r="M1488" s="45"/>
      <c r="N1488" s="45"/>
      <c r="O1488" s="21"/>
      <c r="P1488" s="21"/>
      <c r="Q1488" s="21"/>
      <c r="R1488" s="25" t="str">
        <f t="shared" si="23"/>
        <v/>
      </c>
    </row>
    <row r="1489" spans="1:18">
      <c r="A1489" s="28"/>
      <c r="B1489" s="48"/>
      <c r="C1489" s="48"/>
      <c r="D1489" s="21"/>
      <c r="E1489" s="21"/>
      <c r="F1489" s="21"/>
      <c r="G1489" s="21"/>
      <c r="H1489" s="21"/>
      <c r="I1489" s="21"/>
      <c r="J1489" s="45"/>
      <c r="K1489" s="45"/>
      <c r="L1489" s="45"/>
      <c r="M1489" s="45"/>
      <c r="N1489" s="45"/>
      <c r="O1489" s="21"/>
      <c r="P1489" s="21"/>
      <c r="Q1489" s="21"/>
      <c r="R1489" s="25" t="str">
        <f t="shared" si="23"/>
        <v/>
      </c>
    </row>
    <row r="1490" spans="1:18">
      <c r="A1490" s="28"/>
      <c r="B1490" s="48"/>
      <c r="C1490" s="48"/>
      <c r="D1490" s="21"/>
      <c r="E1490" s="21"/>
      <c r="F1490" s="21"/>
      <c r="G1490" s="21"/>
      <c r="H1490" s="21"/>
      <c r="I1490" s="21"/>
      <c r="J1490" s="45"/>
      <c r="K1490" s="45"/>
      <c r="L1490" s="45"/>
      <c r="M1490" s="45"/>
      <c r="N1490" s="45"/>
      <c r="O1490" s="21"/>
      <c r="P1490" s="21"/>
      <c r="Q1490" s="21"/>
      <c r="R1490" s="25" t="str">
        <f t="shared" si="23"/>
        <v/>
      </c>
    </row>
    <row r="1491" spans="1:18">
      <c r="A1491" s="28"/>
      <c r="B1491" s="48"/>
      <c r="C1491" s="48"/>
      <c r="D1491" s="21"/>
      <c r="E1491" s="21"/>
      <c r="F1491" s="21"/>
      <c r="G1491" s="21"/>
      <c r="H1491" s="21"/>
      <c r="I1491" s="21"/>
      <c r="J1491" s="45"/>
      <c r="K1491" s="45"/>
      <c r="L1491" s="45"/>
      <c r="M1491" s="45"/>
      <c r="N1491" s="45"/>
      <c r="O1491" s="21"/>
      <c r="P1491" s="21"/>
      <c r="Q1491" s="21"/>
      <c r="R1491" s="25" t="str">
        <f t="shared" si="23"/>
        <v/>
      </c>
    </row>
    <row r="1492" spans="1:18">
      <c r="A1492" s="28"/>
      <c r="B1492" s="48"/>
      <c r="C1492" s="48"/>
      <c r="D1492" s="21"/>
      <c r="E1492" s="21"/>
      <c r="F1492" s="21"/>
      <c r="G1492" s="21"/>
      <c r="H1492" s="21"/>
      <c r="I1492" s="21"/>
      <c r="J1492" s="45"/>
      <c r="K1492" s="45"/>
      <c r="L1492" s="45"/>
      <c r="M1492" s="45"/>
      <c r="N1492" s="45"/>
      <c r="O1492" s="21"/>
      <c r="P1492" s="21"/>
      <c r="Q1492" s="21"/>
      <c r="R1492" s="25" t="str">
        <f t="shared" si="23"/>
        <v/>
      </c>
    </row>
    <row r="1493" spans="1:18">
      <c r="A1493" s="28"/>
      <c r="B1493" s="48"/>
      <c r="C1493" s="48"/>
      <c r="D1493" s="21"/>
      <c r="E1493" s="21"/>
      <c r="F1493" s="21"/>
      <c r="G1493" s="21"/>
      <c r="H1493" s="21"/>
      <c r="I1493" s="21"/>
      <c r="J1493" s="45"/>
      <c r="K1493" s="45"/>
      <c r="L1493" s="45"/>
      <c r="M1493" s="45"/>
      <c r="N1493" s="45"/>
      <c r="O1493" s="21"/>
      <c r="P1493" s="21"/>
      <c r="Q1493" s="21"/>
      <c r="R1493" s="25" t="str">
        <f t="shared" si="23"/>
        <v/>
      </c>
    </row>
    <row r="1494" spans="1:18">
      <c r="A1494" s="28"/>
      <c r="B1494" s="48"/>
      <c r="C1494" s="48"/>
      <c r="D1494" s="21"/>
      <c r="E1494" s="21"/>
      <c r="F1494" s="21"/>
      <c r="G1494" s="21"/>
      <c r="H1494" s="21"/>
      <c r="I1494" s="21"/>
      <c r="J1494" s="45"/>
      <c r="K1494" s="45"/>
      <c r="L1494" s="45"/>
      <c r="M1494" s="45"/>
      <c r="N1494" s="45"/>
      <c r="O1494" s="21"/>
      <c r="P1494" s="21"/>
      <c r="Q1494" s="21"/>
      <c r="R1494" s="25" t="str">
        <f t="shared" si="23"/>
        <v/>
      </c>
    </row>
    <row r="1495" spans="1:18">
      <c r="A1495" s="28"/>
      <c r="B1495" s="48"/>
      <c r="C1495" s="48"/>
      <c r="D1495" s="21"/>
      <c r="E1495" s="21"/>
      <c r="F1495" s="21"/>
      <c r="G1495" s="21"/>
      <c r="H1495" s="21"/>
      <c r="I1495" s="21"/>
      <c r="J1495" s="45"/>
      <c r="K1495" s="45"/>
      <c r="L1495" s="45"/>
      <c r="M1495" s="45"/>
      <c r="N1495" s="45"/>
      <c r="O1495" s="21"/>
      <c r="P1495" s="21"/>
      <c r="Q1495" s="21"/>
      <c r="R1495" s="25" t="str">
        <f t="shared" si="23"/>
        <v/>
      </c>
    </row>
    <row r="1496" spans="1:18">
      <c r="A1496" s="28"/>
      <c r="B1496" s="48"/>
      <c r="C1496" s="48"/>
      <c r="D1496" s="21"/>
      <c r="E1496" s="21"/>
      <c r="F1496" s="21"/>
      <c r="G1496" s="21"/>
      <c r="H1496" s="21"/>
      <c r="I1496" s="21"/>
      <c r="J1496" s="45"/>
      <c r="K1496" s="45"/>
      <c r="L1496" s="45"/>
      <c r="M1496" s="45"/>
      <c r="N1496" s="45"/>
      <c r="O1496" s="21"/>
      <c r="P1496" s="21"/>
      <c r="Q1496" s="21"/>
      <c r="R1496" s="25" t="str">
        <f t="shared" si="23"/>
        <v/>
      </c>
    </row>
    <row r="1497" spans="1:18">
      <c r="A1497" s="28"/>
      <c r="B1497" s="48"/>
      <c r="C1497" s="48"/>
      <c r="D1497" s="21"/>
      <c r="E1497" s="21"/>
      <c r="F1497" s="21"/>
      <c r="G1497" s="21"/>
      <c r="H1497" s="21"/>
      <c r="I1497" s="21"/>
      <c r="J1497" s="45"/>
      <c r="K1497" s="45"/>
      <c r="L1497" s="45"/>
      <c r="M1497" s="45"/>
      <c r="N1497" s="45"/>
      <c r="O1497" s="21"/>
      <c r="P1497" s="21"/>
      <c r="Q1497" s="21"/>
      <c r="R1497" s="25" t="str">
        <f t="shared" si="23"/>
        <v/>
      </c>
    </row>
    <row r="1498" spans="1:18">
      <c r="A1498" s="28"/>
      <c r="B1498" s="48"/>
      <c r="C1498" s="48"/>
      <c r="D1498" s="21"/>
      <c r="E1498" s="21"/>
      <c r="F1498" s="21"/>
      <c r="G1498" s="21"/>
      <c r="H1498" s="21"/>
      <c r="I1498" s="21"/>
      <c r="J1498" s="45"/>
      <c r="K1498" s="45"/>
      <c r="L1498" s="45"/>
      <c r="M1498" s="45"/>
      <c r="N1498" s="45"/>
      <c r="O1498" s="21"/>
      <c r="P1498" s="21"/>
      <c r="Q1498" s="21"/>
      <c r="R1498" s="25" t="str">
        <f t="shared" si="23"/>
        <v/>
      </c>
    </row>
    <row r="1499" spans="1:18">
      <c r="A1499" s="28"/>
      <c r="B1499" s="48"/>
      <c r="C1499" s="48"/>
      <c r="D1499" s="21"/>
      <c r="E1499" s="21"/>
      <c r="F1499" s="21"/>
      <c r="G1499" s="21"/>
      <c r="H1499" s="21"/>
      <c r="I1499" s="21"/>
      <c r="J1499" s="45"/>
      <c r="K1499" s="45"/>
      <c r="L1499" s="45"/>
      <c r="M1499" s="45"/>
      <c r="N1499" s="45"/>
      <c r="O1499" s="21"/>
      <c r="P1499" s="21"/>
      <c r="Q1499" s="21"/>
      <c r="R1499" s="25" t="str">
        <f t="shared" si="23"/>
        <v/>
      </c>
    </row>
    <row r="1500" spans="1:18">
      <c r="A1500" s="28"/>
      <c r="B1500" s="48"/>
      <c r="C1500" s="48"/>
      <c r="D1500" s="21"/>
      <c r="E1500" s="21"/>
      <c r="F1500" s="21"/>
      <c r="G1500" s="21"/>
      <c r="H1500" s="21"/>
      <c r="I1500" s="21"/>
      <c r="J1500" s="45"/>
      <c r="K1500" s="45"/>
      <c r="L1500" s="45"/>
      <c r="M1500" s="45"/>
      <c r="N1500" s="45"/>
      <c r="O1500" s="21"/>
      <c r="P1500" s="21"/>
      <c r="Q1500" s="21"/>
      <c r="R1500" s="25" t="str">
        <f t="shared" si="23"/>
        <v/>
      </c>
    </row>
    <row r="1501" spans="1:18">
      <c r="A1501" s="28"/>
      <c r="B1501" s="48"/>
      <c r="C1501" s="48"/>
      <c r="D1501" s="21"/>
      <c r="E1501" s="21"/>
      <c r="F1501" s="21"/>
      <c r="G1501" s="21"/>
      <c r="H1501" s="21"/>
      <c r="I1501" s="21"/>
      <c r="J1501" s="45"/>
      <c r="K1501" s="45"/>
      <c r="L1501" s="45"/>
      <c r="M1501" s="45"/>
      <c r="N1501" s="45"/>
      <c r="O1501" s="21"/>
      <c r="P1501" s="21"/>
      <c r="Q1501" s="21"/>
      <c r="R1501" s="25" t="str">
        <f t="shared" si="23"/>
        <v/>
      </c>
    </row>
    <row r="1502" spans="1:18">
      <c r="A1502" s="28"/>
      <c r="B1502" s="48"/>
      <c r="C1502" s="48"/>
      <c r="D1502" s="21"/>
      <c r="E1502" s="21"/>
      <c r="F1502" s="21"/>
      <c r="G1502" s="21"/>
      <c r="H1502" s="21"/>
      <c r="I1502" s="21"/>
      <c r="J1502" s="45"/>
      <c r="K1502" s="45"/>
      <c r="L1502" s="45"/>
      <c r="M1502" s="45"/>
      <c r="N1502" s="45"/>
      <c r="O1502" s="21"/>
      <c r="P1502" s="21"/>
      <c r="Q1502" s="21"/>
      <c r="R1502" s="25" t="str">
        <f t="shared" si="23"/>
        <v/>
      </c>
    </row>
    <row r="1503" spans="1:18">
      <c r="A1503" s="28"/>
      <c r="B1503" s="48"/>
      <c r="C1503" s="48"/>
      <c r="D1503" s="21"/>
      <c r="E1503" s="21"/>
      <c r="F1503" s="21"/>
      <c r="G1503" s="21"/>
      <c r="H1503" s="21"/>
      <c r="I1503" s="21"/>
      <c r="J1503" s="45"/>
      <c r="K1503" s="45"/>
      <c r="L1503" s="45"/>
      <c r="M1503" s="45"/>
      <c r="N1503" s="45"/>
      <c r="O1503" s="21"/>
      <c r="P1503" s="21"/>
      <c r="Q1503" s="21"/>
      <c r="R1503" s="25" t="str">
        <f t="shared" si="23"/>
        <v/>
      </c>
    </row>
    <row r="1504" spans="1:18">
      <c r="A1504" s="28"/>
      <c r="B1504" s="48"/>
      <c r="C1504" s="48"/>
      <c r="D1504" s="21"/>
      <c r="E1504" s="21"/>
      <c r="F1504" s="21"/>
      <c r="G1504" s="21"/>
      <c r="H1504" s="21"/>
      <c r="I1504" s="21"/>
      <c r="J1504" s="45"/>
      <c r="K1504" s="45"/>
      <c r="L1504" s="45"/>
      <c r="M1504" s="45"/>
      <c r="N1504" s="45"/>
      <c r="O1504" s="21"/>
      <c r="P1504" s="21"/>
      <c r="Q1504" s="21"/>
      <c r="R1504" s="25" t="str">
        <f t="shared" si="23"/>
        <v/>
      </c>
    </row>
    <row r="1505" spans="1:18">
      <c r="A1505" s="28"/>
      <c r="B1505" s="48"/>
      <c r="C1505" s="48"/>
      <c r="D1505" s="21"/>
      <c r="E1505" s="21"/>
      <c r="F1505" s="21"/>
      <c r="G1505" s="21"/>
      <c r="H1505" s="21"/>
      <c r="I1505" s="21"/>
      <c r="J1505" s="45"/>
      <c r="K1505" s="45"/>
      <c r="L1505" s="45"/>
      <c r="M1505" s="45"/>
      <c r="N1505" s="45"/>
      <c r="O1505" s="21"/>
      <c r="P1505" s="21"/>
      <c r="Q1505" s="21"/>
      <c r="R1505" s="25" t="str">
        <f t="shared" si="23"/>
        <v/>
      </c>
    </row>
    <row r="1506" spans="1:18">
      <c r="A1506" s="28"/>
      <c r="B1506" s="48"/>
      <c r="C1506" s="48"/>
      <c r="D1506" s="21"/>
      <c r="E1506" s="21"/>
      <c r="F1506" s="21"/>
      <c r="G1506" s="21"/>
      <c r="H1506" s="21"/>
      <c r="I1506" s="21"/>
      <c r="J1506" s="45"/>
      <c r="K1506" s="45"/>
      <c r="L1506" s="45"/>
      <c r="M1506" s="45"/>
      <c r="N1506" s="45"/>
      <c r="O1506" s="21"/>
      <c r="P1506" s="21"/>
      <c r="Q1506" s="21"/>
      <c r="R1506" s="25" t="str">
        <f t="shared" si="23"/>
        <v/>
      </c>
    </row>
    <row r="1507" spans="1:18">
      <c r="A1507" s="28"/>
      <c r="B1507" s="48"/>
      <c r="C1507" s="48"/>
      <c r="D1507" s="21"/>
      <c r="E1507" s="21"/>
      <c r="F1507" s="21"/>
      <c r="G1507" s="21"/>
      <c r="H1507" s="21"/>
      <c r="I1507" s="21"/>
      <c r="J1507" s="45"/>
      <c r="K1507" s="45"/>
      <c r="L1507" s="45"/>
      <c r="M1507" s="45"/>
      <c r="N1507" s="45"/>
      <c r="O1507" s="21"/>
      <c r="P1507" s="21"/>
      <c r="Q1507" s="21"/>
      <c r="R1507" s="25" t="str">
        <f t="shared" si="23"/>
        <v/>
      </c>
    </row>
    <row r="1508" spans="1:18">
      <c r="A1508" s="28"/>
      <c r="B1508" s="48"/>
      <c r="C1508" s="48"/>
      <c r="D1508" s="21"/>
      <c r="E1508" s="21"/>
      <c r="F1508" s="21"/>
      <c r="G1508" s="21"/>
      <c r="H1508" s="21"/>
      <c r="I1508" s="21"/>
      <c r="J1508" s="45"/>
      <c r="K1508" s="45"/>
      <c r="L1508" s="45"/>
      <c r="M1508" s="45"/>
      <c r="N1508" s="45"/>
      <c r="O1508" s="21"/>
      <c r="P1508" s="21"/>
      <c r="Q1508" s="21"/>
      <c r="R1508" s="25" t="str">
        <f t="shared" si="23"/>
        <v/>
      </c>
    </row>
    <row r="1509" spans="1:18">
      <c r="A1509" s="28"/>
      <c r="B1509" s="48"/>
      <c r="C1509" s="48"/>
      <c r="D1509" s="21"/>
      <c r="E1509" s="21"/>
      <c r="F1509" s="21"/>
      <c r="G1509" s="21"/>
      <c r="H1509" s="21"/>
      <c r="I1509" s="21"/>
      <c r="J1509" s="45"/>
      <c r="K1509" s="45"/>
      <c r="L1509" s="45"/>
      <c r="M1509" s="45"/>
      <c r="N1509" s="45"/>
      <c r="O1509" s="21"/>
      <c r="P1509" s="21"/>
      <c r="Q1509" s="21"/>
      <c r="R1509" s="25" t="str">
        <f t="shared" si="23"/>
        <v/>
      </c>
    </row>
    <row r="1510" spans="1:18">
      <c r="A1510" s="28"/>
      <c r="B1510" s="48"/>
      <c r="C1510" s="48"/>
      <c r="D1510" s="21"/>
      <c r="E1510" s="21"/>
      <c r="F1510" s="21"/>
      <c r="G1510" s="21"/>
      <c r="H1510" s="21"/>
      <c r="I1510" s="21"/>
      <c r="J1510" s="45"/>
      <c r="K1510" s="45"/>
      <c r="L1510" s="45"/>
      <c r="M1510" s="45"/>
      <c r="N1510" s="45"/>
      <c r="O1510" s="21"/>
      <c r="P1510" s="21"/>
      <c r="Q1510" s="21"/>
      <c r="R1510" s="25" t="str">
        <f t="shared" si="23"/>
        <v/>
      </c>
    </row>
    <row r="1511" spans="1:18">
      <c r="A1511" s="28"/>
      <c r="B1511" s="48"/>
      <c r="C1511" s="48"/>
      <c r="D1511" s="21"/>
      <c r="E1511" s="21"/>
      <c r="F1511" s="21"/>
      <c r="G1511" s="21"/>
      <c r="H1511" s="21"/>
      <c r="I1511" s="21"/>
      <c r="J1511" s="45"/>
      <c r="K1511" s="45"/>
      <c r="L1511" s="45"/>
      <c r="M1511" s="45"/>
      <c r="N1511" s="45"/>
      <c r="O1511" s="21"/>
      <c r="P1511" s="21"/>
      <c r="Q1511" s="21"/>
      <c r="R1511" s="25" t="str">
        <f t="shared" si="23"/>
        <v/>
      </c>
    </row>
    <row r="1512" spans="1:18">
      <c r="A1512" s="28"/>
      <c r="B1512" s="48"/>
      <c r="C1512" s="48"/>
      <c r="D1512" s="21"/>
      <c r="E1512" s="21"/>
      <c r="F1512" s="21"/>
      <c r="G1512" s="21"/>
      <c r="H1512" s="21"/>
      <c r="I1512" s="21"/>
      <c r="J1512" s="45"/>
      <c r="K1512" s="45"/>
      <c r="L1512" s="45"/>
      <c r="M1512" s="45"/>
      <c r="N1512" s="45"/>
      <c r="O1512" s="21"/>
      <c r="P1512" s="21"/>
      <c r="Q1512" s="21"/>
      <c r="R1512" s="25" t="str">
        <f t="shared" si="23"/>
        <v/>
      </c>
    </row>
    <row r="1513" spans="1:18">
      <c r="A1513" s="28"/>
      <c r="B1513" s="48"/>
      <c r="C1513" s="48"/>
      <c r="D1513" s="21"/>
      <c r="E1513" s="21"/>
      <c r="F1513" s="21"/>
      <c r="G1513" s="21"/>
      <c r="H1513" s="21"/>
      <c r="I1513" s="21"/>
      <c r="J1513" s="45"/>
      <c r="K1513" s="45"/>
      <c r="L1513" s="45"/>
      <c r="M1513" s="45"/>
      <c r="N1513" s="45"/>
      <c r="O1513" s="21"/>
      <c r="P1513" s="21"/>
      <c r="Q1513" s="21"/>
      <c r="R1513" s="25" t="str">
        <f t="shared" si="23"/>
        <v/>
      </c>
    </row>
    <row r="1514" spans="1:18">
      <c r="A1514" s="28"/>
      <c r="B1514" s="48"/>
      <c r="C1514" s="48"/>
      <c r="D1514" s="21"/>
      <c r="E1514" s="21"/>
      <c r="F1514" s="21"/>
      <c r="G1514" s="21"/>
      <c r="H1514" s="21"/>
      <c r="I1514" s="21"/>
      <c r="J1514" s="45"/>
      <c r="K1514" s="45"/>
      <c r="L1514" s="45"/>
      <c r="M1514" s="45"/>
      <c r="N1514" s="45"/>
      <c r="O1514" s="21"/>
      <c r="P1514" s="21"/>
      <c r="Q1514" s="21"/>
      <c r="R1514" s="25" t="str">
        <f t="shared" si="23"/>
        <v/>
      </c>
    </row>
    <row r="1515" spans="1:18">
      <c r="A1515" s="28"/>
      <c r="B1515" s="48"/>
      <c r="C1515" s="48"/>
      <c r="D1515" s="21"/>
      <c r="E1515" s="21"/>
      <c r="F1515" s="21"/>
      <c r="G1515" s="21"/>
      <c r="H1515" s="21"/>
      <c r="I1515" s="21"/>
      <c r="J1515" s="45"/>
      <c r="K1515" s="45"/>
      <c r="L1515" s="45"/>
      <c r="M1515" s="45"/>
      <c r="N1515" s="45"/>
      <c r="O1515" s="21"/>
      <c r="P1515" s="21"/>
      <c r="Q1515" s="21"/>
      <c r="R1515" s="25" t="str">
        <f t="shared" si="23"/>
        <v/>
      </c>
    </row>
    <row r="1516" spans="1:18">
      <c r="A1516" s="28"/>
      <c r="B1516" s="48"/>
      <c r="C1516" s="48"/>
      <c r="D1516" s="21"/>
      <c r="E1516" s="21"/>
      <c r="F1516" s="21"/>
      <c r="G1516" s="21"/>
      <c r="H1516" s="21"/>
      <c r="I1516" s="21"/>
      <c r="J1516" s="45"/>
      <c r="K1516" s="45"/>
      <c r="L1516" s="45"/>
      <c r="M1516" s="45"/>
      <c r="N1516" s="45"/>
      <c r="O1516" s="21"/>
      <c r="P1516" s="21"/>
      <c r="Q1516" s="21"/>
      <c r="R1516" s="25" t="str">
        <f t="shared" si="23"/>
        <v/>
      </c>
    </row>
    <row r="1517" spans="1:18">
      <c r="A1517" s="28"/>
      <c r="B1517" s="48"/>
      <c r="C1517" s="48"/>
      <c r="D1517" s="21"/>
      <c r="E1517" s="21"/>
      <c r="F1517" s="21"/>
      <c r="G1517" s="21"/>
      <c r="H1517" s="21"/>
      <c r="I1517" s="21"/>
      <c r="J1517" s="45"/>
      <c r="K1517" s="45"/>
      <c r="L1517" s="45"/>
      <c r="M1517" s="45"/>
      <c r="N1517" s="45"/>
      <c r="O1517" s="21"/>
      <c r="P1517" s="21"/>
      <c r="Q1517" s="21"/>
      <c r="R1517" s="25" t="str">
        <f t="shared" si="23"/>
        <v/>
      </c>
    </row>
    <row r="1518" spans="1:18">
      <c r="A1518" s="28"/>
      <c r="B1518" s="48"/>
      <c r="C1518" s="48"/>
      <c r="D1518" s="21"/>
      <c r="E1518" s="21"/>
      <c r="F1518" s="21"/>
      <c r="G1518" s="21"/>
      <c r="H1518" s="21"/>
      <c r="I1518" s="21"/>
      <c r="J1518" s="45"/>
      <c r="K1518" s="45"/>
      <c r="L1518" s="45"/>
      <c r="M1518" s="45"/>
      <c r="N1518" s="45"/>
      <c r="O1518" s="21"/>
      <c r="P1518" s="21"/>
      <c r="Q1518" s="21"/>
      <c r="R1518" s="25" t="str">
        <f t="shared" si="23"/>
        <v/>
      </c>
    </row>
    <row r="1519" spans="1:18">
      <c r="A1519" s="28"/>
      <c r="B1519" s="48"/>
      <c r="C1519" s="48"/>
      <c r="D1519" s="21"/>
      <c r="E1519" s="21"/>
      <c r="F1519" s="21"/>
      <c r="G1519" s="21"/>
      <c r="H1519" s="21"/>
      <c r="I1519" s="21"/>
      <c r="J1519" s="45"/>
      <c r="K1519" s="45"/>
      <c r="L1519" s="45"/>
      <c r="M1519" s="45"/>
      <c r="N1519" s="45"/>
      <c r="O1519" s="21"/>
      <c r="P1519" s="21"/>
      <c r="Q1519" s="21"/>
      <c r="R1519" s="25" t="str">
        <f t="shared" si="23"/>
        <v/>
      </c>
    </row>
    <row r="1520" spans="1:18">
      <c r="A1520" s="28"/>
      <c r="B1520" s="48"/>
      <c r="C1520" s="48"/>
      <c r="D1520" s="21"/>
      <c r="E1520" s="21"/>
      <c r="F1520" s="21"/>
      <c r="G1520" s="21"/>
      <c r="H1520" s="21"/>
      <c r="I1520" s="21"/>
      <c r="J1520" s="45"/>
      <c r="K1520" s="45"/>
      <c r="L1520" s="45"/>
      <c r="M1520" s="45"/>
      <c r="N1520" s="45"/>
      <c r="O1520" s="21"/>
      <c r="P1520" s="21"/>
      <c r="Q1520" s="21"/>
      <c r="R1520" s="25" t="str">
        <f t="shared" si="23"/>
        <v/>
      </c>
    </row>
    <row r="1521" spans="1:18">
      <c r="A1521" s="28"/>
      <c r="B1521" s="48"/>
      <c r="C1521" s="48"/>
      <c r="D1521" s="21"/>
      <c r="E1521" s="21"/>
      <c r="F1521" s="21"/>
      <c r="G1521" s="21"/>
      <c r="H1521" s="21"/>
      <c r="I1521" s="21"/>
      <c r="J1521" s="45"/>
      <c r="K1521" s="45"/>
      <c r="L1521" s="45"/>
      <c r="M1521" s="45"/>
      <c r="N1521" s="45"/>
      <c r="O1521" s="21"/>
      <c r="P1521" s="21"/>
      <c r="Q1521" s="21"/>
      <c r="R1521" s="25" t="str">
        <f t="shared" si="23"/>
        <v/>
      </c>
    </row>
    <row r="1522" spans="1:18">
      <c r="A1522" s="28"/>
      <c r="B1522" s="48"/>
      <c r="C1522" s="48"/>
      <c r="D1522" s="21"/>
      <c r="E1522" s="21"/>
      <c r="F1522" s="21"/>
      <c r="G1522" s="21"/>
      <c r="H1522" s="21"/>
      <c r="I1522" s="21"/>
      <c r="J1522" s="45"/>
      <c r="K1522" s="45"/>
      <c r="L1522" s="45"/>
      <c r="M1522" s="45"/>
      <c r="N1522" s="45"/>
      <c r="O1522" s="21"/>
      <c r="P1522" s="21"/>
      <c r="Q1522" s="21"/>
      <c r="R1522" s="25" t="str">
        <f t="shared" si="23"/>
        <v/>
      </c>
    </row>
    <row r="1523" spans="1:18">
      <c r="A1523" s="28"/>
      <c r="B1523" s="48"/>
      <c r="C1523" s="48"/>
      <c r="D1523" s="21"/>
      <c r="E1523" s="21"/>
      <c r="F1523" s="21"/>
      <c r="G1523" s="21"/>
      <c r="H1523" s="21"/>
      <c r="I1523" s="21"/>
      <c r="J1523" s="45"/>
      <c r="K1523" s="45"/>
      <c r="L1523" s="45"/>
      <c r="M1523" s="45"/>
      <c r="N1523" s="45"/>
      <c r="O1523" s="21"/>
      <c r="P1523" s="21"/>
      <c r="Q1523" s="21"/>
      <c r="R1523" s="25" t="str">
        <f t="shared" ref="R1523:R1586" si="24">IF(COUNTIF($A$17:$A$2010,$A1523)&gt;1,"Possible Duplicate","")</f>
        <v/>
      </c>
    </row>
    <row r="1524" spans="1:18">
      <c r="A1524" s="28"/>
      <c r="B1524" s="48"/>
      <c r="C1524" s="48"/>
      <c r="D1524" s="21"/>
      <c r="E1524" s="21"/>
      <c r="F1524" s="21"/>
      <c r="G1524" s="21"/>
      <c r="H1524" s="21"/>
      <c r="I1524" s="21"/>
      <c r="J1524" s="45"/>
      <c r="K1524" s="45"/>
      <c r="L1524" s="45"/>
      <c r="M1524" s="45"/>
      <c r="N1524" s="45"/>
      <c r="O1524" s="21"/>
      <c r="P1524" s="21"/>
      <c r="Q1524" s="21"/>
      <c r="R1524" s="25" t="str">
        <f t="shared" si="24"/>
        <v/>
      </c>
    </row>
    <row r="1525" spans="1:18">
      <c r="A1525" s="28"/>
      <c r="B1525" s="48"/>
      <c r="C1525" s="48"/>
      <c r="D1525" s="21"/>
      <c r="E1525" s="21"/>
      <c r="F1525" s="21"/>
      <c r="G1525" s="21"/>
      <c r="H1525" s="21"/>
      <c r="I1525" s="21"/>
      <c r="J1525" s="45"/>
      <c r="K1525" s="45"/>
      <c r="L1525" s="45"/>
      <c r="M1525" s="45"/>
      <c r="N1525" s="45"/>
      <c r="O1525" s="21"/>
      <c r="P1525" s="21"/>
      <c r="Q1525" s="21"/>
      <c r="R1525" s="25" t="str">
        <f t="shared" si="24"/>
        <v/>
      </c>
    </row>
    <row r="1526" spans="1:18">
      <c r="A1526" s="28"/>
      <c r="B1526" s="48"/>
      <c r="C1526" s="48"/>
      <c r="D1526" s="21"/>
      <c r="E1526" s="21"/>
      <c r="F1526" s="21"/>
      <c r="G1526" s="21"/>
      <c r="H1526" s="21"/>
      <c r="I1526" s="21"/>
      <c r="J1526" s="45"/>
      <c r="K1526" s="45"/>
      <c r="L1526" s="45"/>
      <c r="M1526" s="45"/>
      <c r="N1526" s="45"/>
      <c r="O1526" s="21"/>
      <c r="P1526" s="21"/>
      <c r="Q1526" s="21"/>
      <c r="R1526" s="25" t="str">
        <f t="shared" si="24"/>
        <v/>
      </c>
    </row>
    <row r="1527" spans="1:18">
      <c r="A1527" s="28"/>
      <c r="B1527" s="48"/>
      <c r="C1527" s="48"/>
      <c r="D1527" s="21"/>
      <c r="E1527" s="21"/>
      <c r="F1527" s="21"/>
      <c r="G1527" s="21"/>
      <c r="H1527" s="21"/>
      <c r="I1527" s="21"/>
      <c r="J1527" s="45"/>
      <c r="K1527" s="45"/>
      <c r="L1527" s="45"/>
      <c r="M1527" s="45"/>
      <c r="N1527" s="45"/>
      <c r="O1527" s="21"/>
      <c r="P1527" s="21"/>
      <c r="Q1527" s="21"/>
      <c r="R1527" s="25" t="str">
        <f t="shared" si="24"/>
        <v/>
      </c>
    </row>
    <row r="1528" spans="1:18">
      <c r="A1528" s="28"/>
      <c r="B1528" s="48"/>
      <c r="C1528" s="48"/>
      <c r="D1528" s="21"/>
      <c r="E1528" s="21"/>
      <c r="F1528" s="21"/>
      <c r="G1528" s="21"/>
      <c r="H1528" s="21"/>
      <c r="I1528" s="21"/>
      <c r="J1528" s="45"/>
      <c r="K1528" s="45"/>
      <c r="L1528" s="45"/>
      <c r="M1528" s="45"/>
      <c r="N1528" s="45"/>
      <c r="O1528" s="21"/>
      <c r="P1528" s="21"/>
      <c r="Q1528" s="21"/>
      <c r="R1528" s="25" t="str">
        <f t="shared" si="24"/>
        <v/>
      </c>
    </row>
    <row r="1529" spans="1:18">
      <c r="A1529" s="28"/>
      <c r="B1529" s="48"/>
      <c r="C1529" s="48"/>
      <c r="D1529" s="21"/>
      <c r="E1529" s="21"/>
      <c r="F1529" s="21"/>
      <c r="G1529" s="21"/>
      <c r="H1529" s="21"/>
      <c r="I1529" s="21"/>
      <c r="J1529" s="45"/>
      <c r="K1529" s="45"/>
      <c r="L1529" s="45"/>
      <c r="M1529" s="45"/>
      <c r="N1529" s="45"/>
      <c r="O1529" s="21"/>
      <c r="P1529" s="21"/>
      <c r="Q1529" s="21"/>
      <c r="R1529" s="25" t="str">
        <f t="shared" si="24"/>
        <v/>
      </c>
    </row>
    <row r="1530" spans="1:18">
      <c r="A1530" s="28"/>
      <c r="B1530" s="48"/>
      <c r="C1530" s="48"/>
      <c r="D1530" s="21"/>
      <c r="E1530" s="21"/>
      <c r="F1530" s="21"/>
      <c r="G1530" s="21"/>
      <c r="H1530" s="21"/>
      <c r="I1530" s="21"/>
      <c r="J1530" s="45"/>
      <c r="K1530" s="45"/>
      <c r="L1530" s="45"/>
      <c r="M1530" s="45"/>
      <c r="N1530" s="45"/>
      <c r="O1530" s="21"/>
      <c r="P1530" s="21"/>
      <c r="Q1530" s="21"/>
      <c r="R1530" s="25" t="str">
        <f t="shared" si="24"/>
        <v/>
      </c>
    </row>
    <row r="1531" spans="1:18">
      <c r="A1531" s="28"/>
      <c r="B1531" s="48"/>
      <c r="C1531" s="48"/>
      <c r="D1531" s="21"/>
      <c r="E1531" s="21"/>
      <c r="F1531" s="21"/>
      <c r="G1531" s="21"/>
      <c r="H1531" s="21"/>
      <c r="I1531" s="21"/>
      <c r="J1531" s="45"/>
      <c r="K1531" s="45"/>
      <c r="L1531" s="45"/>
      <c r="M1531" s="45"/>
      <c r="N1531" s="45"/>
      <c r="O1531" s="21"/>
      <c r="P1531" s="21"/>
      <c r="Q1531" s="21"/>
      <c r="R1531" s="25" t="str">
        <f t="shared" si="24"/>
        <v/>
      </c>
    </row>
    <row r="1532" spans="1:18">
      <c r="A1532" s="28"/>
      <c r="B1532" s="48"/>
      <c r="C1532" s="48"/>
      <c r="D1532" s="21"/>
      <c r="E1532" s="21"/>
      <c r="F1532" s="21"/>
      <c r="G1532" s="21"/>
      <c r="H1532" s="21"/>
      <c r="I1532" s="21"/>
      <c r="J1532" s="45"/>
      <c r="K1532" s="45"/>
      <c r="L1532" s="45"/>
      <c r="M1532" s="45"/>
      <c r="N1532" s="45"/>
      <c r="O1532" s="21"/>
      <c r="P1532" s="21"/>
      <c r="Q1532" s="21"/>
      <c r="R1532" s="25" t="str">
        <f t="shared" si="24"/>
        <v/>
      </c>
    </row>
    <row r="1533" spans="1:18">
      <c r="A1533" s="28"/>
      <c r="B1533" s="48"/>
      <c r="C1533" s="48"/>
      <c r="D1533" s="21"/>
      <c r="E1533" s="21"/>
      <c r="F1533" s="21"/>
      <c r="G1533" s="21"/>
      <c r="H1533" s="21"/>
      <c r="I1533" s="21"/>
      <c r="J1533" s="45"/>
      <c r="K1533" s="45"/>
      <c r="L1533" s="45"/>
      <c r="M1533" s="45"/>
      <c r="N1533" s="45"/>
      <c r="O1533" s="21"/>
      <c r="P1533" s="21"/>
      <c r="Q1533" s="21"/>
      <c r="R1533" s="25" t="str">
        <f t="shared" si="24"/>
        <v/>
      </c>
    </row>
    <row r="1534" spans="1:18">
      <c r="A1534" s="28"/>
      <c r="B1534" s="48"/>
      <c r="C1534" s="48"/>
      <c r="D1534" s="21"/>
      <c r="E1534" s="21"/>
      <c r="F1534" s="21"/>
      <c r="G1534" s="21"/>
      <c r="H1534" s="21"/>
      <c r="I1534" s="21"/>
      <c r="J1534" s="45"/>
      <c r="K1534" s="45"/>
      <c r="L1534" s="45"/>
      <c r="M1534" s="45"/>
      <c r="N1534" s="45"/>
      <c r="O1534" s="21"/>
      <c r="P1534" s="21"/>
      <c r="Q1534" s="21"/>
      <c r="R1534" s="25" t="str">
        <f t="shared" si="24"/>
        <v/>
      </c>
    </row>
    <row r="1535" spans="1:18">
      <c r="A1535" s="28"/>
      <c r="B1535" s="48"/>
      <c r="C1535" s="48"/>
      <c r="D1535" s="21"/>
      <c r="E1535" s="21"/>
      <c r="F1535" s="21"/>
      <c r="G1535" s="21"/>
      <c r="H1535" s="21"/>
      <c r="I1535" s="21"/>
      <c r="J1535" s="45"/>
      <c r="K1535" s="45"/>
      <c r="L1535" s="45"/>
      <c r="M1535" s="45"/>
      <c r="N1535" s="45"/>
      <c r="O1535" s="21"/>
      <c r="P1535" s="21"/>
      <c r="Q1535" s="21"/>
      <c r="R1535" s="25" t="str">
        <f t="shared" si="24"/>
        <v/>
      </c>
    </row>
    <row r="1536" spans="1:18">
      <c r="A1536" s="28"/>
      <c r="B1536" s="48"/>
      <c r="C1536" s="48"/>
      <c r="D1536" s="21"/>
      <c r="E1536" s="21"/>
      <c r="F1536" s="21"/>
      <c r="G1536" s="21"/>
      <c r="H1536" s="21"/>
      <c r="I1536" s="21"/>
      <c r="J1536" s="45"/>
      <c r="K1536" s="45"/>
      <c r="L1536" s="45"/>
      <c r="M1536" s="45"/>
      <c r="N1536" s="45"/>
      <c r="O1536" s="21"/>
      <c r="P1536" s="21"/>
      <c r="Q1536" s="21"/>
      <c r="R1536" s="25" t="str">
        <f t="shared" si="24"/>
        <v/>
      </c>
    </row>
    <row r="1537" spans="1:18">
      <c r="A1537" s="28"/>
      <c r="B1537" s="48"/>
      <c r="C1537" s="48"/>
      <c r="D1537" s="21"/>
      <c r="E1537" s="21"/>
      <c r="F1537" s="21"/>
      <c r="G1537" s="21"/>
      <c r="H1537" s="21"/>
      <c r="I1537" s="21"/>
      <c r="J1537" s="45"/>
      <c r="K1537" s="45"/>
      <c r="L1537" s="45"/>
      <c r="M1537" s="45"/>
      <c r="N1537" s="45"/>
      <c r="O1537" s="21"/>
      <c r="P1537" s="21"/>
      <c r="Q1537" s="21"/>
      <c r="R1537" s="25" t="str">
        <f t="shared" si="24"/>
        <v/>
      </c>
    </row>
    <row r="1538" spans="1:18">
      <c r="A1538" s="28"/>
      <c r="B1538" s="48"/>
      <c r="C1538" s="48"/>
      <c r="D1538" s="21"/>
      <c r="E1538" s="21"/>
      <c r="F1538" s="21"/>
      <c r="G1538" s="21"/>
      <c r="H1538" s="21"/>
      <c r="I1538" s="21"/>
      <c r="J1538" s="45"/>
      <c r="K1538" s="45"/>
      <c r="L1538" s="45"/>
      <c r="M1538" s="45"/>
      <c r="N1538" s="45"/>
      <c r="O1538" s="21"/>
      <c r="P1538" s="21"/>
      <c r="Q1538" s="21"/>
      <c r="R1538" s="25" t="str">
        <f t="shared" si="24"/>
        <v/>
      </c>
    </row>
    <row r="1539" spans="1:18">
      <c r="A1539" s="28"/>
      <c r="B1539" s="48"/>
      <c r="C1539" s="48"/>
      <c r="D1539" s="21"/>
      <c r="E1539" s="21"/>
      <c r="F1539" s="21"/>
      <c r="G1539" s="21"/>
      <c r="H1539" s="21"/>
      <c r="I1539" s="21"/>
      <c r="J1539" s="45"/>
      <c r="K1539" s="45"/>
      <c r="L1539" s="45"/>
      <c r="M1539" s="45"/>
      <c r="N1539" s="45"/>
      <c r="O1539" s="21"/>
      <c r="P1539" s="21"/>
      <c r="Q1539" s="21"/>
      <c r="R1539" s="25" t="str">
        <f t="shared" si="24"/>
        <v/>
      </c>
    </row>
    <row r="1540" spans="1:18">
      <c r="A1540" s="28"/>
      <c r="B1540" s="48"/>
      <c r="C1540" s="48"/>
      <c r="D1540" s="21"/>
      <c r="E1540" s="21"/>
      <c r="F1540" s="21"/>
      <c r="G1540" s="21"/>
      <c r="H1540" s="21"/>
      <c r="I1540" s="21"/>
      <c r="J1540" s="45"/>
      <c r="K1540" s="45"/>
      <c r="L1540" s="45"/>
      <c r="M1540" s="45"/>
      <c r="N1540" s="45"/>
      <c r="O1540" s="21"/>
      <c r="P1540" s="21"/>
      <c r="Q1540" s="21"/>
      <c r="R1540" s="25" t="str">
        <f t="shared" si="24"/>
        <v/>
      </c>
    </row>
    <row r="1541" spans="1:18">
      <c r="A1541" s="28"/>
      <c r="B1541" s="48"/>
      <c r="C1541" s="48"/>
      <c r="D1541" s="21"/>
      <c r="E1541" s="21"/>
      <c r="F1541" s="21"/>
      <c r="G1541" s="21"/>
      <c r="H1541" s="21"/>
      <c r="I1541" s="21"/>
      <c r="J1541" s="45"/>
      <c r="K1541" s="45"/>
      <c r="L1541" s="45"/>
      <c r="M1541" s="45"/>
      <c r="N1541" s="45"/>
      <c r="O1541" s="21"/>
      <c r="P1541" s="21"/>
      <c r="Q1541" s="21"/>
      <c r="R1541" s="25" t="str">
        <f t="shared" si="24"/>
        <v/>
      </c>
    </row>
    <row r="1542" spans="1:18">
      <c r="A1542" s="28"/>
      <c r="B1542" s="48"/>
      <c r="C1542" s="48"/>
      <c r="D1542" s="21"/>
      <c r="E1542" s="21"/>
      <c r="F1542" s="21"/>
      <c r="G1542" s="21"/>
      <c r="H1542" s="21"/>
      <c r="I1542" s="21"/>
      <c r="J1542" s="45"/>
      <c r="K1542" s="45"/>
      <c r="L1542" s="45"/>
      <c r="M1542" s="45"/>
      <c r="N1542" s="45"/>
      <c r="O1542" s="21"/>
      <c r="P1542" s="21"/>
      <c r="Q1542" s="21"/>
      <c r="R1542" s="25" t="str">
        <f t="shared" si="24"/>
        <v/>
      </c>
    </row>
    <row r="1543" spans="1:18">
      <c r="A1543" s="28"/>
      <c r="B1543" s="48"/>
      <c r="C1543" s="48"/>
      <c r="D1543" s="21"/>
      <c r="E1543" s="21"/>
      <c r="F1543" s="21"/>
      <c r="G1543" s="21"/>
      <c r="H1543" s="21"/>
      <c r="I1543" s="21"/>
      <c r="J1543" s="45"/>
      <c r="K1543" s="45"/>
      <c r="L1543" s="45"/>
      <c r="M1543" s="45"/>
      <c r="N1543" s="45"/>
      <c r="O1543" s="21"/>
      <c r="P1543" s="21"/>
      <c r="Q1543" s="21"/>
      <c r="R1543" s="25" t="str">
        <f t="shared" si="24"/>
        <v/>
      </c>
    </row>
    <row r="1544" spans="1:18">
      <c r="A1544" s="28"/>
      <c r="B1544" s="48"/>
      <c r="C1544" s="48"/>
      <c r="D1544" s="21"/>
      <c r="E1544" s="21"/>
      <c r="F1544" s="21"/>
      <c r="G1544" s="21"/>
      <c r="H1544" s="21"/>
      <c r="I1544" s="21"/>
      <c r="J1544" s="45"/>
      <c r="K1544" s="45"/>
      <c r="L1544" s="45"/>
      <c r="M1544" s="45"/>
      <c r="N1544" s="45"/>
      <c r="O1544" s="21"/>
      <c r="P1544" s="21"/>
      <c r="Q1544" s="21"/>
      <c r="R1544" s="25" t="str">
        <f t="shared" si="24"/>
        <v/>
      </c>
    </row>
    <row r="1545" spans="1:18">
      <c r="A1545" s="28"/>
      <c r="B1545" s="48"/>
      <c r="C1545" s="48"/>
      <c r="D1545" s="21"/>
      <c r="E1545" s="21"/>
      <c r="F1545" s="21"/>
      <c r="G1545" s="21"/>
      <c r="H1545" s="21"/>
      <c r="I1545" s="21"/>
      <c r="J1545" s="45"/>
      <c r="K1545" s="45"/>
      <c r="L1545" s="45"/>
      <c r="M1545" s="45"/>
      <c r="N1545" s="45"/>
      <c r="O1545" s="21"/>
      <c r="P1545" s="21"/>
      <c r="Q1545" s="21"/>
      <c r="R1545" s="25" t="str">
        <f t="shared" si="24"/>
        <v/>
      </c>
    </row>
    <row r="1546" spans="1:18">
      <c r="A1546" s="28"/>
      <c r="B1546" s="48"/>
      <c r="C1546" s="48"/>
      <c r="D1546" s="21"/>
      <c r="E1546" s="21"/>
      <c r="F1546" s="21"/>
      <c r="G1546" s="21"/>
      <c r="H1546" s="21"/>
      <c r="I1546" s="21"/>
      <c r="J1546" s="45"/>
      <c r="K1546" s="45"/>
      <c r="L1546" s="45"/>
      <c r="M1546" s="45"/>
      <c r="N1546" s="45"/>
      <c r="O1546" s="21"/>
      <c r="P1546" s="21"/>
      <c r="Q1546" s="21"/>
      <c r="R1546" s="25" t="str">
        <f t="shared" si="24"/>
        <v/>
      </c>
    </row>
    <row r="1547" spans="1:18">
      <c r="A1547" s="28"/>
      <c r="B1547" s="48"/>
      <c r="C1547" s="48"/>
      <c r="D1547" s="21"/>
      <c r="E1547" s="21"/>
      <c r="F1547" s="21"/>
      <c r="G1547" s="21"/>
      <c r="H1547" s="21"/>
      <c r="I1547" s="21"/>
      <c r="J1547" s="45"/>
      <c r="K1547" s="45"/>
      <c r="L1547" s="45"/>
      <c r="M1547" s="45"/>
      <c r="N1547" s="45"/>
      <c r="O1547" s="21"/>
      <c r="P1547" s="21"/>
      <c r="Q1547" s="21"/>
      <c r="R1547" s="25" t="str">
        <f t="shared" si="24"/>
        <v/>
      </c>
    </row>
    <row r="1548" spans="1:18">
      <c r="A1548" s="28"/>
      <c r="B1548" s="48"/>
      <c r="C1548" s="48"/>
      <c r="D1548" s="21"/>
      <c r="E1548" s="21"/>
      <c r="F1548" s="21"/>
      <c r="G1548" s="21"/>
      <c r="H1548" s="21"/>
      <c r="I1548" s="21"/>
      <c r="J1548" s="45"/>
      <c r="K1548" s="45"/>
      <c r="L1548" s="45"/>
      <c r="M1548" s="45"/>
      <c r="N1548" s="45"/>
      <c r="O1548" s="21"/>
      <c r="P1548" s="21"/>
      <c r="Q1548" s="21"/>
      <c r="R1548" s="25" t="str">
        <f t="shared" si="24"/>
        <v/>
      </c>
    </row>
    <row r="1549" spans="1:18">
      <c r="A1549" s="28"/>
      <c r="B1549" s="48"/>
      <c r="C1549" s="48"/>
      <c r="D1549" s="21"/>
      <c r="E1549" s="21"/>
      <c r="F1549" s="21"/>
      <c r="G1549" s="21"/>
      <c r="H1549" s="21"/>
      <c r="I1549" s="21"/>
      <c r="J1549" s="45"/>
      <c r="K1549" s="45"/>
      <c r="L1549" s="45"/>
      <c r="M1549" s="45"/>
      <c r="N1549" s="45"/>
      <c r="O1549" s="21"/>
      <c r="P1549" s="21"/>
      <c r="Q1549" s="21"/>
      <c r="R1549" s="25" t="str">
        <f t="shared" si="24"/>
        <v/>
      </c>
    </row>
    <row r="1550" spans="1:18">
      <c r="A1550" s="28"/>
      <c r="B1550" s="48"/>
      <c r="C1550" s="48"/>
      <c r="D1550" s="21"/>
      <c r="E1550" s="21"/>
      <c r="F1550" s="21"/>
      <c r="G1550" s="21"/>
      <c r="H1550" s="21"/>
      <c r="I1550" s="21"/>
      <c r="J1550" s="45"/>
      <c r="K1550" s="45"/>
      <c r="L1550" s="45"/>
      <c r="M1550" s="45"/>
      <c r="N1550" s="45"/>
      <c r="O1550" s="21"/>
      <c r="P1550" s="21"/>
      <c r="Q1550" s="21"/>
      <c r="R1550" s="25" t="str">
        <f t="shared" si="24"/>
        <v/>
      </c>
    </row>
    <row r="1551" spans="1:18">
      <c r="A1551" s="28"/>
      <c r="B1551" s="48"/>
      <c r="C1551" s="48"/>
      <c r="D1551" s="21"/>
      <c r="E1551" s="21"/>
      <c r="F1551" s="21"/>
      <c r="G1551" s="21"/>
      <c r="H1551" s="21"/>
      <c r="I1551" s="21"/>
      <c r="J1551" s="45"/>
      <c r="K1551" s="45"/>
      <c r="L1551" s="45"/>
      <c r="M1551" s="45"/>
      <c r="N1551" s="45"/>
      <c r="O1551" s="21"/>
      <c r="P1551" s="21"/>
      <c r="Q1551" s="21"/>
      <c r="R1551" s="25" t="str">
        <f t="shared" si="24"/>
        <v/>
      </c>
    </row>
    <row r="1552" spans="1:18">
      <c r="A1552" s="28"/>
      <c r="B1552" s="48"/>
      <c r="C1552" s="48"/>
      <c r="D1552" s="21"/>
      <c r="E1552" s="21"/>
      <c r="F1552" s="21"/>
      <c r="G1552" s="21"/>
      <c r="H1552" s="21"/>
      <c r="I1552" s="21"/>
      <c r="J1552" s="45"/>
      <c r="K1552" s="45"/>
      <c r="L1552" s="45"/>
      <c r="M1552" s="45"/>
      <c r="N1552" s="45"/>
      <c r="O1552" s="21"/>
      <c r="P1552" s="21"/>
      <c r="Q1552" s="21"/>
      <c r="R1552" s="25" t="str">
        <f t="shared" si="24"/>
        <v/>
      </c>
    </row>
    <row r="1553" spans="1:18">
      <c r="A1553" s="28"/>
      <c r="B1553" s="48"/>
      <c r="C1553" s="48"/>
      <c r="D1553" s="21"/>
      <c r="E1553" s="21"/>
      <c r="F1553" s="21"/>
      <c r="G1553" s="21"/>
      <c r="H1553" s="21"/>
      <c r="I1553" s="21"/>
      <c r="J1553" s="45"/>
      <c r="K1553" s="45"/>
      <c r="L1553" s="45"/>
      <c r="M1553" s="45"/>
      <c r="N1553" s="45"/>
      <c r="O1553" s="21"/>
      <c r="P1553" s="21"/>
      <c r="Q1553" s="21"/>
      <c r="R1553" s="25" t="str">
        <f t="shared" si="24"/>
        <v/>
      </c>
    </row>
    <row r="1554" spans="1:18">
      <c r="A1554" s="28"/>
      <c r="B1554" s="48"/>
      <c r="C1554" s="48"/>
      <c r="D1554" s="21"/>
      <c r="E1554" s="21"/>
      <c r="F1554" s="21"/>
      <c r="G1554" s="21"/>
      <c r="H1554" s="21"/>
      <c r="I1554" s="21"/>
      <c r="J1554" s="45"/>
      <c r="K1554" s="45"/>
      <c r="L1554" s="45"/>
      <c r="M1554" s="45"/>
      <c r="N1554" s="45"/>
      <c r="O1554" s="21"/>
      <c r="P1554" s="21"/>
      <c r="Q1554" s="21"/>
      <c r="R1554" s="25" t="str">
        <f t="shared" si="24"/>
        <v/>
      </c>
    </row>
    <row r="1555" spans="1:18">
      <c r="A1555" s="28"/>
      <c r="B1555" s="48"/>
      <c r="C1555" s="48"/>
      <c r="D1555" s="21"/>
      <c r="E1555" s="21"/>
      <c r="F1555" s="21"/>
      <c r="G1555" s="21"/>
      <c r="H1555" s="21"/>
      <c r="I1555" s="21"/>
      <c r="J1555" s="45"/>
      <c r="K1555" s="45"/>
      <c r="L1555" s="45"/>
      <c r="M1555" s="45"/>
      <c r="N1555" s="45"/>
      <c r="O1555" s="21"/>
      <c r="P1555" s="21"/>
      <c r="Q1555" s="21"/>
      <c r="R1555" s="25" t="str">
        <f t="shared" si="24"/>
        <v/>
      </c>
    </row>
    <row r="1556" spans="1:18">
      <c r="A1556" s="28"/>
      <c r="B1556" s="48"/>
      <c r="C1556" s="48"/>
      <c r="D1556" s="21"/>
      <c r="E1556" s="21"/>
      <c r="F1556" s="21"/>
      <c r="G1556" s="21"/>
      <c r="H1556" s="21"/>
      <c r="I1556" s="21"/>
      <c r="J1556" s="45"/>
      <c r="K1556" s="45"/>
      <c r="L1556" s="45"/>
      <c r="M1556" s="45"/>
      <c r="N1556" s="45"/>
      <c r="O1556" s="21"/>
      <c r="P1556" s="21"/>
      <c r="Q1556" s="21"/>
      <c r="R1556" s="25" t="str">
        <f t="shared" si="24"/>
        <v/>
      </c>
    </row>
    <row r="1557" spans="1:18">
      <c r="A1557" s="28"/>
      <c r="B1557" s="48"/>
      <c r="C1557" s="48"/>
      <c r="D1557" s="21"/>
      <c r="E1557" s="21"/>
      <c r="F1557" s="21"/>
      <c r="G1557" s="21"/>
      <c r="H1557" s="21"/>
      <c r="I1557" s="21"/>
      <c r="J1557" s="45"/>
      <c r="K1557" s="45"/>
      <c r="L1557" s="45"/>
      <c r="M1557" s="45"/>
      <c r="N1557" s="45"/>
      <c r="O1557" s="21"/>
      <c r="P1557" s="21"/>
      <c r="Q1557" s="21"/>
      <c r="R1557" s="25" t="str">
        <f t="shared" si="24"/>
        <v/>
      </c>
    </row>
    <row r="1558" spans="1:18">
      <c r="A1558" s="28"/>
      <c r="B1558" s="48"/>
      <c r="C1558" s="48"/>
      <c r="D1558" s="21"/>
      <c r="E1558" s="21"/>
      <c r="F1558" s="21"/>
      <c r="G1558" s="21"/>
      <c r="H1558" s="21"/>
      <c r="I1558" s="21"/>
      <c r="J1558" s="45"/>
      <c r="K1558" s="45"/>
      <c r="L1558" s="45"/>
      <c r="M1558" s="45"/>
      <c r="N1558" s="45"/>
      <c r="O1558" s="21"/>
      <c r="P1558" s="21"/>
      <c r="Q1558" s="21"/>
      <c r="R1558" s="25" t="str">
        <f t="shared" si="24"/>
        <v/>
      </c>
    </row>
    <row r="1559" spans="1:18">
      <c r="A1559" s="28"/>
      <c r="B1559" s="48"/>
      <c r="C1559" s="48"/>
      <c r="D1559" s="21"/>
      <c r="E1559" s="21"/>
      <c r="F1559" s="21"/>
      <c r="G1559" s="21"/>
      <c r="H1559" s="21"/>
      <c r="I1559" s="21"/>
      <c r="J1559" s="45"/>
      <c r="K1559" s="45"/>
      <c r="L1559" s="45"/>
      <c r="M1559" s="45"/>
      <c r="N1559" s="45"/>
      <c r="O1559" s="21"/>
      <c r="P1559" s="21"/>
      <c r="Q1559" s="21"/>
      <c r="R1559" s="25" t="str">
        <f t="shared" si="24"/>
        <v/>
      </c>
    </row>
    <row r="1560" spans="1:18">
      <c r="A1560" s="28"/>
      <c r="B1560" s="48"/>
      <c r="C1560" s="48"/>
      <c r="D1560" s="21"/>
      <c r="E1560" s="21"/>
      <c r="F1560" s="21"/>
      <c r="G1560" s="21"/>
      <c r="H1560" s="21"/>
      <c r="I1560" s="21"/>
      <c r="J1560" s="45"/>
      <c r="K1560" s="45"/>
      <c r="L1560" s="45"/>
      <c r="M1560" s="45"/>
      <c r="N1560" s="45"/>
      <c r="O1560" s="21"/>
      <c r="P1560" s="21"/>
      <c r="Q1560" s="21"/>
      <c r="R1560" s="25" t="str">
        <f t="shared" si="24"/>
        <v/>
      </c>
    </row>
    <row r="1561" spans="1:18">
      <c r="A1561" s="28"/>
      <c r="B1561" s="48"/>
      <c r="C1561" s="48"/>
      <c r="D1561" s="21"/>
      <c r="E1561" s="21"/>
      <c r="F1561" s="21"/>
      <c r="G1561" s="21"/>
      <c r="H1561" s="21"/>
      <c r="I1561" s="21"/>
      <c r="J1561" s="45"/>
      <c r="K1561" s="45"/>
      <c r="L1561" s="45"/>
      <c r="M1561" s="45"/>
      <c r="N1561" s="45"/>
      <c r="O1561" s="21"/>
      <c r="P1561" s="21"/>
      <c r="Q1561" s="21"/>
      <c r="R1561" s="25" t="str">
        <f t="shared" si="24"/>
        <v/>
      </c>
    </row>
    <row r="1562" spans="1:18">
      <c r="A1562" s="28"/>
      <c r="B1562" s="48"/>
      <c r="C1562" s="48"/>
      <c r="D1562" s="21"/>
      <c r="E1562" s="21"/>
      <c r="F1562" s="21"/>
      <c r="G1562" s="21"/>
      <c r="H1562" s="21"/>
      <c r="I1562" s="21"/>
      <c r="J1562" s="45"/>
      <c r="K1562" s="45"/>
      <c r="L1562" s="45"/>
      <c r="M1562" s="45"/>
      <c r="N1562" s="45"/>
      <c r="O1562" s="21"/>
      <c r="P1562" s="21"/>
      <c r="Q1562" s="21"/>
      <c r="R1562" s="25" t="str">
        <f t="shared" si="24"/>
        <v/>
      </c>
    </row>
    <row r="1563" spans="1:18">
      <c r="A1563" s="28"/>
      <c r="B1563" s="48"/>
      <c r="C1563" s="48"/>
      <c r="D1563" s="21"/>
      <c r="E1563" s="21"/>
      <c r="F1563" s="21"/>
      <c r="G1563" s="21"/>
      <c r="H1563" s="21"/>
      <c r="I1563" s="21"/>
      <c r="J1563" s="45"/>
      <c r="K1563" s="45"/>
      <c r="L1563" s="45"/>
      <c r="M1563" s="45"/>
      <c r="N1563" s="45"/>
      <c r="O1563" s="21"/>
      <c r="P1563" s="21"/>
      <c r="Q1563" s="21"/>
      <c r="R1563" s="25" t="str">
        <f t="shared" si="24"/>
        <v/>
      </c>
    </row>
    <row r="1564" spans="1:18">
      <c r="A1564" s="28"/>
      <c r="B1564" s="48"/>
      <c r="C1564" s="48"/>
      <c r="D1564" s="21"/>
      <c r="E1564" s="21"/>
      <c r="F1564" s="21"/>
      <c r="G1564" s="21"/>
      <c r="H1564" s="21"/>
      <c r="I1564" s="21"/>
      <c r="J1564" s="45"/>
      <c r="K1564" s="45"/>
      <c r="L1564" s="45"/>
      <c r="M1564" s="45"/>
      <c r="N1564" s="45"/>
      <c r="O1564" s="21"/>
      <c r="P1564" s="21"/>
      <c r="Q1564" s="21"/>
      <c r="R1564" s="25" t="str">
        <f t="shared" si="24"/>
        <v/>
      </c>
    </row>
    <row r="1565" spans="1:18">
      <c r="A1565" s="28"/>
      <c r="B1565" s="48"/>
      <c r="C1565" s="48"/>
      <c r="D1565" s="21"/>
      <c r="E1565" s="21"/>
      <c r="F1565" s="21"/>
      <c r="G1565" s="21"/>
      <c r="H1565" s="21"/>
      <c r="I1565" s="21"/>
      <c r="J1565" s="45"/>
      <c r="K1565" s="45"/>
      <c r="L1565" s="45"/>
      <c r="M1565" s="45"/>
      <c r="N1565" s="45"/>
      <c r="O1565" s="21"/>
      <c r="P1565" s="21"/>
      <c r="Q1565" s="21"/>
      <c r="R1565" s="25" t="str">
        <f t="shared" si="24"/>
        <v/>
      </c>
    </row>
    <row r="1566" spans="1:18">
      <c r="A1566" s="28"/>
      <c r="B1566" s="48"/>
      <c r="C1566" s="48"/>
      <c r="D1566" s="21"/>
      <c r="E1566" s="21"/>
      <c r="F1566" s="21"/>
      <c r="G1566" s="21"/>
      <c r="H1566" s="21"/>
      <c r="I1566" s="21"/>
      <c r="J1566" s="45"/>
      <c r="K1566" s="45"/>
      <c r="L1566" s="45"/>
      <c r="M1566" s="45"/>
      <c r="N1566" s="45"/>
      <c r="O1566" s="21"/>
      <c r="P1566" s="21"/>
      <c r="Q1566" s="21"/>
      <c r="R1566" s="25" t="str">
        <f t="shared" si="24"/>
        <v/>
      </c>
    </row>
    <row r="1567" spans="1:18">
      <c r="A1567" s="28"/>
      <c r="B1567" s="48"/>
      <c r="C1567" s="48"/>
      <c r="D1567" s="21"/>
      <c r="E1567" s="21"/>
      <c r="F1567" s="21"/>
      <c r="G1567" s="21"/>
      <c r="H1567" s="21"/>
      <c r="I1567" s="21"/>
      <c r="J1567" s="45"/>
      <c r="K1567" s="45"/>
      <c r="L1567" s="45"/>
      <c r="M1567" s="45"/>
      <c r="N1567" s="45"/>
      <c r="O1567" s="21"/>
      <c r="P1567" s="21"/>
      <c r="Q1567" s="21"/>
      <c r="R1567" s="25" t="str">
        <f t="shared" si="24"/>
        <v/>
      </c>
    </row>
    <row r="1568" spans="1:18">
      <c r="A1568" s="28"/>
      <c r="B1568" s="48"/>
      <c r="C1568" s="48"/>
      <c r="D1568" s="21"/>
      <c r="E1568" s="21"/>
      <c r="F1568" s="21"/>
      <c r="G1568" s="21"/>
      <c r="H1568" s="21"/>
      <c r="I1568" s="21"/>
      <c r="J1568" s="45"/>
      <c r="K1568" s="45"/>
      <c r="L1568" s="45"/>
      <c r="M1568" s="45"/>
      <c r="N1568" s="45"/>
      <c r="O1568" s="21"/>
      <c r="P1568" s="21"/>
      <c r="Q1568" s="21"/>
      <c r="R1568" s="25" t="str">
        <f t="shared" si="24"/>
        <v/>
      </c>
    </row>
    <row r="1569" spans="1:18">
      <c r="A1569" s="28"/>
      <c r="B1569" s="48"/>
      <c r="C1569" s="48"/>
      <c r="D1569" s="21"/>
      <c r="E1569" s="21"/>
      <c r="F1569" s="21"/>
      <c r="G1569" s="21"/>
      <c r="H1569" s="21"/>
      <c r="I1569" s="21"/>
      <c r="J1569" s="45"/>
      <c r="K1569" s="45"/>
      <c r="L1569" s="45"/>
      <c r="M1569" s="45"/>
      <c r="N1569" s="45"/>
      <c r="O1569" s="21"/>
      <c r="P1569" s="21"/>
      <c r="Q1569" s="21"/>
      <c r="R1569" s="25" t="str">
        <f t="shared" si="24"/>
        <v/>
      </c>
    </row>
    <row r="1570" spans="1:18">
      <c r="A1570" s="28"/>
      <c r="B1570" s="48"/>
      <c r="C1570" s="48"/>
      <c r="D1570" s="21"/>
      <c r="E1570" s="21"/>
      <c r="F1570" s="21"/>
      <c r="G1570" s="21"/>
      <c r="H1570" s="21"/>
      <c r="I1570" s="21"/>
      <c r="J1570" s="45"/>
      <c r="K1570" s="45"/>
      <c r="L1570" s="45"/>
      <c r="M1570" s="45"/>
      <c r="N1570" s="45"/>
      <c r="O1570" s="21"/>
      <c r="P1570" s="21"/>
      <c r="Q1570" s="21"/>
      <c r="R1570" s="25" t="str">
        <f t="shared" si="24"/>
        <v/>
      </c>
    </row>
    <row r="1571" spans="1:18">
      <c r="A1571" s="28"/>
      <c r="B1571" s="48"/>
      <c r="C1571" s="48"/>
      <c r="D1571" s="21"/>
      <c r="E1571" s="21"/>
      <c r="F1571" s="21"/>
      <c r="G1571" s="21"/>
      <c r="H1571" s="21"/>
      <c r="I1571" s="21"/>
      <c r="J1571" s="45"/>
      <c r="K1571" s="45"/>
      <c r="L1571" s="45"/>
      <c r="M1571" s="45"/>
      <c r="N1571" s="45"/>
      <c r="O1571" s="21"/>
      <c r="P1571" s="21"/>
      <c r="Q1571" s="21"/>
      <c r="R1571" s="25" t="str">
        <f t="shared" si="24"/>
        <v/>
      </c>
    </row>
    <row r="1572" spans="1:18">
      <c r="A1572" s="28"/>
      <c r="B1572" s="48"/>
      <c r="C1572" s="48"/>
      <c r="D1572" s="21"/>
      <c r="E1572" s="21"/>
      <c r="F1572" s="21"/>
      <c r="G1572" s="21"/>
      <c r="H1572" s="21"/>
      <c r="I1572" s="21"/>
      <c r="J1572" s="45"/>
      <c r="K1572" s="45"/>
      <c r="L1572" s="45"/>
      <c r="M1572" s="45"/>
      <c r="N1572" s="45"/>
      <c r="O1572" s="21"/>
      <c r="P1572" s="21"/>
      <c r="Q1572" s="21"/>
      <c r="R1572" s="25" t="str">
        <f t="shared" si="24"/>
        <v/>
      </c>
    </row>
    <row r="1573" spans="1:18">
      <c r="A1573" s="28"/>
      <c r="B1573" s="48"/>
      <c r="C1573" s="48"/>
      <c r="D1573" s="21"/>
      <c r="E1573" s="21"/>
      <c r="F1573" s="21"/>
      <c r="G1573" s="21"/>
      <c r="H1573" s="21"/>
      <c r="I1573" s="21"/>
      <c r="J1573" s="45"/>
      <c r="K1573" s="45"/>
      <c r="L1573" s="45"/>
      <c r="M1573" s="45"/>
      <c r="N1573" s="45"/>
      <c r="O1573" s="21"/>
      <c r="P1573" s="21"/>
      <c r="Q1573" s="21"/>
      <c r="R1573" s="25" t="str">
        <f t="shared" si="24"/>
        <v/>
      </c>
    </row>
    <row r="1574" spans="1:18">
      <c r="A1574" s="28"/>
      <c r="B1574" s="48"/>
      <c r="C1574" s="48"/>
      <c r="D1574" s="21"/>
      <c r="E1574" s="21"/>
      <c r="F1574" s="21"/>
      <c r="G1574" s="21"/>
      <c r="H1574" s="21"/>
      <c r="I1574" s="21"/>
      <c r="J1574" s="45"/>
      <c r="K1574" s="45"/>
      <c r="L1574" s="45"/>
      <c r="M1574" s="45"/>
      <c r="N1574" s="45"/>
      <c r="O1574" s="21"/>
      <c r="P1574" s="21"/>
      <c r="Q1574" s="21"/>
      <c r="R1574" s="25" t="str">
        <f t="shared" si="24"/>
        <v/>
      </c>
    </row>
    <row r="1575" spans="1:18">
      <c r="A1575" s="28"/>
      <c r="B1575" s="48"/>
      <c r="C1575" s="48"/>
      <c r="D1575" s="21"/>
      <c r="E1575" s="21"/>
      <c r="F1575" s="21"/>
      <c r="G1575" s="21"/>
      <c r="H1575" s="21"/>
      <c r="I1575" s="21"/>
      <c r="J1575" s="45"/>
      <c r="K1575" s="45"/>
      <c r="L1575" s="45"/>
      <c r="M1575" s="45"/>
      <c r="N1575" s="45"/>
      <c r="O1575" s="21"/>
      <c r="P1575" s="21"/>
      <c r="Q1575" s="21"/>
      <c r="R1575" s="25" t="str">
        <f t="shared" si="24"/>
        <v/>
      </c>
    </row>
    <row r="1576" spans="1:18">
      <c r="A1576" s="28"/>
      <c r="B1576" s="48"/>
      <c r="C1576" s="48"/>
      <c r="D1576" s="21"/>
      <c r="E1576" s="21"/>
      <c r="F1576" s="21"/>
      <c r="G1576" s="21"/>
      <c r="H1576" s="21"/>
      <c r="I1576" s="21"/>
      <c r="J1576" s="45"/>
      <c r="K1576" s="45"/>
      <c r="L1576" s="45"/>
      <c r="M1576" s="45"/>
      <c r="N1576" s="45"/>
      <c r="O1576" s="21"/>
      <c r="P1576" s="21"/>
      <c r="Q1576" s="21"/>
      <c r="R1576" s="25" t="str">
        <f t="shared" si="24"/>
        <v/>
      </c>
    </row>
    <row r="1577" spans="1:18">
      <c r="A1577" s="28"/>
      <c r="B1577" s="48"/>
      <c r="C1577" s="48"/>
      <c r="D1577" s="21"/>
      <c r="E1577" s="21"/>
      <c r="F1577" s="21"/>
      <c r="G1577" s="21"/>
      <c r="H1577" s="21"/>
      <c r="I1577" s="21"/>
      <c r="J1577" s="45"/>
      <c r="K1577" s="45"/>
      <c r="L1577" s="45"/>
      <c r="M1577" s="45"/>
      <c r="N1577" s="45"/>
      <c r="O1577" s="21"/>
      <c r="P1577" s="21"/>
      <c r="Q1577" s="21"/>
      <c r="R1577" s="25" t="str">
        <f t="shared" si="24"/>
        <v/>
      </c>
    </row>
    <row r="1578" spans="1:18">
      <c r="A1578" s="28"/>
      <c r="B1578" s="48"/>
      <c r="C1578" s="48"/>
      <c r="D1578" s="21"/>
      <c r="E1578" s="21"/>
      <c r="F1578" s="21"/>
      <c r="G1578" s="21"/>
      <c r="H1578" s="21"/>
      <c r="I1578" s="21"/>
      <c r="J1578" s="45"/>
      <c r="K1578" s="45"/>
      <c r="L1578" s="45"/>
      <c r="M1578" s="45"/>
      <c r="N1578" s="45"/>
      <c r="O1578" s="21"/>
      <c r="P1578" s="21"/>
      <c r="Q1578" s="21"/>
      <c r="R1578" s="25" t="str">
        <f t="shared" si="24"/>
        <v/>
      </c>
    </row>
    <row r="1579" spans="1:18">
      <c r="A1579" s="28"/>
      <c r="B1579" s="48"/>
      <c r="C1579" s="48"/>
      <c r="D1579" s="21"/>
      <c r="E1579" s="21"/>
      <c r="F1579" s="21"/>
      <c r="G1579" s="21"/>
      <c r="H1579" s="21"/>
      <c r="I1579" s="21"/>
      <c r="J1579" s="45"/>
      <c r="K1579" s="45"/>
      <c r="L1579" s="45"/>
      <c r="M1579" s="45"/>
      <c r="N1579" s="45"/>
      <c r="O1579" s="21"/>
      <c r="P1579" s="21"/>
      <c r="Q1579" s="21"/>
      <c r="R1579" s="25" t="str">
        <f t="shared" si="24"/>
        <v/>
      </c>
    </row>
    <row r="1580" spans="1:18">
      <c r="A1580" s="28"/>
      <c r="B1580" s="48"/>
      <c r="C1580" s="48"/>
      <c r="D1580" s="21"/>
      <c r="E1580" s="21"/>
      <c r="F1580" s="21"/>
      <c r="G1580" s="21"/>
      <c r="H1580" s="21"/>
      <c r="I1580" s="21"/>
      <c r="J1580" s="45"/>
      <c r="K1580" s="45"/>
      <c r="L1580" s="45"/>
      <c r="M1580" s="45"/>
      <c r="N1580" s="45"/>
      <c r="O1580" s="21"/>
      <c r="P1580" s="21"/>
      <c r="Q1580" s="21"/>
      <c r="R1580" s="25" t="str">
        <f t="shared" si="24"/>
        <v/>
      </c>
    </row>
    <row r="1581" spans="1:18">
      <c r="A1581" s="28"/>
      <c r="B1581" s="48"/>
      <c r="C1581" s="48"/>
      <c r="D1581" s="21"/>
      <c r="E1581" s="21"/>
      <c r="F1581" s="21"/>
      <c r="G1581" s="21"/>
      <c r="H1581" s="21"/>
      <c r="I1581" s="21"/>
      <c r="J1581" s="45"/>
      <c r="K1581" s="45"/>
      <c r="L1581" s="45"/>
      <c r="M1581" s="45"/>
      <c r="N1581" s="45"/>
      <c r="O1581" s="21"/>
      <c r="P1581" s="21"/>
      <c r="Q1581" s="21"/>
      <c r="R1581" s="25" t="str">
        <f t="shared" si="24"/>
        <v/>
      </c>
    </row>
    <row r="1582" spans="1:18">
      <c r="A1582" s="28"/>
      <c r="B1582" s="48"/>
      <c r="C1582" s="48"/>
      <c r="D1582" s="21"/>
      <c r="E1582" s="21"/>
      <c r="F1582" s="21"/>
      <c r="G1582" s="21"/>
      <c r="H1582" s="21"/>
      <c r="I1582" s="21"/>
      <c r="J1582" s="45"/>
      <c r="K1582" s="45"/>
      <c r="L1582" s="45"/>
      <c r="M1582" s="45"/>
      <c r="N1582" s="45"/>
      <c r="O1582" s="21"/>
      <c r="P1582" s="21"/>
      <c r="Q1582" s="21"/>
      <c r="R1582" s="25" t="str">
        <f t="shared" si="24"/>
        <v/>
      </c>
    </row>
    <row r="1583" spans="1:18">
      <c r="A1583" s="28"/>
      <c r="B1583" s="48"/>
      <c r="C1583" s="48"/>
      <c r="D1583" s="21"/>
      <c r="E1583" s="21"/>
      <c r="F1583" s="21"/>
      <c r="G1583" s="21"/>
      <c r="H1583" s="21"/>
      <c r="I1583" s="21"/>
      <c r="J1583" s="45"/>
      <c r="K1583" s="45"/>
      <c r="L1583" s="45"/>
      <c r="M1583" s="45"/>
      <c r="N1583" s="45"/>
      <c r="O1583" s="21"/>
      <c r="P1583" s="21"/>
      <c r="Q1583" s="21"/>
      <c r="R1583" s="25" t="str">
        <f t="shared" si="24"/>
        <v/>
      </c>
    </row>
    <row r="1584" spans="1:18">
      <c r="A1584" s="28"/>
      <c r="B1584" s="48"/>
      <c r="C1584" s="48"/>
      <c r="D1584" s="21"/>
      <c r="E1584" s="21"/>
      <c r="F1584" s="21"/>
      <c r="G1584" s="21"/>
      <c r="H1584" s="21"/>
      <c r="I1584" s="21"/>
      <c r="J1584" s="45"/>
      <c r="K1584" s="45"/>
      <c r="L1584" s="45"/>
      <c r="M1584" s="45"/>
      <c r="N1584" s="45"/>
      <c r="O1584" s="21"/>
      <c r="P1584" s="21"/>
      <c r="Q1584" s="21"/>
      <c r="R1584" s="25" t="str">
        <f t="shared" si="24"/>
        <v/>
      </c>
    </row>
    <row r="1585" spans="1:18">
      <c r="A1585" s="28"/>
      <c r="B1585" s="48"/>
      <c r="C1585" s="48"/>
      <c r="D1585" s="21"/>
      <c r="E1585" s="21"/>
      <c r="F1585" s="21"/>
      <c r="G1585" s="21"/>
      <c r="H1585" s="21"/>
      <c r="I1585" s="21"/>
      <c r="J1585" s="45"/>
      <c r="K1585" s="45"/>
      <c r="L1585" s="45"/>
      <c r="M1585" s="45"/>
      <c r="N1585" s="45"/>
      <c r="O1585" s="21"/>
      <c r="P1585" s="21"/>
      <c r="Q1585" s="21"/>
      <c r="R1585" s="25" t="str">
        <f t="shared" si="24"/>
        <v/>
      </c>
    </row>
    <row r="1586" spans="1:18">
      <c r="A1586" s="28"/>
      <c r="B1586" s="48"/>
      <c r="C1586" s="48"/>
      <c r="D1586" s="21"/>
      <c r="E1586" s="21"/>
      <c r="F1586" s="21"/>
      <c r="G1586" s="21"/>
      <c r="H1586" s="21"/>
      <c r="I1586" s="21"/>
      <c r="J1586" s="45"/>
      <c r="K1586" s="45"/>
      <c r="L1586" s="45"/>
      <c r="M1586" s="45"/>
      <c r="N1586" s="45"/>
      <c r="O1586" s="21"/>
      <c r="P1586" s="21"/>
      <c r="Q1586" s="21"/>
      <c r="R1586" s="25" t="str">
        <f t="shared" si="24"/>
        <v/>
      </c>
    </row>
    <row r="1587" spans="1:18">
      <c r="A1587" s="28"/>
      <c r="B1587" s="48"/>
      <c r="C1587" s="48"/>
      <c r="D1587" s="21"/>
      <c r="E1587" s="21"/>
      <c r="F1587" s="21"/>
      <c r="G1587" s="21"/>
      <c r="H1587" s="21"/>
      <c r="I1587" s="21"/>
      <c r="J1587" s="45"/>
      <c r="K1587" s="45"/>
      <c r="L1587" s="45"/>
      <c r="M1587" s="45"/>
      <c r="N1587" s="45"/>
      <c r="O1587" s="21"/>
      <c r="P1587" s="21"/>
      <c r="Q1587" s="21"/>
      <c r="R1587" s="25" t="str">
        <f t="shared" ref="R1587:R1650" si="25">IF(COUNTIF($A$17:$A$2010,$A1587)&gt;1,"Possible Duplicate","")</f>
        <v/>
      </c>
    </row>
    <row r="1588" spans="1:18">
      <c r="A1588" s="28"/>
      <c r="B1588" s="48"/>
      <c r="C1588" s="48"/>
      <c r="D1588" s="21"/>
      <c r="E1588" s="21"/>
      <c r="F1588" s="21"/>
      <c r="G1588" s="21"/>
      <c r="H1588" s="21"/>
      <c r="I1588" s="21"/>
      <c r="J1588" s="45"/>
      <c r="K1588" s="45"/>
      <c r="L1588" s="45"/>
      <c r="M1588" s="45"/>
      <c r="N1588" s="45"/>
      <c r="O1588" s="21"/>
      <c r="P1588" s="21"/>
      <c r="Q1588" s="21"/>
      <c r="R1588" s="25" t="str">
        <f t="shared" si="25"/>
        <v/>
      </c>
    </row>
    <row r="1589" spans="1:18">
      <c r="A1589" s="28"/>
      <c r="B1589" s="48"/>
      <c r="C1589" s="48"/>
      <c r="D1589" s="21"/>
      <c r="E1589" s="21"/>
      <c r="F1589" s="21"/>
      <c r="G1589" s="21"/>
      <c r="H1589" s="21"/>
      <c r="I1589" s="21"/>
      <c r="J1589" s="45"/>
      <c r="K1589" s="45"/>
      <c r="L1589" s="45"/>
      <c r="M1589" s="45"/>
      <c r="N1589" s="45"/>
      <c r="O1589" s="21"/>
      <c r="P1589" s="21"/>
      <c r="Q1589" s="21"/>
      <c r="R1589" s="25" t="str">
        <f t="shared" si="25"/>
        <v/>
      </c>
    </row>
    <row r="1590" spans="1:18">
      <c r="A1590" s="28"/>
      <c r="B1590" s="48"/>
      <c r="C1590" s="48"/>
      <c r="D1590" s="21"/>
      <c r="E1590" s="21"/>
      <c r="F1590" s="21"/>
      <c r="G1590" s="21"/>
      <c r="H1590" s="21"/>
      <c r="I1590" s="21"/>
      <c r="J1590" s="45"/>
      <c r="K1590" s="45"/>
      <c r="L1590" s="45"/>
      <c r="M1590" s="45"/>
      <c r="N1590" s="45"/>
      <c r="O1590" s="21"/>
      <c r="P1590" s="21"/>
      <c r="Q1590" s="21"/>
      <c r="R1590" s="25" t="str">
        <f t="shared" si="25"/>
        <v/>
      </c>
    </row>
    <row r="1591" spans="1:18">
      <c r="A1591" s="28"/>
      <c r="B1591" s="48"/>
      <c r="C1591" s="48"/>
      <c r="D1591" s="21"/>
      <c r="E1591" s="21"/>
      <c r="F1591" s="21"/>
      <c r="G1591" s="21"/>
      <c r="H1591" s="21"/>
      <c r="I1591" s="21"/>
      <c r="J1591" s="45"/>
      <c r="K1591" s="45"/>
      <c r="L1591" s="45"/>
      <c r="M1591" s="45"/>
      <c r="N1591" s="45"/>
      <c r="O1591" s="21"/>
      <c r="P1591" s="21"/>
      <c r="Q1591" s="21"/>
      <c r="R1591" s="25" t="str">
        <f t="shared" si="25"/>
        <v/>
      </c>
    </row>
    <row r="1592" spans="1:18">
      <c r="A1592" s="28"/>
      <c r="B1592" s="48"/>
      <c r="C1592" s="48"/>
      <c r="D1592" s="21"/>
      <c r="E1592" s="21"/>
      <c r="F1592" s="21"/>
      <c r="G1592" s="21"/>
      <c r="H1592" s="21"/>
      <c r="I1592" s="21"/>
      <c r="J1592" s="45"/>
      <c r="K1592" s="45"/>
      <c r="L1592" s="45"/>
      <c r="M1592" s="45"/>
      <c r="N1592" s="45"/>
      <c r="O1592" s="21"/>
      <c r="P1592" s="21"/>
      <c r="Q1592" s="21"/>
      <c r="R1592" s="25" t="str">
        <f t="shared" si="25"/>
        <v/>
      </c>
    </row>
    <row r="1593" spans="1:18">
      <c r="A1593" s="28"/>
      <c r="B1593" s="48"/>
      <c r="C1593" s="48"/>
      <c r="D1593" s="21"/>
      <c r="E1593" s="21"/>
      <c r="F1593" s="21"/>
      <c r="G1593" s="21"/>
      <c r="H1593" s="21"/>
      <c r="I1593" s="21"/>
      <c r="J1593" s="45"/>
      <c r="K1593" s="45"/>
      <c r="L1593" s="45"/>
      <c r="M1593" s="45"/>
      <c r="N1593" s="45"/>
      <c r="O1593" s="21"/>
      <c r="P1593" s="21"/>
      <c r="Q1593" s="21"/>
      <c r="R1593" s="25" t="str">
        <f t="shared" si="25"/>
        <v/>
      </c>
    </row>
    <row r="1594" spans="1:18">
      <c r="A1594" s="28"/>
      <c r="B1594" s="48"/>
      <c r="C1594" s="48"/>
      <c r="D1594" s="21"/>
      <c r="E1594" s="21"/>
      <c r="F1594" s="21"/>
      <c r="G1594" s="21"/>
      <c r="H1594" s="21"/>
      <c r="I1594" s="21"/>
      <c r="J1594" s="45"/>
      <c r="K1594" s="45"/>
      <c r="L1594" s="45"/>
      <c r="M1594" s="45"/>
      <c r="N1594" s="45"/>
      <c r="O1594" s="21"/>
      <c r="P1594" s="21"/>
      <c r="Q1594" s="21"/>
      <c r="R1594" s="25" t="str">
        <f t="shared" si="25"/>
        <v/>
      </c>
    </row>
    <row r="1595" spans="1:18">
      <c r="A1595" s="28"/>
      <c r="B1595" s="48"/>
      <c r="C1595" s="48"/>
      <c r="D1595" s="21"/>
      <c r="E1595" s="21"/>
      <c r="F1595" s="21"/>
      <c r="G1595" s="21"/>
      <c r="H1595" s="21"/>
      <c r="I1595" s="21"/>
      <c r="J1595" s="45"/>
      <c r="K1595" s="45"/>
      <c r="L1595" s="45"/>
      <c r="M1595" s="45"/>
      <c r="N1595" s="45"/>
      <c r="O1595" s="21"/>
      <c r="P1595" s="21"/>
      <c r="Q1595" s="21"/>
      <c r="R1595" s="25" t="str">
        <f t="shared" si="25"/>
        <v/>
      </c>
    </row>
    <row r="1596" spans="1:18">
      <c r="A1596" s="28"/>
      <c r="B1596" s="48"/>
      <c r="C1596" s="48"/>
      <c r="D1596" s="21"/>
      <c r="E1596" s="21"/>
      <c r="F1596" s="21"/>
      <c r="G1596" s="21"/>
      <c r="H1596" s="21"/>
      <c r="I1596" s="21"/>
      <c r="J1596" s="45"/>
      <c r="K1596" s="45"/>
      <c r="L1596" s="45"/>
      <c r="M1596" s="45"/>
      <c r="N1596" s="45"/>
      <c r="O1596" s="21"/>
      <c r="P1596" s="21"/>
      <c r="Q1596" s="21"/>
      <c r="R1596" s="25" t="str">
        <f t="shared" si="25"/>
        <v/>
      </c>
    </row>
    <row r="1597" spans="1:18">
      <c r="A1597" s="28"/>
      <c r="B1597" s="48"/>
      <c r="C1597" s="48"/>
      <c r="D1597" s="21"/>
      <c r="E1597" s="21"/>
      <c r="F1597" s="21"/>
      <c r="G1597" s="21"/>
      <c r="H1597" s="21"/>
      <c r="I1597" s="21"/>
      <c r="J1597" s="45"/>
      <c r="K1597" s="45"/>
      <c r="L1597" s="45"/>
      <c r="M1597" s="45"/>
      <c r="N1597" s="45"/>
      <c r="O1597" s="21"/>
      <c r="P1597" s="21"/>
      <c r="Q1597" s="21"/>
      <c r="R1597" s="25" t="str">
        <f t="shared" si="25"/>
        <v/>
      </c>
    </row>
    <row r="1598" spans="1:18">
      <c r="A1598" s="28"/>
      <c r="B1598" s="48"/>
      <c r="C1598" s="48"/>
      <c r="D1598" s="21"/>
      <c r="E1598" s="21"/>
      <c r="F1598" s="21"/>
      <c r="G1598" s="21"/>
      <c r="H1598" s="21"/>
      <c r="I1598" s="21"/>
      <c r="J1598" s="45"/>
      <c r="K1598" s="45"/>
      <c r="L1598" s="45"/>
      <c r="M1598" s="45"/>
      <c r="N1598" s="45"/>
      <c r="O1598" s="21"/>
      <c r="P1598" s="21"/>
      <c r="Q1598" s="21"/>
      <c r="R1598" s="25" t="str">
        <f t="shared" si="25"/>
        <v/>
      </c>
    </row>
    <row r="1599" spans="1:18">
      <c r="A1599" s="28"/>
      <c r="B1599" s="48"/>
      <c r="C1599" s="48"/>
      <c r="D1599" s="21"/>
      <c r="E1599" s="21"/>
      <c r="F1599" s="21"/>
      <c r="G1599" s="21"/>
      <c r="H1599" s="21"/>
      <c r="I1599" s="21"/>
      <c r="J1599" s="45"/>
      <c r="K1599" s="45"/>
      <c r="L1599" s="45"/>
      <c r="M1599" s="45"/>
      <c r="N1599" s="45"/>
      <c r="O1599" s="21"/>
      <c r="P1599" s="21"/>
      <c r="Q1599" s="21"/>
      <c r="R1599" s="25" t="str">
        <f t="shared" si="25"/>
        <v/>
      </c>
    </row>
    <row r="1600" spans="1:18">
      <c r="A1600" s="28"/>
      <c r="B1600" s="48"/>
      <c r="C1600" s="48"/>
      <c r="D1600" s="21"/>
      <c r="E1600" s="21"/>
      <c r="F1600" s="21"/>
      <c r="G1600" s="21"/>
      <c r="H1600" s="21"/>
      <c r="I1600" s="21"/>
      <c r="J1600" s="45"/>
      <c r="K1600" s="45"/>
      <c r="L1600" s="45"/>
      <c r="M1600" s="45"/>
      <c r="N1600" s="45"/>
      <c r="O1600" s="21"/>
      <c r="P1600" s="21"/>
      <c r="Q1600" s="21"/>
      <c r="R1600" s="25" t="str">
        <f t="shared" si="25"/>
        <v/>
      </c>
    </row>
    <row r="1601" spans="1:18">
      <c r="A1601" s="28"/>
      <c r="B1601" s="48"/>
      <c r="C1601" s="48"/>
      <c r="D1601" s="21"/>
      <c r="E1601" s="21"/>
      <c r="F1601" s="21"/>
      <c r="G1601" s="21"/>
      <c r="H1601" s="21"/>
      <c r="I1601" s="21"/>
      <c r="J1601" s="45"/>
      <c r="K1601" s="45"/>
      <c r="L1601" s="45"/>
      <c r="M1601" s="45"/>
      <c r="N1601" s="45"/>
      <c r="O1601" s="21"/>
      <c r="P1601" s="21"/>
      <c r="Q1601" s="21"/>
      <c r="R1601" s="25" t="str">
        <f t="shared" si="25"/>
        <v/>
      </c>
    </row>
    <row r="1602" spans="1:18">
      <c r="A1602" s="28"/>
      <c r="B1602" s="48"/>
      <c r="C1602" s="48"/>
      <c r="D1602" s="21"/>
      <c r="E1602" s="21"/>
      <c r="F1602" s="21"/>
      <c r="G1602" s="21"/>
      <c r="H1602" s="21"/>
      <c r="I1602" s="21"/>
      <c r="J1602" s="45"/>
      <c r="K1602" s="45"/>
      <c r="L1602" s="45"/>
      <c r="M1602" s="45"/>
      <c r="N1602" s="45"/>
      <c r="O1602" s="21"/>
      <c r="P1602" s="21"/>
      <c r="Q1602" s="21"/>
      <c r="R1602" s="25" t="str">
        <f t="shared" si="25"/>
        <v/>
      </c>
    </row>
    <row r="1603" spans="1:18">
      <c r="A1603" s="28"/>
      <c r="B1603" s="48"/>
      <c r="C1603" s="48"/>
      <c r="D1603" s="21"/>
      <c r="E1603" s="21"/>
      <c r="F1603" s="21"/>
      <c r="G1603" s="21"/>
      <c r="H1603" s="21"/>
      <c r="I1603" s="21"/>
      <c r="J1603" s="45"/>
      <c r="K1603" s="45"/>
      <c r="L1603" s="45"/>
      <c r="M1603" s="45"/>
      <c r="N1603" s="45"/>
      <c r="O1603" s="21"/>
      <c r="P1603" s="21"/>
      <c r="Q1603" s="21"/>
      <c r="R1603" s="25" t="str">
        <f t="shared" si="25"/>
        <v/>
      </c>
    </row>
    <row r="1604" spans="1:18">
      <c r="A1604" s="28"/>
      <c r="B1604" s="48"/>
      <c r="C1604" s="48"/>
      <c r="D1604" s="21"/>
      <c r="E1604" s="21"/>
      <c r="F1604" s="21"/>
      <c r="G1604" s="21"/>
      <c r="H1604" s="21"/>
      <c r="I1604" s="21"/>
      <c r="J1604" s="45"/>
      <c r="K1604" s="45"/>
      <c r="L1604" s="45"/>
      <c r="M1604" s="45"/>
      <c r="N1604" s="45"/>
      <c r="O1604" s="21"/>
      <c r="P1604" s="21"/>
      <c r="Q1604" s="21"/>
      <c r="R1604" s="25" t="str">
        <f t="shared" si="25"/>
        <v/>
      </c>
    </row>
    <row r="1605" spans="1:18">
      <c r="A1605" s="28"/>
      <c r="B1605" s="48"/>
      <c r="C1605" s="48"/>
      <c r="D1605" s="21"/>
      <c r="E1605" s="21"/>
      <c r="F1605" s="21"/>
      <c r="G1605" s="21"/>
      <c r="H1605" s="21"/>
      <c r="I1605" s="21"/>
      <c r="J1605" s="45"/>
      <c r="K1605" s="45"/>
      <c r="L1605" s="45"/>
      <c r="M1605" s="45"/>
      <c r="N1605" s="45"/>
      <c r="O1605" s="21"/>
      <c r="P1605" s="21"/>
      <c r="Q1605" s="21"/>
      <c r="R1605" s="25" t="str">
        <f t="shared" si="25"/>
        <v/>
      </c>
    </row>
    <row r="1606" spans="1:18">
      <c r="A1606" s="28"/>
      <c r="B1606" s="48"/>
      <c r="C1606" s="48"/>
      <c r="D1606" s="21"/>
      <c r="E1606" s="21"/>
      <c r="F1606" s="21"/>
      <c r="G1606" s="21"/>
      <c r="H1606" s="21"/>
      <c r="I1606" s="21"/>
      <c r="J1606" s="45"/>
      <c r="K1606" s="45"/>
      <c r="L1606" s="45"/>
      <c r="M1606" s="45"/>
      <c r="N1606" s="45"/>
      <c r="O1606" s="21"/>
      <c r="P1606" s="21"/>
      <c r="Q1606" s="21"/>
      <c r="R1606" s="25" t="str">
        <f t="shared" si="25"/>
        <v/>
      </c>
    </row>
    <row r="1607" spans="1:18">
      <c r="A1607" s="28"/>
      <c r="B1607" s="48"/>
      <c r="C1607" s="48"/>
      <c r="D1607" s="21"/>
      <c r="E1607" s="21"/>
      <c r="F1607" s="21"/>
      <c r="G1607" s="21"/>
      <c r="H1607" s="21"/>
      <c r="I1607" s="21"/>
      <c r="J1607" s="45"/>
      <c r="K1607" s="45"/>
      <c r="L1607" s="45"/>
      <c r="M1607" s="45"/>
      <c r="N1607" s="45"/>
      <c r="O1607" s="21"/>
      <c r="P1607" s="21"/>
      <c r="Q1607" s="21"/>
      <c r="R1607" s="25" t="str">
        <f t="shared" si="25"/>
        <v/>
      </c>
    </row>
    <row r="1608" spans="1:18">
      <c r="A1608" s="28"/>
      <c r="B1608" s="48"/>
      <c r="C1608" s="48"/>
      <c r="D1608" s="21"/>
      <c r="E1608" s="21"/>
      <c r="F1608" s="21"/>
      <c r="G1608" s="21"/>
      <c r="H1608" s="21"/>
      <c r="I1608" s="21"/>
      <c r="J1608" s="45"/>
      <c r="K1608" s="45"/>
      <c r="L1608" s="45"/>
      <c r="M1608" s="45"/>
      <c r="N1608" s="45"/>
      <c r="O1608" s="21"/>
      <c r="P1608" s="21"/>
      <c r="Q1608" s="21"/>
      <c r="R1608" s="25" t="str">
        <f t="shared" si="25"/>
        <v/>
      </c>
    </row>
    <row r="1609" spans="1:18">
      <c r="A1609" s="28"/>
      <c r="B1609" s="48"/>
      <c r="C1609" s="48"/>
      <c r="D1609" s="21"/>
      <c r="E1609" s="21"/>
      <c r="F1609" s="21"/>
      <c r="G1609" s="21"/>
      <c r="H1609" s="21"/>
      <c r="I1609" s="21"/>
      <c r="J1609" s="45"/>
      <c r="K1609" s="45"/>
      <c r="L1609" s="45"/>
      <c r="M1609" s="45"/>
      <c r="N1609" s="45"/>
      <c r="O1609" s="21"/>
      <c r="P1609" s="21"/>
      <c r="Q1609" s="21"/>
      <c r="R1609" s="25" t="str">
        <f t="shared" si="25"/>
        <v/>
      </c>
    </row>
    <row r="1610" spans="1:18">
      <c r="A1610" s="28"/>
      <c r="B1610" s="48"/>
      <c r="C1610" s="48"/>
      <c r="D1610" s="21"/>
      <c r="E1610" s="21"/>
      <c r="F1610" s="21"/>
      <c r="G1610" s="21"/>
      <c r="H1610" s="21"/>
      <c r="I1610" s="21"/>
      <c r="J1610" s="45"/>
      <c r="K1610" s="45"/>
      <c r="L1610" s="45"/>
      <c r="M1610" s="45"/>
      <c r="N1610" s="45"/>
      <c r="O1610" s="21"/>
      <c r="P1610" s="21"/>
      <c r="Q1610" s="21"/>
      <c r="R1610" s="25" t="str">
        <f t="shared" si="25"/>
        <v/>
      </c>
    </row>
    <row r="1611" spans="1:18">
      <c r="A1611" s="28"/>
      <c r="B1611" s="48"/>
      <c r="C1611" s="48"/>
      <c r="D1611" s="21"/>
      <c r="E1611" s="21"/>
      <c r="F1611" s="21"/>
      <c r="G1611" s="21"/>
      <c r="H1611" s="21"/>
      <c r="I1611" s="21"/>
      <c r="J1611" s="45"/>
      <c r="K1611" s="45"/>
      <c r="L1611" s="45"/>
      <c r="M1611" s="45"/>
      <c r="N1611" s="45"/>
      <c r="O1611" s="21"/>
      <c r="P1611" s="21"/>
      <c r="Q1611" s="21"/>
      <c r="R1611" s="25" t="str">
        <f t="shared" si="25"/>
        <v/>
      </c>
    </row>
    <row r="1612" spans="1:18">
      <c r="A1612" s="28"/>
      <c r="B1612" s="48"/>
      <c r="C1612" s="48"/>
      <c r="D1612" s="21"/>
      <c r="E1612" s="21"/>
      <c r="F1612" s="21"/>
      <c r="G1612" s="21"/>
      <c r="H1612" s="21"/>
      <c r="I1612" s="21"/>
      <c r="J1612" s="45"/>
      <c r="K1612" s="45"/>
      <c r="L1612" s="45"/>
      <c r="M1612" s="45"/>
      <c r="N1612" s="45"/>
      <c r="O1612" s="21"/>
      <c r="P1612" s="21"/>
      <c r="Q1612" s="21"/>
      <c r="R1612" s="25" t="str">
        <f t="shared" si="25"/>
        <v/>
      </c>
    </row>
    <row r="1613" spans="1:18">
      <c r="A1613" s="28"/>
      <c r="B1613" s="48"/>
      <c r="C1613" s="48"/>
      <c r="D1613" s="21"/>
      <c r="E1613" s="21"/>
      <c r="F1613" s="21"/>
      <c r="G1613" s="21"/>
      <c r="H1613" s="21"/>
      <c r="I1613" s="21"/>
      <c r="J1613" s="45"/>
      <c r="K1613" s="45"/>
      <c r="L1613" s="45"/>
      <c r="M1613" s="45"/>
      <c r="N1613" s="45"/>
      <c r="O1613" s="21"/>
      <c r="P1613" s="21"/>
      <c r="Q1613" s="21"/>
      <c r="R1613" s="25" t="str">
        <f t="shared" si="25"/>
        <v/>
      </c>
    </row>
    <row r="1614" spans="1:18">
      <c r="A1614" s="28"/>
      <c r="B1614" s="48"/>
      <c r="C1614" s="48"/>
      <c r="D1614" s="21"/>
      <c r="E1614" s="21"/>
      <c r="F1614" s="21"/>
      <c r="G1614" s="21"/>
      <c r="H1614" s="21"/>
      <c r="I1614" s="21"/>
      <c r="J1614" s="45"/>
      <c r="K1614" s="45"/>
      <c r="L1614" s="45"/>
      <c r="M1614" s="45"/>
      <c r="N1614" s="45"/>
      <c r="O1614" s="21"/>
      <c r="P1614" s="21"/>
      <c r="Q1614" s="21"/>
      <c r="R1614" s="25" t="str">
        <f t="shared" si="25"/>
        <v/>
      </c>
    </row>
    <row r="1615" spans="1:18">
      <c r="A1615" s="28"/>
      <c r="B1615" s="48"/>
      <c r="C1615" s="48"/>
      <c r="D1615" s="21"/>
      <c r="E1615" s="21"/>
      <c r="F1615" s="21"/>
      <c r="G1615" s="21"/>
      <c r="H1615" s="21"/>
      <c r="I1615" s="21"/>
      <c r="J1615" s="45"/>
      <c r="K1615" s="45"/>
      <c r="L1615" s="45"/>
      <c r="M1615" s="45"/>
      <c r="N1615" s="45"/>
      <c r="O1615" s="21"/>
      <c r="P1615" s="21"/>
      <c r="Q1615" s="21"/>
      <c r="R1615" s="25" t="str">
        <f t="shared" si="25"/>
        <v/>
      </c>
    </row>
    <row r="1616" spans="1:18">
      <c r="A1616" s="28"/>
      <c r="B1616" s="48"/>
      <c r="C1616" s="48"/>
      <c r="D1616" s="21"/>
      <c r="E1616" s="21"/>
      <c r="F1616" s="21"/>
      <c r="G1616" s="21"/>
      <c r="H1616" s="21"/>
      <c r="I1616" s="21"/>
      <c r="J1616" s="45"/>
      <c r="K1616" s="45"/>
      <c r="L1616" s="45"/>
      <c r="M1616" s="45"/>
      <c r="N1616" s="45"/>
      <c r="O1616" s="21"/>
      <c r="P1616" s="21"/>
      <c r="Q1616" s="21"/>
      <c r="R1616" s="25" t="str">
        <f t="shared" si="25"/>
        <v/>
      </c>
    </row>
    <row r="1617" spans="1:18">
      <c r="A1617" s="28"/>
      <c r="B1617" s="48"/>
      <c r="C1617" s="48"/>
      <c r="D1617" s="21"/>
      <c r="E1617" s="21"/>
      <c r="F1617" s="21"/>
      <c r="G1617" s="21"/>
      <c r="H1617" s="21"/>
      <c r="I1617" s="21"/>
      <c r="J1617" s="45"/>
      <c r="K1617" s="45"/>
      <c r="L1617" s="45"/>
      <c r="M1617" s="45"/>
      <c r="N1617" s="45"/>
      <c r="O1617" s="21"/>
      <c r="P1617" s="21"/>
      <c r="Q1617" s="21"/>
      <c r="R1617" s="25" t="str">
        <f t="shared" si="25"/>
        <v/>
      </c>
    </row>
    <row r="1618" spans="1:18">
      <c r="A1618" s="28"/>
      <c r="B1618" s="48"/>
      <c r="C1618" s="48"/>
      <c r="D1618" s="21"/>
      <c r="E1618" s="21"/>
      <c r="F1618" s="21"/>
      <c r="G1618" s="21"/>
      <c r="H1618" s="21"/>
      <c r="I1618" s="21"/>
      <c r="J1618" s="45"/>
      <c r="K1618" s="45"/>
      <c r="L1618" s="45"/>
      <c r="M1618" s="45"/>
      <c r="N1618" s="45"/>
      <c r="O1618" s="21"/>
      <c r="P1618" s="21"/>
      <c r="Q1618" s="21"/>
      <c r="R1618" s="25" t="str">
        <f t="shared" si="25"/>
        <v/>
      </c>
    </row>
    <row r="1619" spans="1:18">
      <c r="A1619" s="28"/>
      <c r="B1619" s="48"/>
      <c r="C1619" s="48"/>
      <c r="D1619" s="21"/>
      <c r="E1619" s="21"/>
      <c r="F1619" s="21"/>
      <c r="G1619" s="21"/>
      <c r="H1619" s="21"/>
      <c r="I1619" s="21"/>
      <c r="J1619" s="45"/>
      <c r="K1619" s="45"/>
      <c r="L1619" s="45"/>
      <c r="M1619" s="45"/>
      <c r="N1619" s="45"/>
      <c r="O1619" s="21"/>
      <c r="P1619" s="21"/>
      <c r="Q1619" s="21"/>
      <c r="R1619" s="25" t="str">
        <f t="shared" si="25"/>
        <v/>
      </c>
    </row>
    <row r="1620" spans="1:18">
      <c r="A1620" s="28"/>
      <c r="B1620" s="48"/>
      <c r="C1620" s="48"/>
      <c r="D1620" s="21"/>
      <c r="E1620" s="21"/>
      <c r="F1620" s="21"/>
      <c r="G1620" s="21"/>
      <c r="H1620" s="21"/>
      <c r="I1620" s="21"/>
      <c r="J1620" s="45"/>
      <c r="K1620" s="45"/>
      <c r="L1620" s="45"/>
      <c r="M1620" s="45"/>
      <c r="N1620" s="45"/>
      <c r="O1620" s="21"/>
      <c r="P1620" s="21"/>
      <c r="Q1620" s="21"/>
      <c r="R1620" s="25" t="str">
        <f t="shared" si="25"/>
        <v/>
      </c>
    </row>
    <row r="1621" spans="1:18">
      <c r="A1621" s="28"/>
      <c r="B1621" s="48"/>
      <c r="C1621" s="48"/>
      <c r="D1621" s="21"/>
      <c r="E1621" s="21"/>
      <c r="F1621" s="21"/>
      <c r="G1621" s="21"/>
      <c r="H1621" s="21"/>
      <c r="I1621" s="21"/>
      <c r="J1621" s="45"/>
      <c r="K1621" s="45"/>
      <c r="L1621" s="45"/>
      <c r="M1621" s="45"/>
      <c r="N1621" s="45"/>
      <c r="O1621" s="21"/>
      <c r="P1621" s="21"/>
      <c r="Q1621" s="21"/>
      <c r="R1621" s="25" t="str">
        <f t="shared" si="25"/>
        <v/>
      </c>
    </row>
    <row r="1622" spans="1:18">
      <c r="A1622" s="28"/>
      <c r="B1622" s="48"/>
      <c r="C1622" s="48"/>
      <c r="D1622" s="21"/>
      <c r="E1622" s="21"/>
      <c r="F1622" s="21"/>
      <c r="G1622" s="21"/>
      <c r="H1622" s="21"/>
      <c r="I1622" s="21"/>
      <c r="J1622" s="45"/>
      <c r="K1622" s="45"/>
      <c r="L1622" s="45"/>
      <c r="M1622" s="45"/>
      <c r="N1622" s="45"/>
      <c r="O1622" s="21"/>
      <c r="P1622" s="21"/>
      <c r="Q1622" s="21"/>
      <c r="R1622" s="25" t="str">
        <f t="shared" si="25"/>
        <v/>
      </c>
    </row>
    <row r="1623" spans="1:18">
      <c r="A1623" s="28"/>
      <c r="B1623" s="48"/>
      <c r="C1623" s="48"/>
      <c r="D1623" s="21"/>
      <c r="E1623" s="21"/>
      <c r="F1623" s="21"/>
      <c r="G1623" s="21"/>
      <c r="H1623" s="21"/>
      <c r="I1623" s="21"/>
      <c r="J1623" s="45"/>
      <c r="K1623" s="45"/>
      <c r="L1623" s="45"/>
      <c r="M1623" s="45"/>
      <c r="N1623" s="45"/>
      <c r="O1623" s="21"/>
      <c r="P1623" s="21"/>
      <c r="Q1623" s="21"/>
      <c r="R1623" s="25" t="str">
        <f t="shared" si="25"/>
        <v/>
      </c>
    </row>
    <row r="1624" spans="1:18">
      <c r="A1624" s="28"/>
      <c r="B1624" s="48"/>
      <c r="C1624" s="48"/>
      <c r="D1624" s="21"/>
      <c r="E1624" s="21"/>
      <c r="F1624" s="21"/>
      <c r="G1624" s="21"/>
      <c r="H1624" s="21"/>
      <c r="I1624" s="21"/>
      <c r="J1624" s="45"/>
      <c r="K1624" s="45"/>
      <c r="L1624" s="45"/>
      <c r="M1624" s="45"/>
      <c r="N1624" s="45"/>
      <c r="O1624" s="21"/>
      <c r="P1624" s="21"/>
      <c r="Q1624" s="21"/>
      <c r="R1624" s="25" t="str">
        <f t="shared" si="25"/>
        <v/>
      </c>
    </row>
    <row r="1625" spans="1:18">
      <c r="A1625" s="28"/>
      <c r="B1625" s="48"/>
      <c r="C1625" s="48"/>
      <c r="D1625" s="21"/>
      <c r="E1625" s="21"/>
      <c r="F1625" s="21"/>
      <c r="G1625" s="21"/>
      <c r="H1625" s="21"/>
      <c r="I1625" s="21"/>
      <c r="J1625" s="45"/>
      <c r="K1625" s="45"/>
      <c r="L1625" s="45"/>
      <c r="M1625" s="45"/>
      <c r="N1625" s="45"/>
      <c r="O1625" s="21"/>
      <c r="P1625" s="21"/>
      <c r="Q1625" s="21"/>
      <c r="R1625" s="25" t="str">
        <f t="shared" si="25"/>
        <v/>
      </c>
    </row>
    <row r="1626" spans="1:18">
      <c r="A1626" s="28"/>
      <c r="B1626" s="48"/>
      <c r="C1626" s="48"/>
      <c r="D1626" s="21"/>
      <c r="E1626" s="21"/>
      <c r="F1626" s="21"/>
      <c r="G1626" s="21"/>
      <c r="H1626" s="21"/>
      <c r="I1626" s="21"/>
      <c r="J1626" s="45"/>
      <c r="K1626" s="45"/>
      <c r="L1626" s="45"/>
      <c r="M1626" s="45"/>
      <c r="N1626" s="45"/>
      <c r="O1626" s="21"/>
      <c r="P1626" s="21"/>
      <c r="Q1626" s="21"/>
      <c r="R1626" s="25" t="str">
        <f t="shared" si="25"/>
        <v/>
      </c>
    </row>
    <row r="1627" spans="1:18">
      <c r="A1627" s="28"/>
      <c r="B1627" s="48"/>
      <c r="C1627" s="48"/>
      <c r="D1627" s="21"/>
      <c r="E1627" s="21"/>
      <c r="F1627" s="21"/>
      <c r="G1627" s="21"/>
      <c r="H1627" s="21"/>
      <c r="I1627" s="21"/>
      <c r="J1627" s="45"/>
      <c r="K1627" s="45"/>
      <c r="L1627" s="45"/>
      <c r="M1627" s="45"/>
      <c r="N1627" s="45"/>
      <c r="O1627" s="21"/>
      <c r="P1627" s="21"/>
      <c r="Q1627" s="21"/>
      <c r="R1627" s="25" t="str">
        <f t="shared" si="25"/>
        <v/>
      </c>
    </row>
    <row r="1628" spans="1:18">
      <c r="A1628" s="28"/>
      <c r="B1628" s="48"/>
      <c r="C1628" s="48"/>
      <c r="D1628" s="21"/>
      <c r="E1628" s="21"/>
      <c r="F1628" s="21"/>
      <c r="G1628" s="21"/>
      <c r="H1628" s="21"/>
      <c r="I1628" s="21"/>
      <c r="J1628" s="45"/>
      <c r="K1628" s="45"/>
      <c r="L1628" s="45"/>
      <c r="M1628" s="45"/>
      <c r="N1628" s="45"/>
      <c r="O1628" s="21"/>
      <c r="P1628" s="21"/>
      <c r="Q1628" s="21"/>
      <c r="R1628" s="25" t="str">
        <f t="shared" si="25"/>
        <v/>
      </c>
    </row>
    <row r="1629" spans="1:18">
      <c r="A1629" s="28"/>
      <c r="B1629" s="48"/>
      <c r="C1629" s="48"/>
      <c r="D1629" s="21"/>
      <c r="E1629" s="21"/>
      <c r="F1629" s="21"/>
      <c r="G1629" s="21"/>
      <c r="H1629" s="21"/>
      <c r="I1629" s="21"/>
      <c r="J1629" s="45"/>
      <c r="K1629" s="45"/>
      <c r="L1629" s="45"/>
      <c r="M1629" s="45"/>
      <c r="N1629" s="45"/>
      <c r="O1629" s="21"/>
      <c r="P1629" s="21"/>
      <c r="Q1629" s="21"/>
      <c r="R1629" s="25" t="str">
        <f t="shared" si="25"/>
        <v/>
      </c>
    </row>
    <row r="1630" spans="1:18">
      <c r="A1630" s="28"/>
      <c r="B1630" s="48"/>
      <c r="C1630" s="48"/>
      <c r="D1630" s="21"/>
      <c r="E1630" s="21"/>
      <c r="F1630" s="21"/>
      <c r="G1630" s="21"/>
      <c r="H1630" s="21"/>
      <c r="I1630" s="21"/>
      <c r="J1630" s="45"/>
      <c r="K1630" s="45"/>
      <c r="L1630" s="45"/>
      <c r="M1630" s="45"/>
      <c r="N1630" s="45"/>
      <c r="O1630" s="21"/>
      <c r="P1630" s="21"/>
      <c r="Q1630" s="21"/>
      <c r="R1630" s="25" t="str">
        <f t="shared" si="25"/>
        <v/>
      </c>
    </row>
    <row r="1631" spans="1:18">
      <c r="A1631" s="28"/>
      <c r="B1631" s="48"/>
      <c r="C1631" s="48"/>
      <c r="D1631" s="21"/>
      <c r="E1631" s="21"/>
      <c r="F1631" s="21"/>
      <c r="G1631" s="21"/>
      <c r="H1631" s="21"/>
      <c r="I1631" s="21"/>
      <c r="J1631" s="45"/>
      <c r="K1631" s="45"/>
      <c r="L1631" s="45"/>
      <c r="M1631" s="45"/>
      <c r="N1631" s="45"/>
      <c r="O1631" s="21"/>
      <c r="P1631" s="21"/>
      <c r="Q1631" s="21"/>
      <c r="R1631" s="25" t="str">
        <f t="shared" si="25"/>
        <v/>
      </c>
    </row>
    <row r="1632" spans="1:18">
      <c r="A1632" s="28"/>
      <c r="B1632" s="48"/>
      <c r="C1632" s="48"/>
      <c r="D1632" s="21"/>
      <c r="E1632" s="21"/>
      <c r="F1632" s="21"/>
      <c r="G1632" s="21"/>
      <c r="H1632" s="21"/>
      <c r="I1632" s="21"/>
      <c r="J1632" s="45"/>
      <c r="K1632" s="45"/>
      <c r="L1632" s="45"/>
      <c r="M1632" s="45"/>
      <c r="N1632" s="45"/>
      <c r="O1632" s="21"/>
      <c r="P1632" s="21"/>
      <c r="Q1632" s="21"/>
      <c r="R1632" s="25" t="str">
        <f t="shared" si="25"/>
        <v/>
      </c>
    </row>
    <row r="1633" spans="1:18">
      <c r="A1633" s="28"/>
      <c r="B1633" s="48"/>
      <c r="C1633" s="48"/>
      <c r="D1633" s="21"/>
      <c r="E1633" s="21"/>
      <c r="F1633" s="21"/>
      <c r="G1633" s="21"/>
      <c r="H1633" s="21"/>
      <c r="I1633" s="21"/>
      <c r="J1633" s="45"/>
      <c r="K1633" s="45"/>
      <c r="L1633" s="45"/>
      <c r="M1633" s="45"/>
      <c r="N1633" s="45"/>
      <c r="O1633" s="21"/>
      <c r="P1633" s="21"/>
      <c r="Q1633" s="21"/>
      <c r="R1633" s="25" t="str">
        <f t="shared" si="25"/>
        <v/>
      </c>
    </row>
    <row r="1634" spans="1:18">
      <c r="A1634" s="28"/>
      <c r="B1634" s="48"/>
      <c r="C1634" s="48"/>
      <c r="D1634" s="21"/>
      <c r="E1634" s="21"/>
      <c r="F1634" s="21"/>
      <c r="G1634" s="21"/>
      <c r="H1634" s="21"/>
      <c r="I1634" s="21"/>
      <c r="J1634" s="45"/>
      <c r="K1634" s="45"/>
      <c r="L1634" s="45"/>
      <c r="M1634" s="45"/>
      <c r="N1634" s="45"/>
      <c r="O1634" s="21"/>
      <c r="P1634" s="21"/>
      <c r="Q1634" s="21"/>
      <c r="R1634" s="25" t="str">
        <f t="shared" si="25"/>
        <v/>
      </c>
    </row>
    <row r="1635" spans="1:18">
      <c r="A1635" s="28"/>
      <c r="B1635" s="48"/>
      <c r="C1635" s="48"/>
      <c r="D1635" s="21"/>
      <c r="E1635" s="21"/>
      <c r="F1635" s="21"/>
      <c r="G1635" s="21"/>
      <c r="H1635" s="21"/>
      <c r="I1635" s="21"/>
      <c r="J1635" s="45"/>
      <c r="K1635" s="45"/>
      <c r="L1635" s="45"/>
      <c r="M1635" s="45"/>
      <c r="N1635" s="45"/>
      <c r="O1635" s="21"/>
      <c r="P1635" s="21"/>
      <c r="Q1635" s="21"/>
      <c r="R1635" s="25" t="str">
        <f t="shared" si="25"/>
        <v/>
      </c>
    </row>
    <row r="1636" spans="1:18">
      <c r="A1636" s="28"/>
      <c r="B1636" s="48"/>
      <c r="C1636" s="48"/>
      <c r="D1636" s="21"/>
      <c r="E1636" s="21"/>
      <c r="F1636" s="21"/>
      <c r="G1636" s="21"/>
      <c r="H1636" s="21"/>
      <c r="I1636" s="21"/>
      <c r="J1636" s="45"/>
      <c r="K1636" s="45"/>
      <c r="L1636" s="45"/>
      <c r="M1636" s="45"/>
      <c r="N1636" s="45"/>
      <c r="O1636" s="21"/>
      <c r="P1636" s="21"/>
      <c r="Q1636" s="21"/>
      <c r="R1636" s="25" t="str">
        <f t="shared" si="25"/>
        <v/>
      </c>
    </row>
    <row r="1637" spans="1:18">
      <c r="A1637" s="28"/>
      <c r="B1637" s="48"/>
      <c r="C1637" s="48"/>
      <c r="D1637" s="21"/>
      <c r="E1637" s="21"/>
      <c r="F1637" s="21"/>
      <c r="G1637" s="21"/>
      <c r="H1637" s="21"/>
      <c r="I1637" s="21"/>
      <c r="J1637" s="45"/>
      <c r="K1637" s="45"/>
      <c r="L1637" s="45"/>
      <c r="M1637" s="45"/>
      <c r="N1637" s="45"/>
      <c r="O1637" s="21"/>
      <c r="P1637" s="21"/>
      <c r="Q1637" s="21"/>
      <c r="R1637" s="25" t="str">
        <f t="shared" si="25"/>
        <v/>
      </c>
    </row>
    <row r="1638" spans="1:18">
      <c r="A1638" s="28"/>
      <c r="B1638" s="48"/>
      <c r="C1638" s="48"/>
      <c r="D1638" s="21"/>
      <c r="E1638" s="21"/>
      <c r="F1638" s="21"/>
      <c r="G1638" s="21"/>
      <c r="H1638" s="21"/>
      <c r="I1638" s="21"/>
      <c r="J1638" s="45"/>
      <c r="K1638" s="45"/>
      <c r="L1638" s="45"/>
      <c r="M1638" s="45"/>
      <c r="N1638" s="45"/>
      <c r="O1638" s="21"/>
      <c r="P1638" s="21"/>
      <c r="Q1638" s="21"/>
      <c r="R1638" s="25" t="str">
        <f t="shared" si="25"/>
        <v/>
      </c>
    </row>
    <row r="1639" spans="1:18">
      <c r="A1639" s="28"/>
      <c r="B1639" s="48"/>
      <c r="C1639" s="48"/>
      <c r="D1639" s="21"/>
      <c r="E1639" s="21"/>
      <c r="F1639" s="21"/>
      <c r="G1639" s="21"/>
      <c r="H1639" s="21"/>
      <c r="I1639" s="21"/>
      <c r="J1639" s="45"/>
      <c r="K1639" s="45"/>
      <c r="L1639" s="45"/>
      <c r="M1639" s="45"/>
      <c r="N1639" s="45"/>
      <c r="O1639" s="21"/>
      <c r="P1639" s="21"/>
      <c r="Q1639" s="21"/>
      <c r="R1639" s="25" t="str">
        <f t="shared" si="25"/>
        <v/>
      </c>
    </row>
    <row r="1640" spans="1:18">
      <c r="A1640" s="28"/>
      <c r="B1640" s="48"/>
      <c r="C1640" s="48"/>
      <c r="D1640" s="21"/>
      <c r="E1640" s="21"/>
      <c r="F1640" s="21"/>
      <c r="G1640" s="21"/>
      <c r="H1640" s="21"/>
      <c r="I1640" s="21"/>
      <c r="J1640" s="45"/>
      <c r="K1640" s="45"/>
      <c r="L1640" s="45"/>
      <c r="M1640" s="45"/>
      <c r="N1640" s="45"/>
      <c r="O1640" s="21"/>
      <c r="P1640" s="21"/>
      <c r="Q1640" s="21"/>
      <c r="R1640" s="25" t="str">
        <f t="shared" si="25"/>
        <v/>
      </c>
    </row>
    <row r="1641" spans="1:18">
      <c r="A1641" s="28"/>
      <c r="B1641" s="48"/>
      <c r="C1641" s="48"/>
      <c r="D1641" s="21"/>
      <c r="E1641" s="21"/>
      <c r="F1641" s="21"/>
      <c r="G1641" s="21"/>
      <c r="H1641" s="21"/>
      <c r="I1641" s="21"/>
      <c r="J1641" s="45"/>
      <c r="K1641" s="45"/>
      <c r="L1641" s="45"/>
      <c r="M1641" s="45"/>
      <c r="N1641" s="45"/>
      <c r="O1641" s="21"/>
      <c r="P1641" s="21"/>
      <c r="Q1641" s="21"/>
      <c r="R1641" s="25" t="str">
        <f t="shared" si="25"/>
        <v/>
      </c>
    </row>
    <row r="1642" spans="1:18">
      <c r="A1642" s="28"/>
      <c r="B1642" s="48"/>
      <c r="C1642" s="48"/>
      <c r="D1642" s="21"/>
      <c r="E1642" s="21"/>
      <c r="F1642" s="21"/>
      <c r="G1642" s="21"/>
      <c r="H1642" s="21"/>
      <c r="I1642" s="21"/>
      <c r="J1642" s="45"/>
      <c r="K1642" s="45"/>
      <c r="L1642" s="45"/>
      <c r="M1642" s="45"/>
      <c r="N1642" s="45"/>
      <c r="O1642" s="21"/>
      <c r="P1642" s="21"/>
      <c r="Q1642" s="21"/>
      <c r="R1642" s="25" t="str">
        <f t="shared" si="25"/>
        <v/>
      </c>
    </row>
    <row r="1643" spans="1:18">
      <c r="A1643" s="28"/>
      <c r="B1643" s="48"/>
      <c r="C1643" s="48"/>
      <c r="D1643" s="21"/>
      <c r="E1643" s="21"/>
      <c r="F1643" s="21"/>
      <c r="G1643" s="21"/>
      <c r="H1643" s="21"/>
      <c r="I1643" s="21"/>
      <c r="J1643" s="45"/>
      <c r="K1643" s="45"/>
      <c r="L1643" s="45"/>
      <c r="M1643" s="45"/>
      <c r="N1643" s="45"/>
      <c r="O1643" s="21"/>
      <c r="P1643" s="21"/>
      <c r="Q1643" s="21"/>
      <c r="R1643" s="25" t="str">
        <f t="shared" si="25"/>
        <v/>
      </c>
    </row>
    <row r="1644" spans="1:18">
      <c r="A1644" s="28"/>
      <c r="B1644" s="48"/>
      <c r="C1644" s="48"/>
      <c r="D1644" s="21"/>
      <c r="E1644" s="21"/>
      <c r="F1644" s="21"/>
      <c r="G1644" s="21"/>
      <c r="H1644" s="21"/>
      <c r="I1644" s="21"/>
      <c r="J1644" s="45"/>
      <c r="K1644" s="45"/>
      <c r="L1644" s="45"/>
      <c r="M1644" s="45"/>
      <c r="N1644" s="45"/>
      <c r="O1644" s="21"/>
      <c r="P1644" s="21"/>
      <c r="Q1644" s="21"/>
      <c r="R1644" s="25" t="str">
        <f t="shared" si="25"/>
        <v/>
      </c>
    </row>
    <row r="1645" spans="1:18">
      <c r="A1645" s="28"/>
      <c r="B1645" s="48"/>
      <c r="C1645" s="48"/>
      <c r="D1645" s="21"/>
      <c r="E1645" s="21"/>
      <c r="F1645" s="21"/>
      <c r="G1645" s="21"/>
      <c r="H1645" s="21"/>
      <c r="I1645" s="21"/>
      <c r="J1645" s="45"/>
      <c r="K1645" s="45"/>
      <c r="L1645" s="45"/>
      <c r="M1645" s="45"/>
      <c r="N1645" s="45"/>
      <c r="O1645" s="21"/>
      <c r="P1645" s="21"/>
      <c r="Q1645" s="21"/>
      <c r="R1645" s="25" t="str">
        <f t="shared" si="25"/>
        <v/>
      </c>
    </row>
    <row r="1646" spans="1:18">
      <c r="A1646" s="28"/>
      <c r="B1646" s="48"/>
      <c r="C1646" s="48"/>
      <c r="D1646" s="21"/>
      <c r="E1646" s="21"/>
      <c r="F1646" s="21"/>
      <c r="G1646" s="21"/>
      <c r="H1646" s="21"/>
      <c r="I1646" s="21"/>
      <c r="J1646" s="45"/>
      <c r="K1646" s="45"/>
      <c r="L1646" s="45"/>
      <c r="M1646" s="45"/>
      <c r="N1646" s="45"/>
      <c r="O1646" s="21"/>
      <c r="P1646" s="21"/>
      <c r="Q1646" s="21"/>
      <c r="R1646" s="25" t="str">
        <f t="shared" si="25"/>
        <v/>
      </c>
    </row>
    <row r="1647" spans="1:18">
      <c r="A1647" s="28"/>
      <c r="B1647" s="48"/>
      <c r="C1647" s="48"/>
      <c r="D1647" s="21"/>
      <c r="E1647" s="21"/>
      <c r="F1647" s="21"/>
      <c r="G1647" s="21"/>
      <c r="H1647" s="21"/>
      <c r="I1647" s="21"/>
      <c r="J1647" s="45"/>
      <c r="K1647" s="45"/>
      <c r="L1647" s="45"/>
      <c r="M1647" s="45"/>
      <c r="N1647" s="45"/>
      <c r="O1647" s="21"/>
      <c r="P1647" s="21"/>
      <c r="Q1647" s="21"/>
      <c r="R1647" s="25" t="str">
        <f t="shared" si="25"/>
        <v/>
      </c>
    </row>
    <row r="1648" spans="1:18">
      <c r="A1648" s="28"/>
      <c r="B1648" s="48"/>
      <c r="C1648" s="48"/>
      <c r="D1648" s="21"/>
      <c r="E1648" s="21"/>
      <c r="F1648" s="21"/>
      <c r="G1648" s="21"/>
      <c r="H1648" s="21"/>
      <c r="I1648" s="21"/>
      <c r="J1648" s="45"/>
      <c r="K1648" s="45"/>
      <c r="L1648" s="45"/>
      <c r="M1648" s="45"/>
      <c r="N1648" s="45"/>
      <c r="O1648" s="21"/>
      <c r="P1648" s="21"/>
      <c r="Q1648" s="21"/>
      <c r="R1648" s="25" t="str">
        <f t="shared" si="25"/>
        <v/>
      </c>
    </row>
    <row r="1649" spans="1:18">
      <c r="A1649" s="28"/>
      <c r="B1649" s="48"/>
      <c r="C1649" s="48"/>
      <c r="D1649" s="21"/>
      <c r="E1649" s="21"/>
      <c r="F1649" s="21"/>
      <c r="G1649" s="21"/>
      <c r="H1649" s="21"/>
      <c r="I1649" s="21"/>
      <c r="J1649" s="45"/>
      <c r="K1649" s="45"/>
      <c r="L1649" s="45"/>
      <c r="M1649" s="45"/>
      <c r="N1649" s="45"/>
      <c r="O1649" s="21"/>
      <c r="P1649" s="21"/>
      <c r="Q1649" s="21"/>
      <c r="R1649" s="25" t="str">
        <f t="shared" si="25"/>
        <v/>
      </c>
    </row>
    <row r="1650" spans="1:18">
      <c r="A1650" s="28"/>
      <c r="B1650" s="48"/>
      <c r="C1650" s="48"/>
      <c r="D1650" s="21"/>
      <c r="E1650" s="21"/>
      <c r="F1650" s="21"/>
      <c r="G1650" s="21"/>
      <c r="H1650" s="21"/>
      <c r="I1650" s="21"/>
      <c r="J1650" s="45"/>
      <c r="K1650" s="45"/>
      <c r="L1650" s="45"/>
      <c r="M1650" s="45"/>
      <c r="N1650" s="45"/>
      <c r="O1650" s="21"/>
      <c r="P1650" s="21"/>
      <c r="Q1650" s="21"/>
      <c r="R1650" s="25" t="str">
        <f t="shared" si="25"/>
        <v/>
      </c>
    </row>
    <row r="1651" spans="1:18">
      <c r="A1651" s="28"/>
      <c r="B1651" s="48"/>
      <c r="C1651" s="48"/>
      <c r="D1651" s="21"/>
      <c r="E1651" s="21"/>
      <c r="F1651" s="21"/>
      <c r="G1651" s="21"/>
      <c r="H1651" s="21"/>
      <c r="I1651" s="21"/>
      <c r="J1651" s="45"/>
      <c r="K1651" s="45"/>
      <c r="L1651" s="45"/>
      <c r="M1651" s="45"/>
      <c r="N1651" s="45"/>
      <c r="O1651" s="21"/>
      <c r="P1651" s="21"/>
      <c r="Q1651" s="21"/>
      <c r="R1651" s="25" t="str">
        <f t="shared" ref="R1651:R1714" si="26">IF(COUNTIF($A$17:$A$2010,$A1651)&gt;1,"Possible Duplicate","")</f>
        <v/>
      </c>
    </row>
    <row r="1652" spans="1:18">
      <c r="A1652" s="28"/>
      <c r="B1652" s="48"/>
      <c r="C1652" s="48"/>
      <c r="D1652" s="21"/>
      <c r="E1652" s="21"/>
      <c r="F1652" s="21"/>
      <c r="G1652" s="21"/>
      <c r="H1652" s="21"/>
      <c r="I1652" s="21"/>
      <c r="J1652" s="45"/>
      <c r="K1652" s="45"/>
      <c r="L1652" s="45"/>
      <c r="M1652" s="45"/>
      <c r="N1652" s="45"/>
      <c r="O1652" s="21"/>
      <c r="P1652" s="21"/>
      <c r="Q1652" s="21"/>
      <c r="R1652" s="25" t="str">
        <f t="shared" si="26"/>
        <v/>
      </c>
    </row>
    <row r="1653" spans="1:18">
      <c r="A1653" s="28"/>
      <c r="B1653" s="48"/>
      <c r="C1653" s="48"/>
      <c r="D1653" s="21"/>
      <c r="E1653" s="21"/>
      <c r="F1653" s="21"/>
      <c r="G1653" s="21"/>
      <c r="H1653" s="21"/>
      <c r="I1653" s="21"/>
      <c r="J1653" s="45"/>
      <c r="K1653" s="45"/>
      <c r="L1653" s="45"/>
      <c r="M1653" s="45"/>
      <c r="N1653" s="45"/>
      <c r="O1653" s="21"/>
      <c r="P1653" s="21"/>
      <c r="Q1653" s="21"/>
      <c r="R1653" s="25" t="str">
        <f t="shared" si="26"/>
        <v/>
      </c>
    </row>
    <row r="1654" spans="1:18">
      <c r="A1654" s="28"/>
      <c r="B1654" s="48"/>
      <c r="C1654" s="48"/>
      <c r="D1654" s="21"/>
      <c r="E1654" s="21"/>
      <c r="F1654" s="21"/>
      <c r="G1654" s="21"/>
      <c r="H1654" s="21"/>
      <c r="I1654" s="21"/>
      <c r="J1654" s="45"/>
      <c r="K1654" s="45"/>
      <c r="L1654" s="45"/>
      <c r="M1654" s="45"/>
      <c r="N1654" s="45"/>
      <c r="O1654" s="21"/>
      <c r="P1654" s="21"/>
      <c r="Q1654" s="21"/>
      <c r="R1654" s="25" t="str">
        <f t="shared" si="26"/>
        <v/>
      </c>
    </row>
    <row r="1655" spans="1:18">
      <c r="A1655" s="28"/>
      <c r="B1655" s="48"/>
      <c r="C1655" s="48"/>
      <c r="D1655" s="21"/>
      <c r="E1655" s="21"/>
      <c r="F1655" s="21"/>
      <c r="G1655" s="21"/>
      <c r="H1655" s="21"/>
      <c r="I1655" s="21"/>
      <c r="J1655" s="45"/>
      <c r="K1655" s="45"/>
      <c r="L1655" s="45"/>
      <c r="M1655" s="45"/>
      <c r="N1655" s="45"/>
      <c r="O1655" s="21"/>
      <c r="P1655" s="21"/>
      <c r="Q1655" s="21"/>
      <c r="R1655" s="25" t="str">
        <f t="shared" si="26"/>
        <v/>
      </c>
    </row>
    <row r="1656" spans="1:18">
      <c r="A1656" s="28"/>
      <c r="B1656" s="48"/>
      <c r="C1656" s="48"/>
      <c r="D1656" s="21"/>
      <c r="E1656" s="21"/>
      <c r="F1656" s="21"/>
      <c r="G1656" s="21"/>
      <c r="H1656" s="21"/>
      <c r="I1656" s="21"/>
      <c r="J1656" s="45"/>
      <c r="K1656" s="45"/>
      <c r="L1656" s="45"/>
      <c r="M1656" s="45"/>
      <c r="N1656" s="45"/>
      <c r="O1656" s="21"/>
      <c r="P1656" s="21"/>
      <c r="Q1656" s="21"/>
      <c r="R1656" s="25" t="str">
        <f t="shared" si="26"/>
        <v/>
      </c>
    </row>
    <row r="1657" spans="1:18">
      <c r="A1657" s="28"/>
      <c r="B1657" s="48"/>
      <c r="C1657" s="48"/>
      <c r="D1657" s="21"/>
      <c r="E1657" s="21"/>
      <c r="F1657" s="21"/>
      <c r="G1657" s="21"/>
      <c r="H1657" s="21"/>
      <c r="I1657" s="21"/>
      <c r="J1657" s="45"/>
      <c r="K1657" s="45"/>
      <c r="L1657" s="45"/>
      <c r="M1657" s="45"/>
      <c r="N1657" s="45"/>
      <c r="O1657" s="21"/>
      <c r="P1657" s="21"/>
      <c r="Q1657" s="21"/>
      <c r="R1657" s="25" t="str">
        <f t="shared" si="26"/>
        <v/>
      </c>
    </row>
    <row r="1658" spans="1:18">
      <c r="A1658" s="28"/>
      <c r="B1658" s="48"/>
      <c r="C1658" s="48"/>
      <c r="D1658" s="21"/>
      <c r="E1658" s="21"/>
      <c r="F1658" s="21"/>
      <c r="G1658" s="21"/>
      <c r="H1658" s="21"/>
      <c r="I1658" s="21"/>
      <c r="J1658" s="45"/>
      <c r="K1658" s="45"/>
      <c r="L1658" s="45"/>
      <c r="M1658" s="45"/>
      <c r="N1658" s="45"/>
      <c r="O1658" s="21"/>
      <c r="P1658" s="21"/>
      <c r="Q1658" s="21"/>
      <c r="R1658" s="25" t="str">
        <f t="shared" si="26"/>
        <v/>
      </c>
    </row>
    <row r="1659" spans="1:18">
      <c r="A1659" s="28"/>
      <c r="B1659" s="48"/>
      <c r="C1659" s="48"/>
      <c r="D1659" s="21"/>
      <c r="E1659" s="21"/>
      <c r="F1659" s="21"/>
      <c r="G1659" s="21"/>
      <c r="H1659" s="21"/>
      <c r="I1659" s="21"/>
      <c r="J1659" s="45"/>
      <c r="K1659" s="45"/>
      <c r="L1659" s="45"/>
      <c r="M1659" s="45"/>
      <c r="N1659" s="45"/>
      <c r="O1659" s="21"/>
      <c r="P1659" s="21"/>
      <c r="Q1659" s="21"/>
      <c r="R1659" s="25" t="str">
        <f t="shared" si="26"/>
        <v/>
      </c>
    </row>
    <row r="1660" spans="1:18">
      <c r="A1660" s="28"/>
      <c r="B1660" s="48"/>
      <c r="C1660" s="48"/>
      <c r="D1660" s="21"/>
      <c r="E1660" s="21"/>
      <c r="F1660" s="21"/>
      <c r="G1660" s="21"/>
      <c r="H1660" s="21"/>
      <c r="I1660" s="21"/>
      <c r="J1660" s="45"/>
      <c r="K1660" s="45"/>
      <c r="L1660" s="45"/>
      <c r="M1660" s="45"/>
      <c r="N1660" s="45"/>
      <c r="O1660" s="21"/>
      <c r="P1660" s="21"/>
      <c r="Q1660" s="21"/>
      <c r="R1660" s="25" t="str">
        <f t="shared" si="26"/>
        <v/>
      </c>
    </row>
    <row r="1661" spans="1:18">
      <c r="A1661" s="28"/>
      <c r="B1661" s="48"/>
      <c r="C1661" s="48"/>
      <c r="D1661" s="21"/>
      <c r="E1661" s="21"/>
      <c r="F1661" s="21"/>
      <c r="G1661" s="21"/>
      <c r="H1661" s="21"/>
      <c r="I1661" s="21"/>
      <c r="J1661" s="45"/>
      <c r="K1661" s="45"/>
      <c r="L1661" s="45"/>
      <c r="M1661" s="45"/>
      <c r="N1661" s="45"/>
      <c r="O1661" s="21"/>
      <c r="P1661" s="21"/>
      <c r="Q1661" s="21"/>
      <c r="R1661" s="25" t="str">
        <f t="shared" si="26"/>
        <v/>
      </c>
    </row>
    <row r="1662" spans="1:18">
      <c r="A1662" s="28"/>
      <c r="B1662" s="48"/>
      <c r="C1662" s="48"/>
      <c r="D1662" s="21"/>
      <c r="E1662" s="21"/>
      <c r="F1662" s="21"/>
      <c r="G1662" s="21"/>
      <c r="H1662" s="21"/>
      <c r="I1662" s="21"/>
      <c r="J1662" s="45"/>
      <c r="K1662" s="45"/>
      <c r="L1662" s="45"/>
      <c r="M1662" s="45"/>
      <c r="N1662" s="45"/>
      <c r="O1662" s="21"/>
      <c r="P1662" s="21"/>
      <c r="Q1662" s="21"/>
      <c r="R1662" s="25" t="str">
        <f t="shared" si="26"/>
        <v/>
      </c>
    </row>
    <row r="1663" spans="1:18">
      <c r="A1663" s="28"/>
      <c r="B1663" s="48"/>
      <c r="C1663" s="48"/>
      <c r="D1663" s="21"/>
      <c r="E1663" s="21"/>
      <c r="F1663" s="21"/>
      <c r="G1663" s="21"/>
      <c r="H1663" s="21"/>
      <c r="I1663" s="21"/>
      <c r="J1663" s="45"/>
      <c r="K1663" s="45"/>
      <c r="L1663" s="45"/>
      <c r="M1663" s="45"/>
      <c r="N1663" s="45"/>
      <c r="O1663" s="21"/>
      <c r="P1663" s="21"/>
      <c r="Q1663" s="21"/>
      <c r="R1663" s="25" t="str">
        <f t="shared" si="26"/>
        <v/>
      </c>
    </row>
    <row r="1664" spans="1:18">
      <c r="A1664" s="28"/>
      <c r="B1664" s="48"/>
      <c r="C1664" s="48"/>
      <c r="D1664" s="21"/>
      <c r="E1664" s="21"/>
      <c r="F1664" s="21"/>
      <c r="G1664" s="21"/>
      <c r="H1664" s="21"/>
      <c r="I1664" s="21"/>
      <c r="J1664" s="45"/>
      <c r="K1664" s="45"/>
      <c r="L1664" s="45"/>
      <c r="M1664" s="45"/>
      <c r="N1664" s="45"/>
      <c r="O1664" s="21"/>
      <c r="P1664" s="21"/>
      <c r="Q1664" s="21"/>
      <c r="R1664" s="25" t="str">
        <f t="shared" si="26"/>
        <v/>
      </c>
    </row>
    <row r="1665" spans="1:18">
      <c r="A1665" s="28"/>
      <c r="B1665" s="48"/>
      <c r="C1665" s="48"/>
      <c r="D1665" s="21"/>
      <c r="E1665" s="21"/>
      <c r="F1665" s="21"/>
      <c r="G1665" s="21"/>
      <c r="H1665" s="21"/>
      <c r="I1665" s="21"/>
      <c r="J1665" s="45"/>
      <c r="K1665" s="45"/>
      <c r="L1665" s="45"/>
      <c r="M1665" s="45"/>
      <c r="N1665" s="45"/>
      <c r="O1665" s="21"/>
      <c r="P1665" s="21"/>
      <c r="Q1665" s="21"/>
      <c r="R1665" s="25" t="str">
        <f t="shared" si="26"/>
        <v/>
      </c>
    </row>
    <row r="1666" spans="1:18">
      <c r="A1666" s="28"/>
      <c r="B1666" s="48"/>
      <c r="C1666" s="48"/>
      <c r="D1666" s="21"/>
      <c r="E1666" s="21"/>
      <c r="F1666" s="21"/>
      <c r="G1666" s="21"/>
      <c r="H1666" s="21"/>
      <c r="I1666" s="21"/>
      <c r="J1666" s="45"/>
      <c r="K1666" s="45"/>
      <c r="L1666" s="45"/>
      <c r="M1666" s="45"/>
      <c r="N1666" s="45"/>
      <c r="O1666" s="21"/>
      <c r="P1666" s="21"/>
      <c r="Q1666" s="21"/>
      <c r="R1666" s="25" t="str">
        <f t="shared" si="26"/>
        <v/>
      </c>
    </row>
    <row r="1667" spans="1:18">
      <c r="A1667" s="28"/>
      <c r="B1667" s="48"/>
      <c r="C1667" s="48"/>
      <c r="D1667" s="21"/>
      <c r="E1667" s="21"/>
      <c r="F1667" s="21"/>
      <c r="G1667" s="21"/>
      <c r="H1667" s="21"/>
      <c r="I1667" s="21"/>
      <c r="J1667" s="45"/>
      <c r="K1667" s="45"/>
      <c r="L1667" s="45"/>
      <c r="M1667" s="45"/>
      <c r="N1667" s="45"/>
      <c r="O1667" s="21"/>
      <c r="P1667" s="21"/>
      <c r="Q1667" s="21"/>
      <c r="R1667" s="25" t="str">
        <f t="shared" si="26"/>
        <v/>
      </c>
    </row>
    <row r="1668" spans="1:18">
      <c r="A1668" s="28"/>
      <c r="B1668" s="48"/>
      <c r="C1668" s="48"/>
      <c r="D1668" s="21"/>
      <c r="E1668" s="21"/>
      <c r="F1668" s="21"/>
      <c r="G1668" s="21"/>
      <c r="H1668" s="21"/>
      <c r="I1668" s="21"/>
      <c r="J1668" s="45"/>
      <c r="K1668" s="45"/>
      <c r="L1668" s="45"/>
      <c r="M1668" s="45"/>
      <c r="N1668" s="45"/>
      <c r="O1668" s="21"/>
      <c r="P1668" s="21"/>
      <c r="Q1668" s="21"/>
      <c r="R1668" s="25" t="str">
        <f t="shared" si="26"/>
        <v/>
      </c>
    </row>
    <row r="1669" spans="1:18">
      <c r="A1669" s="28"/>
      <c r="B1669" s="48"/>
      <c r="C1669" s="48"/>
      <c r="D1669" s="21"/>
      <c r="E1669" s="21"/>
      <c r="F1669" s="21"/>
      <c r="G1669" s="21"/>
      <c r="H1669" s="21"/>
      <c r="I1669" s="21"/>
      <c r="J1669" s="45"/>
      <c r="K1669" s="45"/>
      <c r="L1669" s="45"/>
      <c r="M1669" s="45"/>
      <c r="N1669" s="45"/>
      <c r="O1669" s="21"/>
      <c r="P1669" s="21"/>
      <c r="Q1669" s="21"/>
      <c r="R1669" s="25" t="str">
        <f t="shared" si="26"/>
        <v/>
      </c>
    </row>
    <row r="1670" spans="1:18">
      <c r="A1670" s="28"/>
      <c r="B1670" s="48"/>
      <c r="C1670" s="48"/>
      <c r="D1670" s="21"/>
      <c r="E1670" s="21"/>
      <c r="F1670" s="21"/>
      <c r="G1670" s="21"/>
      <c r="H1670" s="21"/>
      <c r="I1670" s="21"/>
      <c r="J1670" s="45"/>
      <c r="K1670" s="45"/>
      <c r="L1670" s="45"/>
      <c r="M1670" s="45"/>
      <c r="N1670" s="45"/>
      <c r="O1670" s="21"/>
      <c r="P1670" s="21"/>
      <c r="Q1670" s="21"/>
      <c r="R1670" s="25" t="str">
        <f t="shared" si="26"/>
        <v/>
      </c>
    </row>
    <row r="1671" spans="1:18">
      <c r="A1671" s="28"/>
      <c r="B1671" s="48"/>
      <c r="C1671" s="48"/>
      <c r="D1671" s="21"/>
      <c r="E1671" s="21"/>
      <c r="F1671" s="21"/>
      <c r="G1671" s="21"/>
      <c r="H1671" s="21"/>
      <c r="I1671" s="21"/>
      <c r="J1671" s="45"/>
      <c r="K1671" s="45"/>
      <c r="L1671" s="45"/>
      <c r="M1671" s="45"/>
      <c r="N1671" s="45"/>
      <c r="O1671" s="21"/>
      <c r="P1671" s="21"/>
      <c r="Q1671" s="21"/>
      <c r="R1671" s="25" t="str">
        <f t="shared" si="26"/>
        <v/>
      </c>
    </row>
    <row r="1672" spans="1:18">
      <c r="A1672" s="28"/>
      <c r="B1672" s="48"/>
      <c r="C1672" s="48"/>
      <c r="D1672" s="21"/>
      <c r="E1672" s="21"/>
      <c r="F1672" s="21"/>
      <c r="G1672" s="21"/>
      <c r="H1672" s="21"/>
      <c r="I1672" s="21"/>
      <c r="J1672" s="45"/>
      <c r="K1672" s="45"/>
      <c r="L1672" s="45"/>
      <c r="M1672" s="45"/>
      <c r="N1672" s="45"/>
      <c r="O1672" s="21"/>
      <c r="P1672" s="21"/>
      <c r="Q1672" s="21"/>
      <c r="R1672" s="25" t="str">
        <f t="shared" si="26"/>
        <v/>
      </c>
    </row>
    <row r="1673" spans="1:18">
      <c r="A1673" s="28"/>
      <c r="B1673" s="48"/>
      <c r="C1673" s="48"/>
      <c r="D1673" s="21"/>
      <c r="E1673" s="21"/>
      <c r="F1673" s="21"/>
      <c r="G1673" s="21"/>
      <c r="H1673" s="21"/>
      <c r="I1673" s="21"/>
      <c r="J1673" s="45"/>
      <c r="K1673" s="45"/>
      <c r="L1673" s="45"/>
      <c r="M1673" s="45"/>
      <c r="N1673" s="45"/>
      <c r="O1673" s="21"/>
      <c r="P1673" s="21"/>
      <c r="Q1673" s="21"/>
      <c r="R1673" s="25" t="str">
        <f t="shared" si="26"/>
        <v/>
      </c>
    </row>
    <row r="1674" spans="1:18">
      <c r="A1674" s="28"/>
      <c r="B1674" s="48"/>
      <c r="C1674" s="48"/>
      <c r="D1674" s="21"/>
      <c r="E1674" s="21"/>
      <c r="F1674" s="21"/>
      <c r="G1674" s="21"/>
      <c r="H1674" s="21"/>
      <c r="I1674" s="21"/>
      <c r="J1674" s="45"/>
      <c r="K1674" s="45"/>
      <c r="L1674" s="45"/>
      <c r="M1674" s="45"/>
      <c r="N1674" s="45"/>
      <c r="O1674" s="21"/>
      <c r="P1674" s="21"/>
      <c r="Q1674" s="21"/>
      <c r="R1674" s="25" t="str">
        <f t="shared" si="26"/>
        <v/>
      </c>
    </row>
    <row r="1675" spans="1:18">
      <c r="A1675" s="28"/>
      <c r="B1675" s="48"/>
      <c r="C1675" s="48"/>
      <c r="D1675" s="21"/>
      <c r="E1675" s="21"/>
      <c r="F1675" s="21"/>
      <c r="G1675" s="21"/>
      <c r="H1675" s="21"/>
      <c r="I1675" s="21"/>
      <c r="J1675" s="45"/>
      <c r="K1675" s="45"/>
      <c r="L1675" s="45"/>
      <c r="M1675" s="45"/>
      <c r="N1675" s="45"/>
      <c r="O1675" s="21"/>
      <c r="P1675" s="21"/>
      <c r="Q1675" s="21"/>
      <c r="R1675" s="25" t="str">
        <f t="shared" si="26"/>
        <v/>
      </c>
    </row>
    <row r="1676" spans="1:18">
      <c r="A1676" s="28"/>
      <c r="B1676" s="48"/>
      <c r="C1676" s="48"/>
      <c r="D1676" s="21"/>
      <c r="E1676" s="21"/>
      <c r="F1676" s="21"/>
      <c r="G1676" s="21"/>
      <c r="H1676" s="21"/>
      <c r="I1676" s="21"/>
      <c r="J1676" s="45"/>
      <c r="K1676" s="45"/>
      <c r="L1676" s="45"/>
      <c r="M1676" s="45"/>
      <c r="N1676" s="45"/>
      <c r="O1676" s="21"/>
      <c r="P1676" s="21"/>
      <c r="Q1676" s="21"/>
      <c r="R1676" s="25" t="str">
        <f t="shared" si="26"/>
        <v/>
      </c>
    </row>
    <row r="1677" spans="1:18">
      <c r="A1677" s="28"/>
      <c r="B1677" s="48"/>
      <c r="C1677" s="48"/>
      <c r="D1677" s="21"/>
      <c r="E1677" s="21"/>
      <c r="F1677" s="21"/>
      <c r="G1677" s="21"/>
      <c r="H1677" s="21"/>
      <c r="I1677" s="21"/>
      <c r="J1677" s="45"/>
      <c r="K1677" s="45"/>
      <c r="L1677" s="45"/>
      <c r="M1677" s="45"/>
      <c r="N1677" s="45"/>
      <c r="O1677" s="21"/>
      <c r="P1677" s="21"/>
      <c r="Q1677" s="21"/>
      <c r="R1677" s="25" t="str">
        <f t="shared" si="26"/>
        <v/>
      </c>
    </row>
    <row r="1678" spans="1:18">
      <c r="A1678" s="28"/>
      <c r="B1678" s="48"/>
      <c r="C1678" s="48"/>
      <c r="D1678" s="21"/>
      <c r="E1678" s="21"/>
      <c r="F1678" s="21"/>
      <c r="G1678" s="21"/>
      <c r="H1678" s="21"/>
      <c r="I1678" s="21"/>
      <c r="J1678" s="45"/>
      <c r="K1678" s="45"/>
      <c r="L1678" s="45"/>
      <c r="M1678" s="45"/>
      <c r="N1678" s="45"/>
      <c r="O1678" s="21"/>
      <c r="P1678" s="21"/>
      <c r="Q1678" s="21"/>
      <c r="R1678" s="25" t="str">
        <f t="shared" si="26"/>
        <v/>
      </c>
    </row>
    <row r="1679" spans="1:18">
      <c r="A1679" s="28"/>
      <c r="B1679" s="48"/>
      <c r="C1679" s="48"/>
      <c r="D1679" s="21"/>
      <c r="E1679" s="21"/>
      <c r="F1679" s="21"/>
      <c r="G1679" s="21"/>
      <c r="H1679" s="21"/>
      <c r="I1679" s="21"/>
      <c r="J1679" s="45"/>
      <c r="K1679" s="45"/>
      <c r="L1679" s="45"/>
      <c r="M1679" s="45"/>
      <c r="N1679" s="45"/>
      <c r="O1679" s="21"/>
      <c r="P1679" s="21"/>
      <c r="Q1679" s="21"/>
      <c r="R1679" s="25" t="str">
        <f t="shared" si="26"/>
        <v/>
      </c>
    </row>
    <row r="1680" spans="1:18">
      <c r="A1680" s="28"/>
      <c r="B1680" s="48"/>
      <c r="C1680" s="48"/>
      <c r="D1680" s="21"/>
      <c r="E1680" s="21"/>
      <c r="F1680" s="21"/>
      <c r="G1680" s="21"/>
      <c r="H1680" s="21"/>
      <c r="I1680" s="21"/>
      <c r="J1680" s="45"/>
      <c r="K1680" s="45"/>
      <c r="L1680" s="45"/>
      <c r="M1680" s="45"/>
      <c r="N1680" s="45"/>
      <c r="O1680" s="21"/>
      <c r="P1680" s="21"/>
      <c r="Q1680" s="21"/>
      <c r="R1680" s="25" t="str">
        <f t="shared" si="26"/>
        <v/>
      </c>
    </row>
    <row r="1681" spans="1:18">
      <c r="A1681" s="28"/>
      <c r="B1681" s="48"/>
      <c r="C1681" s="48"/>
      <c r="D1681" s="21"/>
      <c r="E1681" s="21"/>
      <c r="F1681" s="21"/>
      <c r="G1681" s="21"/>
      <c r="H1681" s="21"/>
      <c r="I1681" s="21"/>
      <c r="J1681" s="45"/>
      <c r="K1681" s="45"/>
      <c r="L1681" s="45"/>
      <c r="M1681" s="45"/>
      <c r="N1681" s="45"/>
      <c r="O1681" s="21"/>
      <c r="P1681" s="21"/>
      <c r="Q1681" s="21"/>
      <c r="R1681" s="25" t="str">
        <f t="shared" si="26"/>
        <v/>
      </c>
    </row>
    <row r="1682" spans="1:18">
      <c r="A1682" s="28"/>
      <c r="B1682" s="48"/>
      <c r="C1682" s="48"/>
      <c r="D1682" s="21"/>
      <c r="E1682" s="21"/>
      <c r="F1682" s="21"/>
      <c r="G1682" s="21"/>
      <c r="H1682" s="21"/>
      <c r="I1682" s="21"/>
      <c r="J1682" s="45"/>
      <c r="K1682" s="45"/>
      <c r="L1682" s="45"/>
      <c r="M1682" s="45"/>
      <c r="N1682" s="45"/>
      <c r="O1682" s="21"/>
      <c r="P1682" s="21"/>
      <c r="Q1682" s="21"/>
      <c r="R1682" s="25" t="str">
        <f t="shared" si="26"/>
        <v/>
      </c>
    </row>
    <row r="1683" spans="1:18">
      <c r="A1683" s="28"/>
      <c r="B1683" s="48"/>
      <c r="C1683" s="48"/>
      <c r="D1683" s="21"/>
      <c r="E1683" s="21"/>
      <c r="F1683" s="21"/>
      <c r="G1683" s="21"/>
      <c r="H1683" s="21"/>
      <c r="I1683" s="21"/>
      <c r="J1683" s="45"/>
      <c r="K1683" s="45"/>
      <c r="L1683" s="45"/>
      <c r="M1683" s="45"/>
      <c r="N1683" s="45"/>
      <c r="O1683" s="21"/>
      <c r="P1683" s="21"/>
      <c r="Q1683" s="21"/>
      <c r="R1683" s="25" t="str">
        <f t="shared" si="26"/>
        <v/>
      </c>
    </row>
    <row r="1684" spans="1:18">
      <c r="A1684" s="28"/>
      <c r="B1684" s="48"/>
      <c r="C1684" s="48"/>
      <c r="D1684" s="21"/>
      <c r="E1684" s="21"/>
      <c r="F1684" s="21"/>
      <c r="G1684" s="21"/>
      <c r="H1684" s="21"/>
      <c r="I1684" s="21"/>
      <c r="J1684" s="45"/>
      <c r="K1684" s="45"/>
      <c r="L1684" s="45"/>
      <c r="M1684" s="45"/>
      <c r="N1684" s="45"/>
      <c r="O1684" s="21"/>
      <c r="P1684" s="21"/>
      <c r="Q1684" s="21"/>
      <c r="R1684" s="25" t="str">
        <f t="shared" si="26"/>
        <v/>
      </c>
    </row>
    <row r="1685" spans="1:18">
      <c r="A1685" s="28"/>
      <c r="B1685" s="48"/>
      <c r="C1685" s="48"/>
      <c r="D1685" s="21"/>
      <c r="E1685" s="21"/>
      <c r="F1685" s="21"/>
      <c r="G1685" s="21"/>
      <c r="H1685" s="21"/>
      <c r="I1685" s="21"/>
      <c r="J1685" s="45"/>
      <c r="K1685" s="45"/>
      <c r="L1685" s="45"/>
      <c r="M1685" s="45"/>
      <c r="N1685" s="45"/>
      <c r="O1685" s="21"/>
      <c r="P1685" s="21"/>
      <c r="Q1685" s="21"/>
      <c r="R1685" s="25" t="str">
        <f t="shared" si="26"/>
        <v/>
      </c>
    </row>
    <row r="1686" spans="1:18">
      <c r="A1686" s="28"/>
      <c r="B1686" s="48"/>
      <c r="C1686" s="48"/>
      <c r="D1686" s="21"/>
      <c r="E1686" s="21"/>
      <c r="F1686" s="21"/>
      <c r="G1686" s="21"/>
      <c r="H1686" s="21"/>
      <c r="I1686" s="21"/>
      <c r="J1686" s="45"/>
      <c r="K1686" s="45"/>
      <c r="L1686" s="45"/>
      <c r="M1686" s="45"/>
      <c r="N1686" s="45"/>
      <c r="O1686" s="21"/>
      <c r="P1686" s="21"/>
      <c r="Q1686" s="21"/>
      <c r="R1686" s="25" t="str">
        <f t="shared" si="26"/>
        <v/>
      </c>
    </row>
    <row r="1687" spans="1:18">
      <c r="A1687" s="28"/>
      <c r="B1687" s="48"/>
      <c r="C1687" s="48"/>
      <c r="D1687" s="21"/>
      <c r="E1687" s="21"/>
      <c r="F1687" s="21"/>
      <c r="G1687" s="21"/>
      <c r="H1687" s="21"/>
      <c r="I1687" s="21"/>
      <c r="J1687" s="45"/>
      <c r="K1687" s="45"/>
      <c r="L1687" s="45"/>
      <c r="M1687" s="45"/>
      <c r="N1687" s="45"/>
      <c r="O1687" s="21"/>
      <c r="P1687" s="21"/>
      <c r="Q1687" s="21"/>
      <c r="R1687" s="25" t="str">
        <f t="shared" si="26"/>
        <v/>
      </c>
    </row>
    <row r="1688" spans="1:18">
      <c r="A1688" s="28"/>
      <c r="B1688" s="48"/>
      <c r="C1688" s="48"/>
      <c r="D1688" s="21"/>
      <c r="E1688" s="21"/>
      <c r="F1688" s="21"/>
      <c r="G1688" s="21"/>
      <c r="H1688" s="21"/>
      <c r="I1688" s="21"/>
      <c r="J1688" s="45"/>
      <c r="K1688" s="45"/>
      <c r="L1688" s="45"/>
      <c r="M1688" s="45"/>
      <c r="N1688" s="45"/>
      <c r="O1688" s="21"/>
      <c r="P1688" s="21"/>
      <c r="Q1688" s="21"/>
      <c r="R1688" s="25" t="str">
        <f t="shared" si="26"/>
        <v/>
      </c>
    </row>
    <row r="1689" spans="1:18">
      <c r="A1689" s="28"/>
      <c r="B1689" s="48"/>
      <c r="C1689" s="48"/>
      <c r="D1689" s="21"/>
      <c r="E1689" s="21"/>
      <c r="F1689" s="21"/>
      <c r="G1689" s="21"/>
      <c r="H1689" s="21"/>
      <c r="I1689" s="21"/>
      <c r="J1689" s="45"/>
      <c r="K1689" s="45"/>
      <c r="L1689" s="45"/>
      <c r="M1689" s="45"/>
      <c r="N1689" s="45"/>
      <c r="O1689" s="21"/>
      <c r="P1689" s="21"/>
      <c r="Q1689" s="21"/>
      <c r="R1689" s="25" t="str">
        <f t="shared" si="26"/>
        <v/>
      </c>
    </row>
    <row r="1690" spans="1:18">
      <c r="A1690" s="28"/>
      <c r="B1690" s="48"/>
      <c r="C1690" s="48"/>
      <c r="D1690" s="21"/>
      <c r="E1690" s="21"/>
      <c r="F1690" s="21"/>
      <c r="G1690" s="21"/>
      <c r="H1690" s="21"/>
      <c r="I1690" s="21"/>
      <c r="J1690" s="45"/>
      <c r="K1690" s="45"/>
      <c r="L1690" s="45"/>
      <c r="M1690" s="45"/>
      <c r="N1690" s="45"/>
      <c r="O1690" s="21"/>
      <c r="P1690" s="21"/>
      <c r="Q1690" s="21"/>
      <c r="R1690" s="25" t="str">
        <f t="shared" si="26"/>
        <v/>
      </c>
    </row>
    <row r="1691" spans="1:18">
      <c r="A1691" s="28"/>
      <c r="B1691" s="48"/>
      <c r="C1691" s="48"/>
      <c r="D1691" s="21"/>
      <c r="E1691" s="21"/>
      <c r="F1691" s="21"/>
      <c r="G1691" s="21"/>
      <c r="H1691" s="21"/>
      <c r="I1691" s="21"/>
      <c r="J1691" s="45"/>
      <c r="K1691" s="45"/>
      <c r="L1691" s="45"/>
      <c r="M1691" s="45"/>
      <c r="N1691" s="45"/>
      <c r="O1691" s="21"/>
      <c r="P1691" s="21"/>
      <c r="Q1691" s="21"/>
      <c r="R1691" s="25" t="str">
        <f t="shared" si="26"/>
        <v/>
      </c>
    </row>
    <row r="1692" spans="1:18">
      <c r="A1692" s="28"/>
      <c r="B1692" s="48"/>
      <c r="C1692" s="48"/>
      <c r="D1692" s="21"/>
      <c r="E1692" s="21"/>
      <c r="F1692" s="21"/>
      <c r="G1692" s="21"/>
      <c r="H1692" s="21"/>
      <c r="I1692" s="21"/>
      <c r="J1692" s="45"/>
      <c r="K1692" s="45"/>
      <c r="L1692" s="45"/>
      <c r="M1692" s="45"/>
      <c r="N1692" s="45"/>
      <c r="O1692" s="21"/>
      <c r="P1692" s="21"/>
      <c r="Q1692" s="21"/>
      <c r="R1692" s="25" t="str">
        <f t="shared" si="26"/>
        <v/>
      </c>
    </row>
    <row r="1693" spans="1:18">
      <c r="A1693" s="28"/>
      <c r="B1693" s="48"/>
      <c r="C1693" s="48"/>
      <c r="D1693" s="21"/>
      <c r="E1693" s="21"/>
      <c r="F1693" s="21"/>
      <c r="G1693" s="21"/>
      <c r="H1693" s="21"/>
      <c r="I1693" s="21"/>
      <c r="J1693" s="45"/>
      <c r="K1693" s="45"/>
      <c r="L1693" s="45"/>
      <c r="M1693" s="45"/>
      <c r="N1693" s="45"/>
      <c r="O1693" s="21"/>
      <c r="P1693" s="21"/>
      <c r="Q1693" s="21"/>
      <c r="R1693" s="25" t="str">
        <f t="shared" si="26"/>
        <v/>
      </c>
    </row>
    <row r="1694" spans="1:18">
      <c r="A1694" s="28"/>
      <c r="B1694" s="48"/>
      <c r="C1694" s="48"/>
      <c r="D1694" s="21"/>
      <c r="E1694" s="21"/>
      <c r="F1694" s="21"/>
      <c r="G1694" s="21"/>
      <c r="H1694" s="21"/>
      <c r="I1694" s="21"/>
      <c r="J1694" s="45"/>
      <c r="K1694" s="45"/>
      <c r="L1694" s="45"/>
      <c r="M1694" s="45"/>
      <c r="N1694" s="45"/>
      <c r="O1694" s="21"/>
      <c r="P1694" s="21"/>
      <c r="Q1694" s="21"/>
      <c r="R1694" s="25" t="str">
        <f t="shared" si="26"/>
        <v/>
      </c>
    </row>
    <row r="1695" spans="1:18">
      <c r="A1695" s="28"/>
      <c r="B1695" s="48"/>
      <c r="C1695" s="48"/>
      <c r="D1695" s="21"/>
      <c r="E1695" s="21"/>
      <c r="F1695" s="21"/>
      <c r="G1695" s="21"/>
      <c r="H1695" s="21"/>
      <c r="I1695" s="21"/>
      <c r="J1695" s="45"/>
      <c r="K1695" s="45"/>
      <c r="L1695" s="45"/>
      <c r="M1695" s="45"/>
      <c r="N1695" s="45"/>
      <c r="O1695" s="21"/>
      <c r="P1695" s="21"/>
      <c r="Q1695" s="21"/>
      <c r="R1695" s="25" t="str">
        <f t="shared" si="26"/>
        <v/>
      </c>
    </row>
    <row r="1696" spans="1:18">
      <c r="A1696" s="28"/>
      <c r="B1696" s="48"/>
      <c r="C1696" s="48"/>
      <c r="D1696" s="21"/>
      <c r="E1696" s="21"/>
      <c r="F1696" s="21"/>
      <c r="G1696" s="21"/>
      <c r="H1696" s="21"/>
      <c r="I1696" s="21"/>
      <c r="J1696" s="45"/>
      <c r="K1696" s="45"/>
      <c r="L1696" s="45"/>
      <c r="M1696" s="45"/>
      <c r="N1696" s="45"/>
      <c r="O1696" s="21"/>
      <c r="P1696" s="21"/>
      <c r="Q1696" s="21"/>
      <c r="R1696" s="25" t="str">
        <f t="shared" si="26"/>
        <v/>
      </c>
    </row>
    <row r="1697" spans="1:18">
      <c r="A1697" s="28"/>
      <c r="B1697" s="48"/>
      <c r="C1697" s="48"/>
      <c r="D1697" s="21"/>
      <c r="E1697" s="21"/>
      <c r="F1697" s="21"/>
      <c r="G1697" s="21"/>
      <c r="H1697" s="21"/>
      <c r="I1697" s="21"/>
      <c r="J1697" s="45"/>
      <c r="K1697" s="45"/>
      <c r="L1697" s="45"/>
      <c r="M1697" s="45"/>
      <c r="N1697" s="45"/>
      <c r="O1697" s="21"/>
      <c r="P1697" s="21"/>
      <c r="Q1697" s="21"/>
      <c r="R1697" s="25" t="str">
        <f t="shared" si="26"/>
        <v/>
      </c>
    </row>
    <row r="1698" spans="1:18">
      <c r="A1698" s="28"/>
      <c r="B1698" s="48"/>
      <c r="C1698" s="48"/>
      <c r="D1698" s="21"/>
      <c r="E1698" s="21"/>
      <c r="F1698" s="21"/>
      <c r="G1698" s="21"/>
      <c r="H1698" s="21"/>
      <c r="I1698" s="21"/>
      <c r="J1698" s="45"/>
      <c r="K1698" s="45"/>
      <c r="L1698" s="45"/>
      <c r="M1698" s="45"/>
      <c r="N1698" s="45"/>
      <c r="O1698" s="21"/>
      <c r="P1698" s="21"/>
      <c r="Q1698" s="21"/>
      <c r="R1698" s="25" t="str">
        <f t="shared" si="26"/>
        <v/>
      </c>
    </row>
    <row r="1699" spans="1:18">
      <c r="A1699" s="28"/>
      <c r="B1699" s="48"/>
      <c r="C1699" s="48"/>
      <c r="D1699" s="21"/>
      <c r="E1699" s="21"/>
      <c r="F1699" s="21"/>
      <c r="G1699" s="21"/>
      <c r="H1699" s="21"/>
      <c r="I1699" s="21"/>
      <c r="J1699" s="45"/>
      <c r="K1699" s="45"/>
      <c r="L1699" s="45"/>
      <c r="M1699" s="45"/>
      <c r="N1699" s="45"/>
      <c r="O1699" s="21"/>
      <c r="P1699" s="21"/>
      <c r="Q1699" s="21"/>
      <c r="R1699" s="25" t="str">
        <f t="shared" si="26"/>
        <v/>
      </c>
    </row>
    <row r="1700" spans="1:18">
      <c r="A1700" s="28"/>
      <c r="B1700" s="48"/>
      <c r="C1700" s="48"/>
      <c r="D1700" s="21"/>
      <c r="E1700" s="21"/>
      <c r="F1700" s="21"/>
      <c r="G1700" s="21"/>
      <c r="H1700" s="21"/>
      <c r="I1700" s="21"/>
      <c r="J1700" s="45"/>
      <c r="K1700" s="45"/>
      <c r="L1700" s="45"/>
      <c r="M1700" s="45"/>
      <c r="N1700" s="45"/>
      <c r="O1700" s="21"/>
      <c r="P1700" s="21"/>
      <c r="Q1700" s="21"/>
      <c r="R1700" s="25" t="str">
        <f t="shared" si="26"/>
        <v/>
      </c>
    </row>
    <row r="1701" spans="1:18">
      <c r="A1701" s="28"/>
      <c r="B1701" s="48"/>
      <c r="C1701" s="48"/>
      <c r="D1701" s="21"/>
      <c r="E1701" s="21"/>
      <c r="F1701" s="21"/>
      <c r="G1701" s="21"/>
      <c r="H1701" s="21"/>
      <c r="I1701" s="21"/>
      <c r="J1701" s="45"/>
      <c r="K1701" s="45"/>
      <c r="L1701" s="45"/>
      <c r="M1701" s="45"/>
      <c r="N1701" s="45"/>
      <c r="O1701" s="21"/>
      <c r="P1701" s="21"/>
      <c r="Q1701" s="21"/>
      <c r="R1701" s="25" t="str">
        <f t="shared" si="26"/>
        <v/>
      </c>
    </row>
    <row r="1702" spans="1:18">
      <c r="A1702" s="28"/>
      <c r="B1702" s="48"/>
      <c r="C1702" s="48"/>
      <c r="D1702" s="21"/>
      <c r="E1702" s="21"/>
      <c r="F1702" s="21"/>
      <c r="G1702" s="21"/>
      <c r="H1702" s="21"/>
      <c r="I1702" s="21"/>
      <c r="J1702" s="45"/>
      <c r="K1702" s="45"/>
      <c r="L1702" s="45"/>
      <c r="M1702" s="45"/>
      <c r="N1702" s="45"/>
      <c r="O1702" s="21"/>
      <c r="P1702" s="21"/>
      <c r="Q1702" s="21"/>
      <c r="R1702" s="25" t="str">
        <f t="shared" si="26"/>
        <v/>
      </c>
    </row>
    <row r="1703" spans="1:18">
      <c r="A1703" s="28"/>
      <c r="B1703" s="48"/>
      <c r="C1703" s="48"/>
      <c r="D1703" s="21"/>
      <c r="E1703" s="21"/>
      <c r="F1703" s="21"/>
      <c r="G1703" s="21"/>
      <c r="H1703" s="21"/>
      <c r="I1703" s="21"/>
      <c r="J1703" s="45"/>
      <c r="K1703" s="45"/>
      <c r="L1703" s="45"/>
      <c r="M1703" s="45"/>
      <c r="N1703" s="45"/>
      <c r="O1703" s="21"/>
      <c r="P1703" s="21"/>
      <c r="Q1703" s="21"/>
      <c r="R1703" s="25" t="str">
        <f t="shared" si="26"/>
        <v/>
      </c>
    </row>
    <row r="1704" spans="1:18">
      <c r="A1704" s="28"/>
      <c r="B1704" s="48"/>
      <c r="C1704" s="48"/>
      <c r="D1704" s="21"/>
      <c r="E1704" s="21"/>
      <c r="F1704" s="21"/>
      <c r="G1704" s="21"/>
      <c r="H1704" s="21"/>
      <c r="I1704" s="21"/>
      <c r="J1704" s="45"/>
      <c r="K1704" s="45"/>
      <c r="L1704" s="45"/>
      <c r="M1704" s="45"/>
      <c r="N1704" s="45"/>
      <c r="O1704" s="21"/>
      <c r="P1704" s="21"/>
      <c r="Q1704" s="21"/>
      <c r="R1704" s="25" t="str">
        <f t="shared" si="26"/>
        <v/>
      </c>
    </row>
    <row r="1705" spans="1:18">
      <c r="A1705" s="28"/>
      <c r="B1705" s="48"/>
      <c r="C1705" s="48"/>
      <c r="D1705" s="21"/>
      <c r="E1705" s="21"/>
      <c r="F1705" s="21"/>
      <c r="G1705" s="21"/>
      <c r="H1705" s="21"/>
      <c r="I1705" s="21"/>
      <c r="J1705" s="45"/>
      <c r="K1705" s="45"/>
      <c r="L1705" s="45"/>
      <c r="M1705" s="45"/>
      <c r="N1705" s="45"/>
      <c r="O1705" s="21"/>
      <c r="P1705" s="21"/>
      <c r="Q1705" s="21"/>
      <c r="R1705" s="25" t="str">
        <f t="shared" si="26"/>
        <v/>
      </c>
    </row>
    <row r="1706" spans="1:18">
      <c r="A1706" s="28"/>
      <c r="B1706" s="48"/>
      <c r="C1706" s="48"/>
      <c r="D1706" s="21"/>
      <c r="E1706" s="21"/>
      <c r="F1706" s="21"/>
      <c r="G1706" s="21"/>
      <c r="H1706" s="21"/>
      <c r="I1706" s="21"/>
      <c r="J1706" s="45"/>
      <c r="K1706" s="45"/>
      <c r="L1706" s="45"/>
      <c r="M1706" s="45"/>
      <c r="N1706" s="45"/>
      <c r="O1706" s="21"/>
      <c r="P1706" s="21"/>
      <c r="Q1706" s="21"/>
      <c r="R1706" s="25" t="str">
        <f t="shared" si="26"/>
        <v/>
      </c>
    </row>
    <row r="1707" spans="1:18">
      <c r="A1707" s="28"/>
      <c r="B1707" s="48"/>
      <c r="C1707" s="48"/>
      <c r="D1707" s="21"/>
      <c r="E1707" s="21"/>
      <c r="F1707" s="21"/>
      <c r="G1707" s="21"/>
      <c r="H1707" s="21"/>
      <c r="I1707" s="21"/>
      <c r="J1707" s="45"/>
      <c r="K1707" s="45"/>
      <c r="L1707" s="45"/>
      <c r="M1707" s="45"/>
      <c r="N1707" s="45"/>
      <c r="O1707" s="21"/>
      <c r="P1707" s="21"/>
      <c r="Q1707" s="21"/>
      <c r="R1707" s="25" t="str">
        <f t="shared" si="26"/>
        <v/>
      </c>
    </row>
    <row r="1708" spans="1:18">
      <c r="A1708" s="28"/>
      <c r="B1708" s="48"/>
      <c r="C1708" s="48"/>
      <c r="D1708" s="21"/>
      <c r="E1708" s="21"/>
      <c r="F1708" s="21"/>
      <c r="G1708" s="21"/>
      <c r="H1708" s="21"/>
      <c r="I1708" s="21"/>
      <c r="J1708" s="45"/>
      <c r="K1708" s="45"/>
      <c r="L1708" s="45"/>
      <c r="M1708" s="45"/>
      <c r="N1708" s="45"/>
      <c r="O1708" s="21"/>
      <c r="P1708" s="21"/>
      <c r="Q1708" s="21"/>
      <c r="R1708" s="25" t="str">
        <f t="shared" si="26"/>
        <v/>
      </c>
    </row>
    <row r="1709" spans="1:18">
      <c r="A1709" s="28"/>
      <c r="B1709" s="48"/>
      <c r="C1709" s="48"/>
      <c r="D1709" s="21"/>
      <c r="E1709" s="21"/>
      <c r="F1709" s="21"/>
      <c r="G1709" s="21"/>
      <c r="H1709" s="21"/>
      <c r="I1709" s="21"/>
      <c r="J1709" s="45"/>
      <c r="K1709" s="45"/>
      <c r="L1709" s="45"/>
      <c r="M1709" s="45"/>
      <c r="N1709" s="45"/>
      <c r="O1709" s="21"/>
      <c r="P1709" s="21"/>
      <c r="Q1709" s="21"/>
      <c r="R1709" s="25" t="str">
        <f t="shared" si="26"/>
        <v/>
      </c>
    </row>
    <row r="1710" spans="1:18">
      <c r="A1710" s="28"/>
      <c r="B1710" s="48"/>
      <c r="C1710" s="48"/>
      <c r="D1710" s="21"/>
      <c r="E1710" s="21"/>
      <c r="F1710" s="21"/>
      <c r="G1710" s="21"/>
      <c r="H1710" s="21"/>
      <c r="I1710" s="21"/>
      <c r="J1710" s="45"/>
      <c r="K1710" s="45"/>
      <c r="L1710" s="45"/>
      <c r="M1710" s="45"/>
      <c r="N1710" s="45"/>
      <c r="O1710" s="21"/>
      <c r="P1710" s="21"/>
      <c r="Q1710" s="21"/>
      <c r="R1710" s="25" t="str">
        <f t="shared" si="26"/>
        <v/>
      </c>
    </row>
    <row r="1711" spans="1:18">
      <c r="A1711" s="28"/>
      <c r="B1711" s="48"/>
      <c r="C1711" s="48"/>
      <c r="D1711" s="21"/>
      <c r="E1711" s="21"/>
      <c r="F1711" s="21"/>
      <c r="G1711" s="21"/>
      <c r="H1711" s="21"/>
      <c r="I1711" s="21"/>
      <c r="J1711" s="45"/>
      <c r="K1711" s="45"/>
      <c r="L1711" s="45"/>
      <c r="M1711" s="45"/>
      <c r="N1711" s="45"/>
      <c r="O1711" s="21"/>
      <c r="P1711" s="21"/>
      <c r="Q1711" s="21"/>
      <c r="R1711" s="25" t="str">
        <f t="shared" si="26"/>
        <v/>
      </c>
    </row>
    <row r="1712" spans="1:18">
      <c r="A1712" s="28"/>
      <c r="B1712" s="48"/>
      <c r="C1712" s="48"/>
      <c r="D1712" s="21"/>
      <c r="E1712" s="21"/>
      <c r="F1712" s="21"/>
      <c r="G1712" s="21"/>
      <c r="H1712" s="21"/>
      <c r="I1712" s="21"/>
      <c r="J1712" s="45"/>
      <c r="K1712" s="45"/>
      <c r="L1712" s="45"/>
      <c r="M1712" s="45"/>
      <c r="N1712" s="45"/>
      <c r="O1712" s="21"/>
      <c r="P1712" s="21"/>
      <c r="Q1712" s="21"/>
      <c r="R1712" s="25" t="str">
        <f t="shared" si="26"/>
        <v/>
      </c>
    </row>
    <row r="1713" spans="1:18">
      <c r="A1713" s="28"/>
      <c r="B1713" s="48"/>
      <c r="C1713" s="48"/>
      <c r="D1713" s="21"/>
      <c r="E1713" s="21"/>
      <c r="F1713" s="21"/>
      <c r="G1713" s="21"/>
      <c r="H1713" s="21"/>
      <c r="I1713" s="21"/>
      <c r="J1713" s="45"/>
      <c r="K1713" s="45"/>
      <c r="L1713" s="45"/>
      <c r="M1713" s="45"/>
      <c r="N1713" s="45"/>
      <c r="O1713" s="21"/>
      <c r="P1713" s="21"/>
      <c r="Q1713" s="21"/>
      <c r="R1713" s="25" t="str">
        <f t="shared" si="26"/>
        <v/>
      </c>
    </row>
    <row r="1714" spans="1:18">
      <c r="A1714" s="28"/>
      <c r="B1714" s="48"/>
      <c r="C1714" s="48"/>
      <c r="D1714" s="21"/>
      <c r="E1714" s="21"/>
      <c r="F1714" s="21"/>
      <c r="G1714" s="21"/>
      <c r="H1714" s="21"/>
      <c r="I1714" s="21"/>
      <c r="J1714" s="45"/>
      <c r="K1714" s="45"/>
      <c r="L1714" s="45"/>
      <c r="M1714" s="45"/>
      <c r="N1714" s="45"/>
      <c r="O1714" s="21"/>
      <c r="P1714" s="21"/>
      <c r="Q1714" s="21"/>
      <c r="R1714" s="25" t="str">
        <f t="shared" si="26"/>
        <v/>
      </c>
    </row>
    <row r="1715" spans="1:18">
      <c r="A1715" s="28"/>
      <c r="B1715" s="48"/>
      <c r="C1715" s="48"/>
      <c r="D1715" s="21"/>
      <c r="E1715" s="21"/>
      <c r="F1715" s="21"/>
      <c r="G1715" s="21"/>
      <c r="H1715" s="21"/>
      <c r="I1715" s="21"/>
      <c r="J1715" s="45"/>
      <c r="K1715" s="45"/>
      <c r="L1715" s="45"/>
      <c r="M1715" s="45"/>
      <c r="N1715" s="45"/>
      <c r="O1715" s="21"/>
      <c r="P1715" s="21"/>
      <c r="Q1715" s="21"/>
      <c r="R1715" s="25" t="str">
        <f t="shared" ref="R1715:R1778" si="27">IF(COUNTIF($A$17:$A$2010,$A1715)&gt;1,"Possible Duplicate","")</f>
        <v/>
      </c>
    </row>
    <row r="1716" spans="1:18">
      <c r="A1716" s="28"/>
      <c r="B1716" s="48"/>
      <c r="C1716" s="48"/>
      <c r="D1716" s="21"/>
      <c r="E1716" s="21"/>
      <c r="F1716" s="21"/>
      <c r="G1716" s="21"/>
      <c r="H1716" s="21"/>
      <c r="I1716" s="21"/>
      <c r="J1716" s="45"/>
      <c r="K1716" s="45"/>
      <c r="L1716" s="45"/>
      <c r="M1716" s="45"/>
      <c r="N1716" s="45"/>
      <c r="O1716" s="21"/>
      <c r="P1716" s="21"/>
      <c r="Q1716" s="21"/>
      <c r="R1716" s="25" t="str">
        <f t="shared" si="27"/>
        <v/>
      </c>
    </row>
    <row r="1717" spans="1:18">
      <c r="A1717" s="28"/>
      <c r="B1717" s="48"/>
      <c r="C1717" s="48"/>
      <c r="D1717" s="21"/>
      <c r="E1717" s="21"/>
      <c r="F1717" s="21"/>
      <c r="G1717" s="21"/>
      <c r="H1717" s="21"/>
      <c r="I1717" s="21"/>
      <c r="J1717" s="45"/>
      <c r="K1717" s="45"/>
      <c r="L1717" s="45"/>
      <c r="M1717" s="45"/>
      <c r="N1717" s="45"/>
      <c r="O1717" s="21"/>
      <c r="P1717" s="21"/>
      <c r="Q1717" s="21"/>
      <c r="R1717" s="25" t="str">
        <f t="shared" si="27"/>
        <v/>
      </c>
    </row>
    <row r="1718" spans="1:18">
      <c r="A1718" s="28"/>
      <c r="B1718" s="48"/>
      <c r="C1718" s="48"/>
      <c r="D1718" s="21"/>
      <c r="E1718" s="21"/>
      <c r="F1718" s="21"/>
      <c r="G1718" s="21"/>
      <c r="H1718" s="21"/>
      <c r="I1718" s="21"/>
      <c r="J1718" s="45"/>
      <c r="K1718" s="45"/>
      <c r="L1718" s="45"/>
      <c r="M1718" s="45"/>
      <c r="N1718" s="45"/>
      <c r="O1718" s="21"/>
      <c r="P1718" s="21"/>
      <c r="Q1718" s="21"/>
      <c r="R1718" s="25" t="str">
        <f t="shared" si="27"/>
        <v/>
      </c>
    </row>
    <row r="1719" spans="1:18">
      <c r="A1719" s="28"/>
      <c r="B1719" s="48"/>
      <c r="C1719" s="48"/>
      <c r="D1719" s="21"/>
      <c r="E1719" s="21"/>
      <c r="F1719" s="21"/>
      <c r="G1719" s="21"/>
      <c r="H1719" s="21"/>
      <c r="I1719" s="21"/>
      <c r="J1719" s="45"/>
      <c r="K1719" s="45"/>
      <c r="L1719" s="45"/>
      <c r="M1719" s="45"/>
      <c r="N1719" s="45"/>
      <c r="O1719" s="21"/>
      <c r="P1719" s="21"/>
      <c r="Q1719" s="21"/>
      <c r="R1719" s="25" t="str">
        <f t="shared" si="27"/>
        <v/>
      </c>
    </row>
    <row r="1720" spans="1:18">
      <c r="A1720" s="28"/>
      <c r="B1720" s="48"/>
      <c r="C1720" s="48"/>
      <c r="D1720" s="21"/>
      <c r="E1720" s="21"/>
      <c r="F1720" s="21"/>
      <c r="G1720" s="21"/>
      <c r="H1720" s="21"/>
      <c r="I1720" s="21"/>
      <c r="J1720" s="45"/>
      <c r="K1720" s="45"/>
      <c r="L1720" s="45"/>
      <c r="M1720" s="45"/>
      <c r="N1720" s="45"/>
      <c r="O1720" s="21"/>
      <c r="P1720" s="21"/>
      <c r="Q1720" s="21"/>
      <c r="R1720" s="25" t="str">
        <f t="shared" si="27"/>
        <v/>
      </c>
    </row>
    <row r="1721" spans="1:18">
      <c r="A1721" s="28"/>
      <c r="B1721" s="48"/>
      <c r="C1721" s="48"/>
      <c r="D1721" s="21"/>
      <c r="E1721" s="21"/>
      <c r="F1721" s="21"/>
      <c r="G1721" s="21"/>
      <c r="H1721" s="21"/>
      <c r="I1721" s="21"/>
      <c r="J1721" s="45"/>
      <c r="K1721" s="45"/>
      <c r="L1721" s="45"/>
      <c r="M1721" s="45"/>
      <c r="N1721" s="45"/>
      <c r="O1721" s="21"/>
      <c r="P1721" s="21"/>
      <c r="Q1721" s="21"/>
      <c r="R1721" s="25" t="str">
        <f t="shared" si="27"/>
        <v/>
      </c>
    </row>
    <row r="1722" spans="1:18">
      <c r="A1722" s="28"/>
      <c r="B1722" s="48"/>
      <c r="C1722" s="48"/>
      <c r="D1722" s="21"/>
      <c r="E1722" s="21"/>
      <c r="F1722" s="21"/>
      <c r="G1722" s="21"/>
      <c r="H1722" s="21"/>
      <c r="I1722" s="21"/>
      <c r="J1722" s="45"/>
      <c r="K1722" s="45"/>
      <c r="L1722" s="45"/>
      <c r="M1722" s="45"/>
      <c r="N1722" s="45"/>
      <c r="O1722" s="21"/>
      <c r="P1722" s="21"/>
      <c r="Q1722" s="21"/>
      <c r="R1722" s="25" t="str">
        <f t="shared" si="27"/>
        <v/>
      </c>
    </row>
    <row r="1723" spans="1:18">
      <c r="A1723" s="28"/>
      <c r="B1723" s="48"/>
      <c r="C1723" s="48"/>
      <c r="D1723" s="21"/>
      <c r="E1723" s="21"/>
      <c r="F1723" s="21"/>
      <c r="G1723" s="21"/>
      <c r="H1723" s="21"/>
      <c r="I1723" s="21"/>
      <c r="J1723" s="45"/>
      <c r="K1723" s="45"/>
      <c r="L1723" s="45"/>
      <c r="M1723" s="45"/>
      <c r="N1723" s="45"/>
      <c r="O1723" s="21"/>
      <c r="P1723" s="21"/>
      <c r="Q1723" s="21"/>
      <c r="R1723" s="25" t="str">
        <f t="shared" si="27"/>
        <v/>
      </c>
    </row>
    <row r="1724" spans="1:18">
      <c r="A1724" s="28"/>
      <c r="B1724" s="48"/>
      <c r="C1724" s="48"/>
      <c r="D1724" s="21"/>
      <c r="E1724" s="21"/>
      <c r="F1724" s="21"/>
      <c r="G1724" s="21"/>
      <c r="H1724" s="21"/>
      <c r="I1724" s="21"/>
      <c r="J1724" s="45"/>
      <c r="K1724" s="45"/>
      <c r="L1724" s="45"/>
      <c r="M1724" s="45"/>
      <c r="N1724" s="45"/>
      <c r="O1724" s="21"/>
      <c r="P1724" s="21"/>
      <c r="Q1724" s="21"/>
      <c r="R1724" s="25" t="str">
        <f t="shared" si="27"/>
        <v/>
      </c>
    </row>
    <row r="1725" spans="1:18">
      <c r="A1725" s="28"/>
      <c r="B1725" s="48"/>
      <c r="C1725" s="48"/>
      <c r="D1725" s="21"/>
      <c r="E1725" s="21"/>
      <c r="F1725" s="21"/>
      <c r="G1725" s="21"/>
      <c r="H1725" s="21"/>
      <c r="I1725" s="21"/>
      <c r="J1725" s="45"/>
      <c r="K1725" s="45"/>
      <c r="L1725" s="45"/>
      <c r="M1725" s="45"/>
      <c r="N1725" s="45"/>
      <c r="O1725" s="21"/>
      <c r="P1725" s="21"/>
      <c r="Q1725" s="21"/>
      <c r="R1725" s="25" t="str">
        <f t="shared" si="27"/>
        <v/>
      </c>
    </row>
    <row r="1726" spans="1:18">
      <c r="A1726" s="28"/>
      <c r="B1726" s="48"/>
      <c r="C1726" s="48"/>
      <c r="D1726" s="21"/>
      <c r="E1726" s="21"/>
      <c r="F1726" s="21"/>
      <c r="G1726" s="21"/>
      <c r="H1726" s="21"/>
      <c r="I1726" s="21"/>
      <c r="J1726" s="45"/>
      <c r="K1726" s="45"/>
      <c r="L1726" s="45"/>
      <c r="M1726" s="45"/>
      <c r="N1726" s="45"/>
      <c r="O1726" s="21"/>
      <c r="P1726" s="21"/>
      <c r="Q1726" s="21"/>
      <c r="R1726" s="25" t="str">
        <f t="shared" si="27"/>
        <v/>
      </c>
    </row>
    <row r="1727" spans="1:18">
      <c r="A1727" s="28"/>
      <c r="B1727" s="48"/>
      <c r="C1727" s="48"/>
      <c r="D1727" s="21"/>
      <c r="E1727" s="21"/>
      <c r="F1727" s="21"/>
      <c r="G1727" s="21"/>
      <c r="H1727" s="21"/>
      <c r="I1727" s="21"/>
      <c r="J1727" s="45"/>
      <c r="K1727" s="45"/>
      <c r="L1727" s="45"/>
      <c r="M1727" s="45"/>
      <c r="N1727" s="45"/>
      <c r="O1727" s="21"/>
      <c r="P1727" s="21"/>
      <c r="Q1727" s="21"/>
      <c r="R1727" s="25" t="str">
        <f t="shared" si="27"/>
        <v/>
      </c>
    </row>
    <row r="1728" spans="1:18">
      <c r="A1728" s="28"/>
      <c r="B1728" s="48"/>
      <c r="C1728" s="48"/>
      <c r="D1728" s="21"/>
      <c r="E1728" s="21"/>
      <c r="F1728" s="21"/>
      <c r="G1728" s="21"/>
      <c r="H1728" s="21"/>
      <c r="I1728" s="21"/>
      <c r="J1728" s="45"/>
      <c r="K1728" s="45"/>
      <c r="L1728" s="45"/>
      <c r="M1728" s="45"/>
      <c r="N1728" s="45"/>
      <c r="O1728" s="21"/>
      <c r="P1728" s="21"/>
      <c r="Q1728" s="21"/>
      <c r="R1728" s="25" t="str">
        <f t="shared" si="27"/>
        <v/>
      </c>
    </row>
    <row r="1729" spans="1:18">
      <c r="A1729" s="28"/>
      <c r="B1729" s="48"/>
      <c r="C1729" s="48"/>
      <c r="D1729" s="21"/>
      <c r="E1729" s="21"/>
      <c r="F1729" s="21"/>
      <c r="G1729" s="21"/>
      <c r="H1729" s="21"/>
      <c r="I1729" s="21"/>
      <c r="J1729" s="45"/>
      <c r="K1729" s="45"/>
      <c r="L1729" s="45"/>
      <c r="M1729" s="45"/>
      <c r="N1729" s="45"/>
      <c r="O1729" s="21"/>
      <c r="P1729" s="21"/>
      <c r="Q1729" s="21"/>
      <c r="R1729" s="25" t="str">
        <f t="shared" si="27"/>
        <v/>
      </c>
    </row>
    <row r="1730" spans="1:18">
      <c r="A1730" s="28"/>
      <c r="B1730" s="48"/>
      <c r="C1730" s="48"/>
      <c r="D1730" s="21"/>
      <c r="E1730" s="21"/>
      <c r="F1730" s="21"/>
      <c r="G1730" s="21"/>
      <c r="H1730" s="21"/>
      <c r="I1730" s="21"/>
      <c r="J1730" s="45"/>
      <c r="K1730" s="45"/>
      <c r="L1730" s="45"/>
      <c r="M1730" s="45"/>
      <c r="N1730" s="45"/>
      <c r="O1730" s="21"/>
      <c r="P1730" s="21"/>
      <c r="Q1730" s="21"/>
      <c r="R1730" s="25" t="str">
        <f t="shared" si="27"/>
        <v/>
      </c>
    </row>
    <row r="1731" spans="1:18">
      <c r="A1731" s="28"/>
      <c r="B1731" s="48"/>
      <c r="C1731" s="48"/>
      <c r="D1731" s="21"/>
      <c r="E1731" s="21"/>
      <c r="F1731" s="21"/>
      <c r="G1731" s="21"/>
      <c r="H1731" s="21"/>
      <c r="I1731" s="21"/>
      <c r="J1731" s="45"/>
      <c r="K1731" s="45"/>
      <c r="L1731" s="45"/>
      <c r="M1731" s="45"/>
      <c r="N1731" s="45"/>
      <c r="O1731" s="21"/>
      <c r="P1731" s="21"/>
      <c r="Q1731" s="21"/>
      <c r="R1731" s="25" t="str">
        <f t="shared" si="27"/>
        <v/>
      </c>
    </row>
    <row r="1732" spans="1:18">
      <c r="A1732" s="28"/>
      <c r="B1732" s="48"/>
      <c r="C1732" s="48"/>
      <c r="D1732" s="21"/>
      <c r="E1732" s="21"/>
      <c r="F1732" s="21"/>
      <c r="G1732" s="21"/>
      <c r="H1732" s="21"/>
      <c r="I1732" s="21"/>
      <c r="J1732" s="45"/>
      <c r="K1732" s="45"/>
      <c r="L1732" s="45"/>
      <c r="M1732" s="45"/>
      <c r="N1732" s="45"/>
      <c r="O1732" s="21"/>
      <c r="P1732" s="21"/>
      <c r="Q1732" s="21"/>
      <c r="R1732" s="25" t="str">
        <f t="shared" si="27"/>
        <v/>
      </c>
    </row>
    <row r="1733" spans="1:18">
      <c r="A1733" s="28"/>
      <c r="B1733" s="48"/>
      <c r="C1733" s="48"/>
      <c r="D1733" s="21"/>
      <c r="E1733" s="21"/>
      <c r="F1733" s="21"/>
      <c r="G1733" s="21"/>
      <c r="H1733" s="21"/>
      <c r="I1733" s="21"/>
      <c r="J1733" s="45"/>
      <c r="K1733" s="45"/>
      <c r="L1733" s="45"/>
      <c r="M1733" s="45"/>
      <c r="N1733" s="45"/>
      <c r="O1733" s="21"/>
      <c r="P1733" s="21"/>
      <c r="Q1733" s="21"/>
      <c r="R1733" s="25" t="str">
        <f t="shared" si="27"/>
        <v/>
      </c>
    </row>
    <row r="1734" spans="1:18">
      <c r="A1734" s="28"/>
      <c r="B1734" s="48"/>
      <c r="C1734" s="48"/>
      <c r="D1734" s="21"/>
      <c r="E1734" s="21"/>
      <c r="F1734" s="21"/>
      <c r="G1734" s="21"/>
      <c r="H1734" s="21"/>
      <c r="I1734" s="21"/>
      <c r="J1734" s="45"/>
      <c r="K1734" s="45"/>
      <c r="L1734" s="45"/>
      <c r="M1734" s="45"/>
      <c r="N1734" s="45"/>
      <c r="O1734" s="21"/>
      <c r="P1734" s="21"/>
      <c r="Q1734" s="21"/>
      <c r="R1734" s="25" t="str">
        <f t="shared" si="27"/>
        <v/>
      </c>
    </row>
    <row r="1735" spans="1:18">
      <c r="A1735" s="28"/>
      <c r="B1735" s="48"/>
      <c r="C1735" s="48"/>
      <c r="D1735" s="21"/>
      <c r="E1735" s="21"/>
      <c r="F1735" s="21"/>
      <c r="G1735" s="21"/>
      <c r="H1735" s="21"/>
      <c r="I1735" s="21"/>
      <c r="J1735" s="45"/>
      <c r="K1735" s="45"/>
      <c r="L1735" s="45"/>
      <c r="M1735" s="45"/>
      <c r="N1735" s="45"/>
      <c r="O1735" s="21"/>
      <c r="P1735" s="21"/>
      <c r="Q1735" s="21"/>
      <c r="R1735" s="25" t="str">
        <f t="shared" si="27"/>
        <v/>
      </c>
    </row>
    <row r="1736" spans="1:18">
      <c r="A1736" s="28"/>
      <c r="B1736" s="48"/>
      <c r="C1736" s="48"/>
      <c r="D1736" s="21"/>
      <c r="E1736" s="21"/>
      <c r="F1736" s="21"/>
      <c r="G1736" s="21"/>
      <c r="H1736" s="21"/>
      <c r="I1736" s="21"/>
      <c r="J1736" s="45"/>
      <c r="K1736" s="45"/>
      <c r="L1736" s="45"/>
      <c r="M1736" s="45"/>
      <c r="N1736" s="45"/>
      <c r="O1736" s="21"/>
      <c r="P1736" s="21"/>
      <c r="Q1736" s="21"/>
      <c r="R1736" s="25" t="str">
        <f t="shared" si="27"/>
        <v/>
      </c>
    </row>
    <row r="1737" spans="1:18">
      <c r="A1737" s="28"/>
      <c r="B1737" s="48"/>
      <c r="C1737" s="48"/>
      <c r="D1737" s="21"/>
      <c r="E1737" s="21"/>
      <c r="F1737" s="21"/>
      <c r="G1737" s="21"/>
      <c r="H1737" s="21"/>
      <c r="I1737" s="21"/>
      <c r="J1737" s="45"/>
      <c r="K1737" s="45"/>
      <c r="L1737" s="45"/>
      <c r="M1737" s="45"/>
      <c r="N1737" s="45"/>
      <c r="O1737" s="21"/>
      <c r="P1737" s="21"/>
      <c r="Q1737" s="21"/>
      <c r="R1737" s="25" t="str">
        <f t="shared" si="27"/>
        <v/>
      </c>
    </row>
    <row r="1738" spans="1:18">
      <c r="A1738" s="28"/>
      <c r="B1738" s="48"/>
      <c r="C1738" s="48"/>
      <c r="D1738" s="21"/>
      <c r="E1738" s="21"/>
      <c r="F1738" s="21"/>
      <c r="G1738" s="21"/>
      <c r="H1738" s="21"/>
      <c r="I1738" s="21"/>
      <c r="J1738" s="45"/>
      <c r="K1738" s="45"/>
      <c r="L1738" s="45"/>
      <c r="M1738" s="45"/>
      <c r="N1738" s="45"/>
      <c r="O1738" s="21"/>
      <c r="P1738" s="21"/>
      <c r="Q1738" s="21"/>
      <c r="R1738" s="25" t="str">
        <f t="shared" si="27"/>
        <v/>
      </c>
    </row>
    <row r="1739" spans="1:18">
      <c r="A1739" s="28"/>
      <c r="B1739" s="48"/>
      <c r="C1739" s="48"/>
      <c r="D1739" s="21"/>
      <c r="E1739" s="21"/>
      <c r="F1739" s="21"/>
      <c r="G1739" s="21"/>
      <c r="H1739" s="21"/>
      <c r="I1739" s="21"/>
      <c r="J1739" s="45"/>
      <c r="K1739" s="45"/>
      <c r="L1739" s="45"/>
      <c r="M1739" s="45"/>
      <c r="N1739" s="45"/>
      <c r="O1739" s="21"/>
      <c r="P1739" s="21"/>
      <c r="Q1739" s="21"/>
      <c r="R1739" s="25" t="str">
        <f t="shared" si="27"/>
        <v/>
      </c>
    </row>
    <row r="1740" spans="1:18">
      <c r="A1740" s="28"/>
      <c r="B1740" s="48"/>
      <c r="C1740" s="48"/>
      <c r="D1740" s="21"/>
      <c r="E1740" s="21"/>
      <c r="F1740" s="21"/>
      <c r="G1740" s="21"/>
      <c r="H1740" s="21"/>
      <c r="I1740" s="21"/>
      <c r="J1740" s="45"/>
      <c r="K1740" s="45"/>
      <c r="L1740" s="45"/>
      <c r="M1740" s="45"/>
      <c r="N1740" s="45"/>
      <c r="O1740" s="21"/>
      <c r="P1740" s="21"/>
      <c r="Q1740" s="21"/>
      <c r="R1740" s="25" t="str">
        <f t="shared" si="27"/>
        <v/>
      </c>
    </row>
    <row r="1741" spans="1:18">
      <c r="A1741" s="28"/>
      <c r="B1741" s="48"/>
      <c r="C1741" s="48"/>
      <c r="D1741" s="21"/>
      <c r="E1741" s="21"/>
      <c r="F1741" s="21"/>
      <c r="G1741" s="21"/>
      <c r="H1741" s="21"/>
      <c r="I1741" s="21"/>
      <c r="J1741" s="45"/>
      <c r="K1741" s="45"/>
      <c r="L1741" s="45"/>
      <c r="M1741" s="45"/>
      <c r="N1741" s="45"/>
      <c r="O1741" s="21"/>
      <c r="P1741" s="21"/>
      <c r="Q1741" s="21"/>
      <c r="R1741" s="25" t="str">
        <f t="shared" si="27"/>
        <v/>
      </c>
    </row>
    <row r="1742" spans="1:18">
      <c r="A1742" s="28"/>
      <c r="B1742" s="48"/>
      <c r="C1742" s="48"/>
      <c r="D1742" s="21"/>
      <c r="E1742" s="21"/>
      <c r="F1742" s="21"/>
      <c r="G1742" s="21"/>
      <c r="H1742" s="21"/>
      <c r="I1742" s="21"/>
      <c r="J1742" s="45"/>
      <c r="K1742" s="45"/>
      <c r="L1742" s="45"/>
      <c r="M1742" s="45"/>
      <c r="N1742" s="45"/>
      <c r="O1742" s="21"/>
      <c r="P1742" s="21"/>
      <c r="Q1742" s="21"/>
      <c r="R1742" s="25" t="str">
        <f t="shared" si="27"/>
        <v/>
      </c>
    </row>
    <row r="1743" spans="1:18">
      <c r="A1743" s="28"/>
      <c r="B1743" s="48"/>
      <c r="C1743" s="48"/>
      <c r="D1743" s="21"/>
      <c r="E1743" s="21"/>
      <c r="F1743" s="21"/>
      <c r="G1743" s="21"/>
      <c r="H1743" s="21"/>
      <c r="I1743" s="21"/>
      <c r="J1743" s="45"/>
      <c r="K1743" s="45"/>
      <c r="L1743" s="45"/>
      <c r="M1743" s="45"/>
      <c r="N1743" s="45"/>
      <c r="O1743" s="21"/>
      <c r="P1743" s="21"/>
      <c r="Q1743" s="21"/>
      <c r="R1743" s="25" t="str">
        <f t="shared" si="27"/>
        <v/>
      </c>
    </row>
    <row r="1744" spans="1:18">
      <c r="A1744" s="28"/>
      <c r="B1744" s="48"/>
      <c r="C1744" s="48"/>
      <c r="D1744" s="21"/>
      <c r="E1744" s="21"/>
      <c r="F1744" s="21"/>
      <c r="G1744" s="21"/>
      <c r="H1744" s="21"/>
      <c r="I1744" s="21"/>
      <c r="J1744" s="45"/>
      <c r="K1744" s="45"/>
      <c r="L1744" s="45"/>
      <c r="M1744" s="45"/>
      <c r="N1744" s="45"/>
      <c r="O1744" s="21"/>
      <c r="P1744" s="21"/>
      <c r="Q1744" s="21"/>
      <c r="R1744" s="25" t="str">
        <f t="shared" si="27"/>
        <v/>
      </c>
    </row>
    <row r="1745" spans="1:18">
      <c r="A1745" s="28"/>
      <c r="B1745" s="48"/>
      <c r="C1745" s="48"/>
      <c r="D1745" s="21"/>
      <c r="E1745" s="21"/>
      <c r="F1745" s="21"/>
      <c r="G1745" s="21"/>
      <c r="H1745" s="21"/>
      <c r="I1745" s="21"/>
      <c r="J1745" s="45"/>
      <c r="K1745" s="45"/>
      <c r="L1745" s="45"/>
      <c r="M1745" s="45"/>
      <c r="N1745" s="45"/>
      <c r="O1745" s="21"/>
      <c r="P1745" s="21"/>
      <c r="Q1745" s="21"/>
      <c r="R1745" s="25" t="str">
        <f t="shared" si="27"/>
        <v/>
      </c>
    </row>
    <row r="1746" spans="1:18">
      <c r="A1746" s="28"/>
      <c r="B1746" s="48"/>
      <c r="C1746" s="48"/>
      <c r="D1746" s="21"/>
      <c r="E1746" s="21"/>
      <c r="F1746" s="21"/>
      <c r="G1746" s="21"/>
      <c r="H1746" s="21"/>
      <c r="I1746" s="21"/>
      <c r="J1746" s="45"/>
      <c r="K1746" s="45"/>
      <c r="L1746" s="45"/>
      <c r="M1746" s="45"/>
      <c r="N1746" s="45"/>
      <c r="O1746" s="21"/>
      <c r="P1746" s="21"/>
      <c r="Q1746" s="21"/>
      <c r="R1746" s="25" t="str">
        <f t="shared" si="27"/>
        <v/>
      </c>
    </row>
    <row r="1747" spans="1:18">
      <c r="A1747" s="28"/>
      <c r="B1747" s="48"/>
      <c r="C1747" s="48"/>
      <c r="D1747" s="21"/>
      <c r="E1747" s="21"/>
      <c r="F1747" s="21"/>
      <c r="G1747" s="21"/>
      <c r="H1747" s="21"/>
      <c r="I1747" s="21"/>
      <c r="J1747" s="45"/>
      <c r="K1747" s="45"/>
      <c r="L1747" s="45"/>
      <c r="M1747" s="45"/>
      <c r="N1747" s="45"/>
      <c r="O1747" s="21"/>
      <c r="P1747" s="21"/>
      <c r="Q1747" s="21"/>
      <c r="R1747" s="25" t="str">
        <f t="shared" si="27"/>
        <v/>
      </c>
    </row>
    <row r="1748" spans="1:18">
      <c r="A1748" s="28"/>
      <c r="B1748" s="48"/>
      <c r="C1748" s="48"/>
      <c r="D1748" s="21"/>
      <c r="E1748" s="21"/>
      <c r="F1748" s="21"/>
      <c r="G1748" s="21"/>
      <c r="H1748" s="21"/>
      <c r="I1748" s="21"/>
      <c r="J1748" s="45"/>
      <c r="K1748" s="45"/>
      <c r="L1748" s="45"/>
      <c r="M1748" s="45"/>
      <c r="N1748" s="45"/>
      <c r="O1748" s="21"/>
      <c r="P1748" s="21"/>
      <c r="Q1748" s="21"/>
      <c r="R1748" s="25" t="str">
        <f t="shared" si="27"/>
        <v/>
      </c>
    </row>
    <row r="1749" spans="1:18">
      <c r="A1749" s="28"/>
      <c r="B1749" s="48"/>
      <c r="C1749" s="48"/>
      <c r="D1749" s="21"/>
      <c r="E1749" s="21"/>
      <c r="F1749" s="21"/>
      <c r="G1749" s="21"/>
      <c r="H1749" s="21"/>
      <c r="I1749" s="21"/>
      <c r="J1749" s="45"/>
      <c r="K1749" s="45"/>
      <c r="L1749" s="45"/>
      <c r="M1749" s="45"/>
      <c r="N1749" s="45"/>
      <c r="O1749" s="21"/>
      <c r="P1749" s="21"/>
      <c r="Q1749" s="21"/>
      <c r="R1749" s="25" t="str">
        <f t="shared" si="27"/>
        <v/>
      </c>
    </row>
    <row r="1750" spans="1:18">
      <c r="A1750" s="28"/>
      <c r="B1750" s="48"/>
      <c r="C1750" s="48"/>
      <c r="D1750" s="21"/>
      <c r="E1750" s="21"/>
      <c r="F1750" s="21"/>
      <c r="G1750" s="21"/>
      <c r="H1750" s="21"/>
      <c r="I1750" s="21"/>
      <c r="J1750" s="45"/>
      <c r="K1750" s="45"/>
      <c r="L1750" s="45"/>
      <c r="M1750" s="45"/>
      <c r="N1750" s="45"/>
      <c r="O1750" s="21"/>
      <c r="P1750" s="21"/>
      <c r="Q1750" s="21"/>
      <c r="R1750" s="25" t="str">
        <f t="shared" si="27"/>
        <v/>
      </c>
    </row>
    <row r="1751" spans="1:18">
      <c r="A1751" s="28"/>
      <c r="B1751" s="48"/>
      <c r="C1751" s="48"/>
      <c r="D1751" s="21"/>
      <c r="E1751" s="21"/>
      <c r="F1751" s="21"/>
      <c r="G1751" s="21"/>
      <c r="H1751" s="21"/>
      <c r="I1751" s="21"/>
      <c r="J1751" s="45"/>
      <c r="K1751" s="45"/>
      <c r="L1751" s="45"/>
      <c r="M1751" s="45"/>
      <c r="N1751" s="45"/>
      <c r="O1751" s="21"/>
      <c r="P1751" s="21"/>
      <c r="Q1751" s="21"/>
      <c r="R1751" s="25" t="str">
        <f t="shared" si="27"/>
        <v/>
      </c>
    </row>
    <row r="1752" spans="1:18">
      <c r="A1752" s="28"/>
      <c r="B1752" s="48"/>
      <c r="C1752" s="48"/>
      <c r="D1752" s="21"/>
      <c r="E1752" s="21"/>
      <c r="F1752" s="21"/>
      <c r="G1752" s="21"/>
      <c r="H1752" s="21"/>
      <c r="I1752" s="21"/>
      <c r="J1752" s="45"/>
      <c r="K1752" s="45"/>
      <c r="L1752" s="45"/>
      <c r="M1752" s="45"/>
      <c r="N1752" s="45"/>
      <c r="O1752" s="21"/>
      <c r="P1752" s="21"/>
      <c r="Q1752" s="21"/>
      <c r="R1752" s="25" t="str">
        <f t="shared" si="27"/>
        <v/>
      </c>
    </row>
    <row r="1753" spans="1:18">
      <c r="A1753" s="28"/>
      <c r="B1753" s="48"/>
      <c r="C1753" s="48"/>
      <c r="D1753" s="21"/>
      <c r="E1753" s="21"/>
      <c r="F1753" s="21"/>
      <c r="G1753" s="21"/>
      <c r="H1753" s="21"/>
      <c r="I1753" s="21"/>
      <c r="J1753" s="45"/>
      <c r="K1753" s="45"/>
      <c r="L1753" s="45"/>
      <c r="M1753" s="45"/>
      <c r="N1753" s="45"/>
      <c r="O1753" s="21"/>
      <c r="P1753" s="21"/>
      <c r="Q1753" s="21"/>
      <c r="R1753" s="25" t="str">
        <f t="shared" si="27"/>
        <v/>
      </c>
    </row>
    <row r="1754" spans="1:18">
      <c r="A1754" s="28"/>
      <c r="B1754" s="48"/>
      <c r="C1754" s="48"/>
      <c r="D1754" s="21"/>
      <c r="E1754" s="21"/>
      <c r="F1754" s="21"/>
      <c r="G1754" s="21"/>
      <c r="H1754" s="21"/>
      <c r="I1754" s="21"/>
      <c r="J1754" s="45"/>
      <c r="K1754" s="45"/>
      <c r="L1754" s="45"/>
      <c r="M1754" s="45"/>
      <c r="N1754" s="45"/>
      <c r="O1754" s="21"/>
      <c r="P1754" s="21"/>
      <c r="Q1754" s="21"/>
      <c r="R1754" s="25" t="str">
        <f t="shared" si="27"/>
        <v/>
      </c>
    </row>
    <row r="1755" spans="1:18">
      <c r="A1755" s="28"/>
      <c r="B1755" s="48"/>
      <c r="C1755" s="48"/>
      <c r="D1755" s="21"/>
      <c r="E1755" s="21"/>
      <c r="F1755" s="21"/>
      <c r="G1755" s="21"/>
      <c r="H1755" s="21"/>
      <c r="I1755" s="21"/>
      <c r="J1755" s="45"/>
      <c r="K1755" s="45"/>
      <c r="L1755" s="45"/>
      <c r="M1755" s="45"/>
      <c r="N1755" s="45"/>
      <c r="O1755" s="21"/>
      <c r="P1755" s="21"/>
      <c r="Q1755" s="21"/>
      <c r="R1755" s="25" t="str">
        <f t="shared" si="27"/>
        <v/>
      </c>
    </row>
    <row r="1756" spans="1:18">
      <c r="A1756" s="28"/>
      <c r="B1756" s="48"/>
      <c r="C1756" s="48"/>
      <c r="D1756" s="21"/>
      <c r="E1756" s="21"/>
      <c r="F1756" s="21"/>
      <c r="G1756" s="21"/>
      <c r="H1756" s="21"/>
      <c r="I1756" s="21"/>
      <c r="J1756" s="45"/>
      <c r="K1756" s="45"/>
      <c r="L1756" s="45"/>
      <c r="M1756" s="45"/>
      <c r="N1756" s="45"/>
      <c r="O1756" s="21"/>
      <c r="P1756" s="21"/>
      <c r="Q1756" s="21"/>
      <c r="R1756" s="25" t="str">
        <f t="shared" si="27"/>
        <v/>
      </c>
    </row>
    <row r="1757" spans="1:18">
      <c r="A1757" s="28"/>
      <c r="B1757" s="48"/>
      <c r="C1757" s="48"/>
      <c r="D1757" s="21"/>
      <c r="E1757" s="21"/>
      <c r="F1757" s="21"/>
      <c r="G1757" s="21"/>
      <c r="H1757" s="21"/>
      <c r="I1757" s="21"/>
      <c r="J1757" s="45"/>
      <c r="K1757" s="45"/>
      <c r="L1757" s="45"/>
      <c r="M1757" s="45"/>
      <c r="N1757" s="45"/>
      <c r="O1757" s="21"/>
      <c r="P1757" s="21"/>
      <c r="Q1757" s="21"/>
      <c r="R1757" s="25" t="str">
        <f t="shared" si="27"/>
        <v/>
      </c>
    </row>
    <row r="1758" spans="1:18">
      <c r="A1758" s="28"/>
      <c r="B1758" s="48"/>
      <c r="C1758" s="48"/>
      <c r="D1758" s="21"/>
      <c r="E1758" s="21"/>
      <c r="F1758" s="21"/>
      <c r="G1758" s="21"/>
      <c r="H1758" s="21"/>
      <c r="I1758" s="21"/>
      <c r="J1758" s="45"/>
      <c r="K1758" s="45"/>
      <c r="L1758" s="45"/>
      <c r="M1758" s="45"/>
      <c r="N1758" s="45"/>
      <c r="O1758" s="21"/>
      <c r="P1758" s="21"/>
      <c r="Q1758" s="21"/>
      <c r="R1758" s="25" t="str">
        <f t="shared" si="27"/>
        <v/>
      </c>
    </row>
    <row r="1759" spans="1:18">
      <c r="A1759" s="28"/>
      <c r="B1759" s="48"/>
      <c r="C1759" s="48"/>
      <c r="D1759" s="21"/>
      <c r="E1759" s="21"/>
      <c r="F1759" s="21"/>
      <c r="G1759" s="21"/>
      <c r="H1759" s="21"/>
      <c r="I1759" s="21"/>
      <c r="J1759" s="45"/>
      <c r="K1759" s="45"/>
      <c r="L1759" s="45"/>
      <c r="M1759" s="45"/>
      <c r="N1759" s="45"/>
      <c r="O1759" s="21"/>
      <c r="P1759" s="21"/>
      <c r="Q1759" s="21"/>
      <c r="R1759" s="25" t="str">
        <f t="shared" si="27"/>
        <v/>
      </c>
    </row>
    <row r="1760" spans="1:18">
      <c r="A1760" s="28"/>
      <c r="B1760" s="48"/>
      <c r="C1760" s="48"/>
      <c r="D1760" s="21"/>
      <c r="E1760" s="21"/>
      <c r="F1760" s="21"/>
      <c r="G1760" s="21"/>
      <c r="H1760" s="21"/>
      <c r="I1760" s="21"/>
      <c r="J1760" s="45"/>
      <c r="K1760" s="45"/>
      <c r="L1760" s="45"/>
      <c r="M1760" s="45"/>
      <c r="N1760" s="45"/>
      <c r="O1760" s="21"/>
      <c r="P1760" s="21"/>
      <c r="Q1760" s="21"/>
      <c r="R1760" s="25" t="str">
        <f t="shared" si="27"/>
        <v/>
      </c>
    </row>
    <row r="1761" spans="1:18">
      <c r="A1761" s="28"/>
      <c r="B1761" s="48"/>
      <c r="C1761" s="48"/>
      <c r="D1761" s="21"/>
      <c r="E1761" s="21"/>
      <c r="F1761" s="21"/>
      <c r="G1761" s="21"/>
      <c r="H1761" s="21"/>
      <c r="I1761" s="21"/>
      <c r="J1761" s="45"/>
      <c r="K1761" s="45"/>
      <c r="L1761" s="45"/>
      <c r="M1761" s="45"/>
      <c r="N1761" s="45"/>
      <c r="O1761" s="21"/>
      <c r="P1761" s="21"/>
      <c r="Q1761" s="21"/>
      <c r="R1761" s="25" t="str">
        <f t="shared" si="27"/>
        <v/>
      </c>
    </row>
    <row r="1762" spans="1:18">
      <c r="A1762" s="28"/>
      <c r="B1762" s="48"/>
      <c r="C1762" s="48"/>
      <c r="D1762" s="21"/>
      <c r="E1762" s="21"/>
      <c r="F1762" s="21"/>
      <c r="G1762" s="21"/>
      <c r="H1762" s="21"/>
      <c r="I1762" s="21"/>
      <c r="J1762" s="45"/>
      <c r="K1762" s="45"/>
      <c r="L1762" s="45"/>
      <c r="M1762" s="45"/>
      <c r="N1762" s="45"/>
      <c r="O1762" s="21"/>
      <c r="P1762" s="21"/>
      <c r="Q1762" s="21"/>
      <c r="R1762" s="25" t="str">
        <f t="shared" si="27"/>
        <v/>
      </c>
    </row>
    <row r="1763" spans="1:18">
      <c r="A1763" s="28"/>
      <c r="B1763" s="48"/>
      <c r="C1763" s="48"/>
      <c r="D1763" s="21"/>
      <c r="E1763" s="21"/>
      <c r="F1763" s="21"/>
      <c r="G1763" s="21"/>
      <c r="H1763" s="21"/>
      <c r="I1763" s="21"/>
      <c r="J1763" s="45"/>
      <c r="K1763" s="45"/>
      <c r="L1763" s="45"/>
      <c r="M1763" s="45"/>
      <c r="N1763" s="45"/>
      <c r="O1763" s="21"/>
      <c r="P1763" s="21"/>
      <c r="Q1763" s="21"/>
      <c r="R1763" s="25" t="str">
        <f t="shared" si="27"/>
        <v/>
      </c>
    </row>
    <row r="1764" spans="1:18">
      <c r="A1764" s="28"/>
      <c r="B1764" s="48"/>
      <c r="C1764" s="48"/>
      <c r="D1764" s="21"/>
      <c r="E1764" s="21"/>
      <c r="F1764" s="21"/>
      <c r="G1764" s="21"/>
      <c r="H1764" s="21"/>
      <c r="I1764" s="21"/>
      <c r="J1764" s="45"/>
      <c r="K1764" s="45"/>
      <c r="L1764" s="45"/>
      <c r="M1764" s="45"/>
      <c r="N1764" s="45"/>
      <c r="O1764" s="21"/>
      <c r="P1764" s="21"/>
      <c r="Q1764" s="21"/>
      <c r="R1764" s="25" t="str">
        <f t="shared" si="27"/>
        <v/>
      </c>
    </row>
    <row r="1765" spans="1:18">
      <c r="A1765" s="28"/>
      <c r="B1765" s="48"/>
      <c r="C1765" s="48"/>
      <c r="D1765" s="21"/>
      <c r="E1765" s="21"/>
      <c r="F1765" s="21"/>
      <c r="G1765" s="21"/>
      <c r="H1765" s="21"/>
      <c r="I1765" s="21"/>
      <c r="J1765" s="45"/>
      <c r="K1765" s="45"/>
      <c r="L1765" s="45"/>
      <c r="M1765" s="45"/>
      <c r="N1765" s="45"/>
      <c r="O1765" s="21"/>
      <c r="P1765" s="21"/>
      <c r="Q1765" s="21"/>
      <c r="R1765" s="25" t="str">
        <f t="shared" si="27"/>
        <v/>
      </c>
    </row>
    <row r="1766" spans="1:18">
      <c r="A1766" s="28"/>
      <c r="B1766" s="48"/>
      <c r="C1766" s="48"/>
      <c r="D1766" s="21"/>
      <c r="E1766" s="21"/>
      <c r="F1766" s="21"/>
      <c r="G1766" s="21"/>
      <c r="H1766" s="21"/>
      <c r="I1766" s="21"/>
      <c r="J1766" s="45"/>
      <c r="K1766" s="45"/>
      <c r="L1766" s="45"/>
      <c r="M1766" s="45"/>
      <c r="N1766" s="45"/>
      <c r="O1766" s="21"/>
      <c r="P1766" s="21"/>
      <c r="Q1766" s="21"/>
      <c r="R1766" s="25" t="str">
        <f t="shared" si="27"/>
        <v/>
      </c>
    </row>
    <row r="1767" spans="1:18">
      <c r="A1767" s="28"/>
      <c r="B1767" s="48"/>
      <c r="C1767" s="48"/>
      <c r="D1767" s="21"/>
      <c r="E1767" s="21"/>
      <c r="F1767" s="21"/>
      <c r="G1767" s="21"/>
      <c r="H1767" s="21"/>
      <c r="I1767" s="21"/>
      <c r="J1767" s="45"/>
      <c r="K1767" s="45"/>
      <c r="L1767" s="45"/>
      <c r="M1767" s="45"/>
      <c r="N1767" s="45"/>
      <c r="O1767" s="21"/>
      <c r="P1767" s="21"/>
      <c r="Q1767" s="21"/>
      <c r="R1767" s="25" t="str">
        <f t="shared" si="27"/>
        <v/>
      </c>
    </row>
    <row r="1768" spans="1:18">
      <c r="A1768" s="28"/>
      <c r="B1768" s="48"/>
      <c r="C1768" s="48"/>
      <c r="D1768" s="21"/>
      <c r="E1768" s="21"/>
      <c r="F1768" s="21"/>
      <c r="G1768" s="21"/>
      <c r="H1768" s="21"/>
      <c r="I1768" s="21"/>
      <c r="J1768" s="45"/>
      <c r="K1768" s="45"/>
      <c r="L1768" s="45"/>
      <c r="M1768" s="45"/>
      <c r="N1768" s="45"/>
      <c r="O1768" s="21"/>
      <c r="P1768" s="21"/>
      <c r="Q1768" s="21"/>
      <c r="R1768" s="25" t="str">
        <f t="shared" si="27"/>
        <v/>
      </c>
    </row>
    <row r="1769" spans="1:18">
      <c r="A1769" s="28"/>
      <c r="B1769" s="48"/>
      <c r="C1769" s="48"/>
      <c r="D1769" s="21"/>
      <c r="E1769" s="21"/>
      <c r="F1769" s="21"/>
      <c r="G1769" s="21"/>
      <c r="H1769" s="21"/>
      <c r="I1769" s="21"/>
      <c r="J1769" s="45"/>
      <c r="K1769" s="45"/>
      <c r="L1769" s="45"/>
      <c r="M1769" s="45"/>
      <c r="N1769" s="45"/>
      <c r="O1769" s="21"/>
      <c r="P1769" s="21"/>
      <c r="Q1769" s="21"/>
      <c r="R1769" s="25" t="str">
        <f t="shared" si="27"/>
        <v/>
      </c>
    </row>
    <row r="1770" spans="1:18">
      <c r="A1770" s="28"/>
      <c r="B1770" s="48"/>
      <c r="C1770" s="48"/>
      <c r="D1770" s="21"/>
      <c r="E1770" s="21"/>
      <c r="F1770" s="21"/>
      <c r="G1770" s="21"/>
      <c r="H1770" s="21"/>
      <c r="I1770" s="21"/>
      <c r="J1770" s="45"/>
      <c r="K1770" s="45"/>
      <c r="L1770" s="45"/>
      <c r="M1770" s="45"/>
      <c r="N1770" s="45"/>
      <c r="O1770" s="21"/>
      <c r="P1770" s="21"/>
      <c r="Q1770" s="21"/>
      <c r="R1770" s="25" t="str">
        <f t="shared" si="27"/>
        <v/>
      </c>
    </row>
    <row r="1771" spans="1:18">
      <c r="A1771" s="28"/>
      <c r="B1771" s="48"/>
      <c r="C1771" s="48"/>
      <c r="D1771" s="21"/>
      <c r="E1771" s="21"/>
      <c r="F1771" s="21"/>
      <c r="G1771" s="21"/>
      <c r="H1771" s="21"/>
      <c r="I1771" s="21"/>
      <c r="J1771" s="45"/>
      <c r="K1771" s="45"/>
      <c r="L1771" s="45"/>
      <c r="M1771" s="45"/>
      <c r="N1771" s="45"/>
      <c r="O1771" s="21"/>
      <c r="P1771" s="21"/>
      <c r="Q1771" s="21"/>
      <c r="R1771" s="25" t="str">
        <f t="shared" si="27"/>
        <v/>
      </c>
    </row>
    <row r="1772" spans="1:18">
      <c r="A1772" s="28"/>
      <c r="B1772" s="48"/>
      <c r="C1772" s="48"/>
      <c r="D1772" s="21"/>
      <c r="E1772" s="21"/>
      <c r="F1772" s="21"/>
      <c r="G1772" s="21"/>
      <c r="H1772" s="21"/>
      <c r="I1772" s="21"/>
      <c r="J1772" s="45"/>
      <c r="K1772" s="45"/>
      <c r="L1772" s="45"/>
      <c r="M1772" s="45"/>
      <c r="N1772" s="45"/>
      <c r="O1772" s="21"/>
      <c r="P1772" s="21"/>
      <c r="Q1772" s="21"/>
      <c r="R1772" s="25" t="str">
        <f t="shared" si="27"/>
        <v/>
      </c>
    </row>
    <row r="1773" spans="1:18">
      <c r="A1773" s="28"/>
      <c r="B1773" s="48"/>
      <c r="C1773" s="48"/>
      <c r="D1773" s="21"/>
      <c r="E1773" s="21"/>
      <c r="F1773" s="21"/>
      <c r="G1773" s="21"/>
      <c r="H1773" s="21"/>
      <c r="I1773" s="21"/>
      <c r="J1773" s="45"/>
      <c r="K1773" s="45"/>
      <c r="L1773" s="45"/>
      <c r="M1773" s="45"/>
      <c r="N1773" s="45"/>
      <c r="O1773" s="21"/>
      <c r="P1773" s="21"/>
      <c r="Q1773" s="21"/>
      <c r="R1773" s="25" t="str">
        <f t="shared" si="27"/>
        <v/>
      </c>
    </row>
    <row r="1774" spans="1:18">
      <c r="A1774" s="28"/>
      <c r="B1774" s="48"/>
      <c r="C1774" s="48"/>
      <c r="D1774" s="21"/>
      <c r="E1774" s="21"/>
      <c r="F1774" s="21"/>
      <c r="G1774" s="21"/>
      <c r="H1774" s="21"/>
      <c r="I1774" s="21"/>
      <c r="J1774" s="45"/>
      <c r="K1774" s="45"/>
      <c r="L1774" s="45"/>
      <c r="M1774" s="45"/>
      <c r="N1774" s="45"/>
      <c r="O1774" s="21"/>
      <c r="P1774" s="21"/>
      <c r="Q1774" s="21"/>
      <c r="R1774" s="25" t="str">
        <f t="shared" si="27"/>
        <v/>
      </c>
    </row>
    <row r="1775" spans="1:18">
      <c r="A1775" s="28"/>
      <c r="B1775" s="48"/>
      <c r="C1775" s="48"/>
      <c r="D1775" s="21"/>
      <c r="E1775" s="21"/>
      <c r="F1775" s="21"/>
      <c r="G1775" s="21"/>
      <c r="H1775" s="21"/>
      <c r="I1775" s="21"/>
      <c r="J1775" s="45"/>
      <c r="K1775" s="45"/>
      <c r="L1775" s="45"/>
      <c r="M1775" s="45"/>
      <c r="N1775" s="45"/>
      <c r="O1775" s="21"/>
      <c r="P1775" s="21"/>
      <c r="Q1775" s="21"/>
      <c r="R1775" s="25" t="str">
        <f t="shared" si="27"/>
        <v/>
      </c>
    </row>
    <row r="1776" spans="1:18">
      <c r="A1776" s="28"/>
      <c r="B1776" s="48"/>
      <c r="C1776" s="48"/>
      <c r="D1776" s="21"/>
      <c r="E1776" s="21"/>
      <c r="F1776" s="21"/>
      <c r="G1776" s="21"/>
      <c r="H1776" s="21"/>
      <c r="I1776" s="21"/>
      <c r="J1776" s="45"/>
      <c r="K1776" s="45"/>
      <c r="L1776" s="45"/>
      <c r="M1776" s="45"/>
      <c r="N1776" s="45"/>
      <c r="O1776" s="21"/>
      <c r="P1776" s="21"/>
      <c r="Q1776" s="21"/>
      <c r="R1776" s="25" t="str">
        <f t="shared" si="27"/>
        <v/>
      </c>
    </row>
    <row r="1777" spans="1:18">
      <c r="A1777" s="28"/>
      <c r="B1777" s="48"/>
      <c r="C1777" s="48"/>
      <c r="D1777" s="21"/>
      <c r="E1777" s="21"/>
      <c r="F1777" s="21"/>
      <c r="G1777" s="21"/>
      <c r="H1777" s="21"/>
      <c r="I1777" s="21"/>
      <c r="J1777" s="45"/>
      <c r="K1777" s="45"/>
      <c r="L1777" s="45"/>
      <c r="M1777" s="45"/>
      <c r="N1777" s="45"/>
      <c r="O1777" s="21"/>
      <c r="P1777" s="21"/>
      <c r="Q1777" s="21"/>
      <c r="R1777" s="25" t="str">
        <f t="shared" si="27"/>
        <v/>
      </c>
    </row>
    <row r="1778" spans="1:18">
      <c r="A1778" s="28"/>
      <c r="B1778" s="48"/>
      <c r="C1778" s="48"/>
      <c r="D1778" s="21"/>
      <c r="E1778" s="21"/>
      <c r="F1778" s="21"/>
      <c r="G1778" s="21"/>
      <c r="H1778" s="21"/>
      <c r="I1778" s="21"/>
      <c r="J1778" s="45"/>
      <c r="K1778" s="45"/>
      <c r="L1778" s="45"/>
      <c r="M1778" s="45"/>
      <c r="N1778" s="45"/>
      <c r="O1778" s="21"/>
      <c r="P1778" s="21"/>
      <c r="Q1778" s="21"/>
      <c r="R1778" s="25" t="str">
        <f t="shared" si="27"/>
        <v/>
      </c>
    </row>
    <row r="1779" spans="1:18">
      <c r="A1779" s="28"/>
      <c r="B1779" s="48"/>
      <c r="C1779" s="48"/>
      <c r="D1779" s="21"/>
      <c r="E1779" s="21"/>
      <c r="F1779" s="21"/>
      <c r="G1779" s="21"/>
      <c r="H1779" s="21"/>
      <c r="I1779" s="21"/>
      <c r="J1779" s="45"/>
      <c r="K1779" s="45"/>
      <c r="L1779" s="45"/>
      <c r="M1779" s="45"/>
      <c r="N1779" s="45"/>
      <c r="O1779" s="21"/>
      <c r="P1779" s="21"/>
      <c r="Q1779" s="21"/>
      <c r="R1779" s="25" t="str">
        <f t="shared" ref="R1779:R1842" si="28">IF(COUNTIF($A$17:$A$2010,$A1779)&gt;1,"Possible Duplicate","")</f>
        <v/>
      </c>
    </row>
    <row r="1780" spans="1:18">
      <c r="A1780" s="28"/>
      <c r="B1780" s="48"/>
      <c r="C1780" s="48"/>
      <c r="D1780" s="21"/>
      <c r="E1780" s="21"/>
      <c r="F1780" s="21"/>
      <c r="G1780" s="21"/>
      <c r="H1780" s="21"/>
      <c r="I1780" s="21"/>
      <c r="J1780" s="45"/>
      <c r="K1780" s="45"/>
      <c r="L1780" s="45"/>
      <c r="M1780" s="45"/>
      <c r="N1780" s="45"/>
      <c r="O1780" s="21"/>
      <c r="P1780" s="21"/>
      <c r="Q1780" s="21"/>
      <c r="R1780" s="25" t="str">
        <f t="shared" si="28"/>
        <v/>
      </c>
    </row>
    <row r="1781" spans="1:18">
      <c r="A1781" s="28"/>
      <c r="B1781" s="48"/>
      <c r="C1781" s="48"/>
      <c r="D1781" s="21"/>
      <c r="E1781" s="21"/>
      <c r="F1781" s="21"/>
      <c r="G1781" s="21"/>
      <c r="H1781" s="21"/>
      <c r="I1781" s="21"/>
      <c r="J1781" s="45"/>
      <c r="K1781" s="45"/>
      <c r="L1781" s="45"/>
      <c r="M1781" s="45"/>
      <c r="N1781" s="45"/>
      <c r="O1781" s="21"/>
      <c r="P1781" s="21"/>
      <c r="Q1781" s="21"/>
      <c r="R1781" s="25" t="str">
        <f t="shared" si="28"/>
        <v/>
      </c>
    </row>
    <row r="1782" spans="1:18">
      <c r="A1782" s="28"/>
      <c r="B1782" s="48"/>
      <c r="C1782" s="48"/>
      <c r="D1782" s="21"/>
      <c r="E1782" s="21"/>
      <c r="F1782" s="21"/>
      <c r="G1782" s="21"/>
      <c r="H1782" s="21"/>
      <c r="I1782" s="21"/>
      <c r="J1782" s="45"/>
      <c r="K1782" s="45"/>
      <c r="L1782" s="45"/>
      <c r="M1782" s="45"/>
      <c r="N1782" s="45"/>
      <c r="O1782" s="21"/>
      <c r="P1782" s="21"/>
      <c r="Q1782" s="21"/>
      <c r="R1782" s="25" t="str">
        <f t="shared" si="28"/>
        <v/>
      </c>
    </row>
    <row r="1783" spans="1:18">
      <c r="A1783" s="28"/>
      <c r="B1783" s="48"/>
      <c r="C1783" s="48"/>
      <c r="D1783" s="21"/>
      <c r="E1783" s="21"/>
      <c r="F1783" s="21"/>
      <c r="G1783" s="21"/>
      <c r="H1783" s="21"/>
      <c r="I1783" s="21"/>
      <c r="J1783" s="45"/>
      <c r="K1783" s="45"/>
      <c r="L1783" s="45"/>
      <c r="M1783" s="45"/>
      <c r="N1783" s="45"/>
      <c r="O1783" s="21"/>
      <c r="P1783" s="21"/>
      <c r="Q1783" s="21"/>
      <c r="R1783" s="25" t="str">
        <f t="shared" si="28"/>
        <v/>
      </c>
    </row>
    <row r="1784" spans="1:18">
      <c r="A1784" s="28"/>
      <c r="B1784" s="48"/>
      <c r="C1784" s="48"/>
      <c r="D1784" s="21"/>
      <c r="E1784" s="21"/>
      <c r="F1784" s="21"/>
      <c r="G1784" s="21"/>
      <c r="H1784" s="21"/>
      <c r="I1784" s="21"/>
      <c r="J1784" s="45"/>
      <c r="K1784" s="45"/>
      <c r="L1784" s="45"/>
      <c r="M1784" s="45"/>
      <c r="N1784" s="45"/>
      <c r="O1784" s="21"/>
      <c r="P1784" s="21"/>
      <c r="Q1784" s="21"/>
      <c r="R1784" s="25" t="str">
        <f t="shared" si="28"/>
        <v/>
      </c>
    </row>
    <row r="1785" spans="1:18">
      <c r="A1785" s="28"/>
      <c r="B1785" s="48"/>
      <c r="C1785" s="48"/>
      <c r="D1785" s="21"/>
      <c r="E1785" s="21"/>
      <c r="F1785" s="21"/>
      <c r="G1785" s="21"/>
      <c r="H1785" s="21"/>
      <c r="I1785" s="21"/>
      <c r="J1785" s="45"/>
      <c r="K1785" s="45"/>
      <c r="L1785" s="45"/>
      <c r="M1785" s="45"/>
      <c r="N1785" s="45"/>
      <c r="O1785" s="21"/>
      <c r="P1785" s="21"/>
      <c r="Q1785" s="21"/>
      <c r="R1785" s="25" t="str">
        <f t="shared" si="28"/>
        <v/>
      </c>
    </row>
    <row r="1786" spans="1:18">
      <c r="A1786" s="28"/>
      <c r="B1786" s="48"/>
      <c r="C1786" s="48"/>
      <c r="D1786" s="21"/>
      <c r="E1786" s="21"/>
      <c r="F1786" s="21"/>
      <c r="G1786" s="21"/>
      <c r="H1786" s="21"/>
      <c r="I1786" s="21"/>
      <c r="J1786" s="45"/>
      <c r="K1786" s="45"/>
      <c r="L1786" s="45"/>
      <c r="M1786" s="45"/>
      <c r="N1786" s="45"/>
      <c r="O1786" s="21"/>
      <c r="P1786" s="21"/>
      <c r="Q1786" s="21"/>
      <c r="R1786" s="25" t="str">
        <f t="shared" si="28"/>
        <v/>
      </c>
    </row>
    <row r="1787" spans="1:18">
      <c r="A1787" s="28"/>
      <c r="B1787" s="48"/>
      <c r="C1787" s="48"/>
      <c r="D1787" s="21"/>
      <c r="E1787" s="21"/>
      <c r="F1787" s="21"/>
      <c r="G1787" s="21"/>
      <c r="H1787" s="21"/>
      <c r="I1787" s="21"/>
      <c r="J1787" s="45"/>
      <c r="K1787" s="45"/>
      <c r="L1787" s="45"/>
      <c r="M1787" s="45"/>
      <c r="N1787" s="45"/>
      <c r="O1787" s="21"/>
      <c r="P1787" s="21"/>
      <c r="Q1787" s="21"/>
      <c r="R1787" s="25" t="str">
        <f t="shared" si="28"/>
        <v/>
      </c>
    </row>
    <row r="1788" spans="1:18">
      <c r="A1788" s="28"/>
      <c r="B1788" s="48"/>
      <c r="C1788" s="48"/>
      <c r="D1788" s="21"/>
      <c r="E1788" s="21"/>
      <c r="F1788" s="21"/>
      <c r="G1788" s="21"/>
      <c r="H1788" s="21"/>
      <c r="I1788" s="21"/>
      <c r="J1788" s="45"/>
      <c r="K1788" s="45"/>
      <c r="L1788" s="45"/>
      <c r="M1788" s="45"/>
      <c r="N1788" s="45"/>
      <c r="O1788" s="21"/>
      <c r="P1788" s="21"/>
      <c r="Q1788" s="21"/>
      <c r="R1788" s="25" t="str">
        <f t="shared" si="28"/>
        <v/>
      </c>
    </row>
    <row r="1789" spans="1:18">
      <c r="A1789" s="28"/>
      <c r="B1789" s="48"/>
      <c r="C1789" s="48"/>
      <c r="D1789" s="21"/>
      <c r="E1789" s="21"/>
      <c r="F1789" s="21"/>
      <c r="G1789" s="21"/>
      <c r="H1789" s="21"/>
      <c r="I1789" s="21"/>
      <c r="J1789" s="45"/>
      <c r="K1789" s="45"/>
      <c r="L1789" s="45"/>
      <c r="M1789" s="45"/>
      <c r="N1789" s="45"/>
      <c r="O1789" s="21"/>
      <c r="P1789" s="21"/>
      <c r="Q1789" s="21"/>
      <c r="R1789" s="25" t="str">
        <f t="shared" si="28"/>
        <v/>
      </c>
    </row>
    <row r="1790" spans="1:18">
      <c r="A1790" s="28"/>
      <c r="B1790" s="48"/>
      <c r="C1790" s="48"/>
      <c r="D1790" s="21"/>
      <c r="E1790" s="21"/>
      <c r="F1790" s="21"/>
      <c r="G1790" s="21"/>
      <c r="H1790" s="21"/>
      <c r="I1790" s="21"/>
      <c r="J1790" s="45"/>
      <c r="K1790" s="45"/>
      <c r="L1790" s="45"/>
      <c r="M1790" s="45"/>
      <c r="N1790" s="45"/>
      <c r="O1790" s="21"/>
      <c r="P1790" s="21"/>
      <c r="Q1790" s="21"/>
      <c r="R1790" s="25" t="str">
        <f t="shared" si="28"/>
        <v/>
      </c>
    </row>
    <row r="1791" spans="1:18">
      <c r="A1791" s="28"/>
      <c r="B1791" s="48"/>
      <c r="C1791" s="48"/>
      <c r="D1791" s="21"/>
      <c r="E1791" s="21"/>
      <c r="F1791" s="21"/>
      <c r="G1791" s="21"/>
      <c r="H1791" s="21"/>
      <c r="I1791" s="21"/>
      <c r="J1791" s="45"/>
      <c r="K1791" s="45"/>
      <c r="L1791" s="45"/>
      <c r="M1791" s="45"/>
      <c r="N1791" s="45"/>
      <c r="O1791" s="21"/>
      <c r="P1791" s="21"/>
      <c r="Q1791" s="21"/>
      <c r="R1791" s="25" t="str">
        <f t="shared" si="28"/>
        <v/>
      </c>
    </row>
    <row r="1792" spans="1:18">
      <c r="A1792" s="28"/>
      <c r="B1792" s="48"/>
      <c r="C1792" s="48"/>
      <c r="D1792" s="21"/>
      <c r="E1792" s="21"/>
      <c r="F1792" s="21"/>
      <c r="G1792" s="21"/>
      <c r="H1792" s="21"/>
      <c r="I1792" s="21"/>
      <c r="J1792" s="45"/>
      <c r="K1792" s="45"/>
      <c r="L1792" s="45"/>
      <c r="M1792" s="45"/>
      <c r="N1792" s="45"/>
      <c r="O1792" s="21"/>
      <c r="P1792" s="21"/>
      <c r="Q1792" s="21"/>
      <c r="R1792" s="25" t="str">
        <f t="shared" si="28"/>
        <v/>
      </c>
    </row>
    <row r="1793" spans="1:18">
      <c r="A1793" s="28"/>
      <c r="B1793" s="48"/>
      <c r="C1793" s="48"/>
      <c r="D1793" s="21"/>
      <c r="E1793" s="21"/>
      <c r="F1793" s="21"/>
      <c r="G1793" s="21"/>
      <c r="H1793" s="21"/>
      <c r="I1793" s="21"/>
      <c r="J1793" s="45"/>
      <c r="K1793" s="45"/>
      <c r="L1793" s="45"/>
      <c r="M1793" s="45"/>
      <c r="N1793" s="45"/>
      <c r="O1793" s="21"/>
      <c r="P1793" s="21"/>
      <c r="Q1793" s="21"/>
      <c r="R1793" s="25" t="str">
        <f t="shared" si="28"/>
        <v/>
      </c>
    </row>
    <row r="1794" spans="1:18">
      <c r="A1794" s="28"/>
      <c r="B1794" s="48"/>
      <c r="C1794" s="48"/>
      <c r="D1794" s="21"/>
      <c r="E1794" s="21"/>
      <c r="F1794" s="21"/>
      <c r="G1794" s="21"/>
      <c r="H1794" s="21"/>
      <c r="I1794" s="21"/>
      <c r="J1794" s="45"/>
      <c r="K1794" s="45"/>
      <c r="L1794" s="45"/>
      <c r="M1794" s="45"/>
      <c r="N1794" s="45"/>
      <c r="O1794" s="21"/>
      <c r="P1794" s="21"/>
      <c r="Q1794" s="21"/>
      <c r="R1794" s="25" t="str">
        <f t="shared" si="28"/>
        <v/>
      </c>
    </row>
    <row r="1795" spans="1:18">
      <c r="A1795" s="28"/>
      <c r="B1795" s="48"/>
      <c r="C1795" s="48"/>
      <c r="D1795" s="21"/>
      <c r="E1795" s="21"/>
      <c r="F1795" s="21"/>
      <c r="G1795" s="21"/>
      <c r="H1795" s="21"/>
      <c r="I1795" s="21"/>
      <c r="J1795" s="45"/>
      <c r="K1795" s="45"/>
      <c r="L1795" s="45"/>
      <c r="M1795" s="45"/>
      <c r="N1795" s="45"/>
      <c r="O1795" s="21"/>
      <c r="P1795" s="21"/>
      <c r="Q1795" s="21"/>
      <c r="R1795" s="25" t="str">
        <f t="shared" si="28"/>
        <v/>
      </c>
    </row>
    <row r="1796" spans="1:18">
      <c r="A1796" s="28"/>
      <c r="B1796" s="48"/>
      <c r="C1796" s="48"/>
      <c r="D1796" s="21"/>
      <c r="E1796" s="21"/>
      <c r="F1796" s="21"/>
      <c r="G1796" s="21"/>
      <c r="H1796" s="21"/>
      <c r="I1796" s="21"/>
      <c r="J1796" s="45"/>
      <c r="K1796" s="45"/>
      <c r="L1796" s="45"/>
      <c r="M1796" s="45"/>
      <c r="N1796" s="45"/>
      <c r="O1796" s="21"/>
      <c r="P1796" s="21"/>
      <c r="Q1796" s="21"/>
      <c r="R1796" s="25" t="str">
        <f t="shared" si="28"/>
        <v/>
      </c>
    </row>
    <row r="1797" spans="1:18">
      <c r="A1797" s="28"/>
      <c r="B1797" s="48"/>
      <c r="C1797" s="48"/>
      <c r="D1797" s="21"/>
      <c r="E1797" s="21"/>
      <c r="F1797" s="21"/>
      <c r="G1797" s="21"/>
      <c r="H1797" s="21"/>
      <c r="I1797" s="21"/>
      <c r="J1797" s="45"/>
      <c r="K1797" s="45"/>
      <c r="L1797" s="45"/>
      <c r="M1797" s="45"/>
      <c r="N1797" s="45"/>
      <c r="O1797" s="21"/>
      <c r="P1797" s="21"/>
      <c r="Q1797" s="21"/>
      <c r="R1797" s="25" t="str">
        <f t="shared" si="28"/>
        <v/>
      </c>
    </row>
    <row r="1798" spans="1:18">
      <c r="A1798" s="28"/>
      <c r="B1798" s="48"/>
      <c r="C1798" s="48"/>
      <c r="D1798" s="21"/>
      <c r="E1798" s="21"/>
      <c r="F1798" s="21"/>
      <c r="G1798" s="21"/>
      <c r="H1798" s="21"/>
      <c r="I1798" s="21"/>
      <c r="J1798" s="45"/>
      <c r="K1798" s="45"/>
      <c r="L1798" s="45"/>
      <c r="M1798" s="45"/>
      <c r="N1798" s="45"/>
      <c r="O1798" s="21"/>
      <c r="P1798" s="21"/>
      <c r="Q1798" s="21"/>
      <c r="R1798" s="25" t="str">
        <f t="shared" si="28"/>
        <v/>
      </c>
    </row>
    <row r="1799" spans="1:18">
      <c r="A1799" s="28"/>
      <c r="B1799" s="48"/>
      <c r="C1799" s="48"/>
      <c r="D1799" s="21"/>
      <c r="E1799" s="21"/>
      <c r="F1799" s="21"/>
      <c r="G1799" s="21"/>
      <c r="H1799" s="21"/>
      <c r="I1799" s="21"/>
      <c r="J1799" s="45"/>
      <c r="K1799" s="45"/>
      <c r="L1799" s="45"/>
      <c r="M1799" s="45"/>
      <c r="N1799" s="45"/>
      <c r="O1799" s="21"/>
      <c r="P1799" s="21"/>
      <c r="Q1799" s="21"/>
      <c r="R1799" s="25" t="str">
        <f t="shared" si="28"/>
        <v/>
      </c>
    </row>
    <row r="1800" spans="1:18">
      <c r="A1800" s="28"/>
      <c r="B1800" s="48"/>
      <c r="C1800" s="48"/>
      <c r="D1800" s="21"/>
      <c r="E1800" s="21"/>
      <c r="F1800" s="21"/>
      <c r="G1800" s="21"/>
      <c r="H1800" s="21"/>
      <c r="I1800" s="21"/>
      <c r="J1800" s="45"/>
      <c r="K1800" s="45"/>
      <c r="L1800" s="45"/>
      <c r="M1800" s="45"/>
      <c r="N1800" s="45"/>
      <c r="O1800" s="21"/>
      <c r="P1800" s="21"/>
      <c r="Q1800" s="21"/>
      <c r="R1800" s="25" t="str">
        <f t="shared" si="28"/>
        <v/>
      </c>
    </row>
    <row r="1801" spans="1:18">
      <c r="A1801" s="28"/>
      <c r="B1801" s="48"/>
      <c r="C1801" s="48"/>
      <c r="D1801" s="21"/>
      <c r="E1801" s="21"/>
      <c r="F1801" s="21"/>
      <c r="G1801" s="21"/>
      <c r="H1801" s="21"/>
      <c r="I1801" s="21"/>
      <c r="J1801" s="45"/>
      <c r="K1801" s="45"/>
      <c r="L1801" s="45"/>
      <c r="M1801" s="45"/>
      <c r="N1801" s="45"/>
      <c r="O1801" s="21"/>
      <c r="P1801" s="21"/>
      <c r="Q1801" s="21"/>
      <c r="R1801" s="25" t="str">
        <f t="shared" si="28"/>
        <v/>
      </c>
    </row>
    <row r="1802" spans="1:18">
      <c r="A1802" s="28"/>
      <c r="B1802" s="48"/>
      <c r="C1802" s="48"/>
      <c r="D1802" s="21"/>
      <c r="E1802" s="21"/>
      <c r="F1802" s="21"/>
      <c r="G1802" s="21"/>
      <c r="H1802" s="21"/>
      <c r="I1802" s="21"/>
      <c r="J1802" s="45"/>
      <c r="K1802" s="45"/>
      <c r="L1802" s="45"/>
      <c r="M1802" s="45"/>
      <c r="N1802" s="45"/>
      <c r="O1802" s="21"/>
      <c r="P1802" s="21"/>
      <c r="Q1802" s="21"/>
      <c r="R1802" s="25" t="str">
        <f t="shared" si="28"/>
        <v/>
      </c>
    </row>
    <row r="1803" spans="1:18">
      <c r="A1803" s="28"/>
      <c r="B1803" s="48"/>
      <c r="C1803" s="48"/>
      <c r="D1803" s="21"/>
      <c r="E1803" s="21"/>
      <c r="F1803" s="21"/>
      <c r="G1803" s="21"/>
      <c r="H1803" s="21"/>
      <c r="I1803" s="21"/>
      <c r="J1803" s="45"/>
      <c r="K1803" s="45"/>
      <c r="L1803" s="45"/>
      <c r="M1803" s="45"/>
      <c r="N1803" s="45"/>
      <c r="O1803" s="21"/>
      <c r="P1803" s="21"/>
      <c r="Q1803" s="21"/>
      <c r="R1803" s="25" t="str">
        <f t="shared" si="28"/>
        <v/>
      </c>
    </row>
    <row r="1804" spans="1:18">
      <c r="A1804" s="28"/>
      <c r="B1804" s="48"/>
      <c r="C1804" s="48"/>
      <c r="D1804" s="21"/>
      <c r="E1804" s="21"/>
      <c r="F1804" s="21"/>
      <c r="G1804" s="21"/>
      <c r="H1804" s="21"/>
      <c r="I1804" s="21"/>
      <c r="J1804" s="45"/>
      <c r="K1804" s="45"/>
      <c r="L1804" s="45"/>
      <c r="M1804" s="45"/>
      <c r="N1804" s="45"/>
      <c r="O1804" s="21"/>
      <c r="P1804" s="21"/>
      <c r="Q1804" s="21"/>
      <c r="R1804" s="25" t="str">
        <f t="shared" si="28"/>
        <v/>
      </c>
    </row>
    <row r="1805" spans="1:18">
      <c r="A1805" s="28"/>
      <c r="B1805" s="48"/>
      <c r="C1805" s="48"/>
      <c r="D1805" s="21"/>
      <c r="E1805" s="21"/>
      <c r="F1805" s="21"/>
      <c r="G1805" s="21"/>
      <c r="H1805" s="21"/>
      <c r="I1805" s="21"/>
      <c r="J1805" s="45"/>
      <c r="K1805" s="45"/>
      <c r="L1805" s="45"/>
      <c r="M1805" s="45"/>
      <c r="N1805" s="45"/>
      <c r="O1805" s="21"/>
      <c r="P1805" s="21"/>
      <c r="Q1805" s="21"/>
      <c r="R1805" s="25" t="str">
        <f t="shared" si="28"/>
        <v/>
      </c>
    </row>
    <row r="1806" spans="1:18">
      <c r="A1806" s="28"/>
      <c r="B1806" s="48"/>
      <c r="C1806" s="48"/>
      <c r="D1806" s="21"/>
      <c r="E1806" s="21"/>
      <c r="F1806" s="21"/>
      <c r="G1806" s="21"/>
      <c r="H1806" s="21"/>
      <c r="I1806" s="21"/>
      <c r="J1806" s="45"/>
      <c r="K1806" s="45"/>
      <c r="L1806" s="45"/>
      <c r="M1806" s="45"/>
      <c r="N1806" s="45"/>
      <c r="O1806" s="21"/>
      <c r="P1806" s="21"/>
      <c r="Q1806" s="21"/>
      <c r="R1806" s="25" t="str">
        <f t="shared" si="28"/>
        <v/>
      </c>
    </row>
    <row r="1807" spans="1:18">
      <c r="A1807" s="28"/>
      <c r="B1807" s="48"/>
      <c r="C1807" s="48"/>
      <c r="D1807" s="21"/>
      <c r="E1807" s="21"/>
      <c r="F1807" s="21"/>
      <c r="G1807" s="21"/>
      <c r="H1807" s="21"/>
      <c r="I1807" s="21"/>
      <c r="J1807" s="45"/>
      <c r="K1807" s="45"/>
      <c r="L1807" s="45"/>
      <c r="M1807" s="45"/>
      <c r="N1807" s="45"/>
      <c r="O1807" s="21"/>
      <c r="P1807" s="21"/>
      <c r="Q1807" s="21"/>
      <c r="R1807" s="25" t="str">
        <f t="shared" si="28"/>
        <v/>
      </c>
    </row>
    <row r="1808" spans="1:18">
      <c r="A1808" s="28"/>
      <c r="B1808" s="48"/>
      <c r="C1808" s="48"/>
      <c r="D1808" s="21"/>
      <c r="E1808" s="21"/>
      <c r="F1808" s="21"/>
      <c r="G1808" s="21"/>
      <c r="H1808" s="21"/>
      <c r="I1808" s="21"/>
      <c r="J1808" s="45"/>
      <c r="K1808" s="45"/>
      <c r="L1808" s="45"/>
      <c r="M1808" s="45"/>
      <c r="N1808" s="45"/>
      <c r="O1808" s="21"/>
      <c r="P1808" s="21"/>
      <c r="Q1808" s="21"/>
      <c r="R1808" s="25" t="str">
        <f t="shared" si="28"/>
        <v/>
      </c>
    </row>
    <row r="1809" spans="1:18">
      <c r="A1809" s="28"/>
      <c r="B1809" s="48"/>
      <c r="C1809" s="48"/>
      <c r="D1809" s="21"/>
      <c r="E1809" s="21"/>
      <c r="F1809" s="21"/>
      <c r="G1809" s="21"/>
      <c r="H1809" s="21"/>
      <c r="I1809" s="21"/>
      <c r="J1809" s="45"/>
      <c r="K1809" s="45"/>
      <c r="L1809" s="45"/>
      <c r="M1809" s="45"/>
      <c r="N1809" s="45"/>
      <c r="O1809" s="21"/>
      <c r="P1809" s="21"/>
      <c r="Q1809" s="21"/>
      <c r="R1809" s="25" t="str">
        <f t="shared" si="28"/>
        <v/>
      </c>
    </row>
    <row r="1810" spans="1:18">
      <c r="A1810" s="28"/>
      <c r="B1810" s="48"/>
      <c r="C1810" s="48"/>
      <c r="D1810" s="21"/>
      <c r="E1810" s="21"/>
      <c r="F1810" s="21"/>
      <c r="G1810" s="21"/>
      <c r="H1810" s="21"/>
      <c r="I1810" s="21"/>
      <c r="J1810" s="45"/>
      <c r="K1810" s="45"/>
      <c r="L1810" s="45"/>
      <c r="M1810" s="45"/>
      <c r="N1810" s="45"/>
      <c r="O1810" s="21"/>
      <c r="P1810" s="21"/>
      <c r="Q1810" s="21"/>
      <c r="R1810" s="25" t="str">
        <f t="shared" si="28"/>
        <v/>
      </c>
    </row>
    <row r="1811" spans="1:18">
      <c r="A1811" s="28"/>
      <c r="B1811" s="48"/>
      <c r="C1811" s="48"/>
      <c r="D1811" s="21"/>
      <c r="E1811" s="21"/>
      <c r="F1811" s="21"/>
      <c r="G1811" s="21"/>
      <c r="H1811" s="21"/>
      <c r="I1811" s="21"/>
      <c r="J1811" s="45"/>
      <c r="K1811" s="45"/>
      <c r="L1811" s="45"/>
      <c r="M1811" s="45"/>
      <c r="N1811" s="45"/>
      <c r="O1811" s="21"/>
      <c r="P1811" s="21"/>
      <c r="Q1811" s="21"/>
      <c r="R1811" s="25" t="str">
        <f t="shared" si="28"/>
        <v/>
      </c>
    </row>
    <row r="1812" spans="1:18">
      <c r="A1812" s="28"/>
      <c r="B1812" s="48"/>
      <c r="C1812" s="48"/>
      <c r="D1812" s="21"/>
      <c r="E1812" s="21"/>
      <c r="F1812" s="21"/>
      <c r="G1812" s="21"/>
      <c r="H1812" s="21"/>
      <c r="I1812" s="21"/>
      <c r="J1812" s="45"/>
      <c r="K1812" s="45"/>
      <c r="L1812" s="45"/>
      <c r="M1812" s="45"/>
      <c r="N1812" s="45"/>
      <c r="O1812" s="21"/>
      <c r="P1812" s="21"/>
      <c r="Q1812" s="21"/>
      <c r="R1812" s="25" t="str">
        <f t="shared" si="28"/>
        <v/>
      </c>
    </row>
    <row r="1813" spans="1:18">
      <c r="A1813" s="28"/>
      <c r="B1813" s="48"/>
      <c r="C1813" s="48"/>
      <c r="D1813" s="21"/>
      <c r="E1813" s="21"/>
      <c r="F1813" s="21"/>
      <c r="G1813" s="21"/>
      <c r="H1813" s="21"/>
      <c r="I1813" s="21"/>
      <c r="J1813" s="45"/>
      <c r="K1813" s="45"/>
      <c r="L1813" s="45"/>
      <c r="M1813" s="45"/>
      <c r="N1813" s="45"/>
      <c r="O1813" s="21"/>
      <c r="P1813" s="21"/>
      <c r="Q1813" s="21"/>
      <c r="R1813" s="25" t="str">
        <f t="shared" si="28"/>
        <v/>
      </c>
    </row>
    <row r="1814" spans="1:18">
      <c r="A1814" s="28"/>
      <c r="B1814" s="48"/>
      <c r="C1814" s="48"/>
      <c r="D1814" s="21"/>
      <c r="E1814" s="21"/>
      <c r="F1814" s="21"/>
      <c r="G1814" s="21"/>
      <c r="H1814" s="21"/>
      <c r="I1814" s="21"/>
      <c r="J1814" s="45"/>
      <c r="K1814" s="45"/>
      <c r="L1814" s="45"/>
      <c r="M1814" s="45"/>
      <c r="N1814" s="45"/>
      <c r="O1814" s="21"/>
      <c r="P1814" s="21"/>
      <c r="Q1814" s="21"/>
      <c r="R1814" s="25" t="str">
        <f t="shared" si="28"/>
        <v/>
      </c>
    </row>
    <row r="1815" spans="1:18">
      <c r="A1815" s="28"/>
      <c r="B1815" s="48"/>
      <c r="C1815" s="48"/>
      <c r="D1815" s="21"/>
      <c r="E1815" s="21"/>
      <c r="F1815" s="21"/>
      <c r="G1815" s="21"/>
      <c r="H1815" s="21"/>
      <c r="I1815" s="21"/>
      <c r="J1815" s="45"/>
      <c r="K1815" s="45"/>
      <c r="L1815" s="45"/>
      <c r="M1815" s="45"/>
      <c r="N1815" s="45"/>
      <c r="O1815" s="21"/>
      <c r="P1815" s="21"/>
      <c r="Q1815" s="21"/>
      <c r="R1815" s="25" t="str">
        <f t="shared" si="28"/>
        <v/>
      </c>
    </row>
    <row r="1816" spans="1:18">
      <c r="A1816" s="28"/>
      <c r="B1816" s="48"/>
      <c r="C1816" s="48"/>
      <c r="D1816" s="21"/>
      <c r="E1816" s="21"/>
      <c r="F1816" s="21"/>
      <c r="G1816" s="21"/>
      <c r="H1816" s="21"/>
      <c r="I1816" s="21"/>
      <c r="J1816" s="45"/>
      <c r="K1816" s="45"/>
      <c r="L1816" s="45"/>
      <c r="M1816" s="45"/>
      <c r="N1816" s="45"/>
      <c r="O1816" s="21"/>
      <c r="P1816" s="21"/>
      <c r="Q1816" s="21"/>
      <c r="R1816" s="25" t="str">
        <f t="shared" si="28"/>
        <v/>
      </c>
    </row>
    <row r="1817" spans="1:18">
      <c r="A1817" s="28"/>
      <c r="B1817" s="48"/>
      <c r="C1817" s="48"/>
      <c r="D1817" s="21"/>
      <c r="E1817" s="21"/>
      <c r="F1817" s="21"/>
      <c r="G1817" s="21"/>
      <c r="H1817" s="21"/>
      <c r="I1817" s="21"/>
      <c r="J1817" s="45"/>
      <c r="K1817" s="45"/>
      <c r="L1817" s="45"/>
      <c r="M1817" s="45"/>
      <c r="N1817" s="45"/>
      <c r="O1817" s="21"/>
      <c r="P1817" s="21"/>
      <c r="Q1817" s="21"/>
      <c r="R1817" s="25" t="str">
        <f t="shared" si="28"/>
        <v/>
      </c>
    </row>
    <row r="1818" spans="1:18">
      <c r="A1818" s="28"/>
      <c r="B1818" s="48"/>
      <c r="C1818" s="48"/>
      <c r="D1818" s="21"/>
      <c r="E1818" s="21"/>
      <c r="F1818" s="21"/>
      <c r="G1818" s="21"/>
      <c r="H1818" s="21"/>
      <c r="I1818" s="21"/>
      <c r="J1818" s="45"/>
      <c r="K1818" s="45"/>
      <c r="L1818" s="45"/>
      <c r="M1818" s="45"/>
      <c r="N1818" s="45"/>
      <c r="O1818" s="21"/>
      <c r="P1818" s="21"/>
      <c r="Q1818" s="21"/>
      <c r="R1818" s="25" t="str">
        <f t="shared" si="28"/>
        <v/>
      </c>
    </row>
    <row r="1819" spans="1:18">
      <c r="A1819" s="28"/>
      <c r="B1819" s="48"/>
      <c r="C1819" s="48"/>
      <c r="D1819" s="21"/>
      <c r="E1819" s="21"/>
      <c r="F1819" s="21"/>
      <c r="G1819" s="21"/>
      <c r="H1819" s="21"/>
      <c r="I1819" s="21"/>
      <c r="J1819" s="45"/>
      <c r="K1819" s="45"/>
      <c r="L1819" s="45"/>
      <c r="M1819" s="45"/>
      <c r="N1819" s="45"/>
      <c r="O1819" s="21"/>
      <c r="P1819" s="21"/>
      <c r="Q1819" s="21"/>
      <c r="R1819" s="25" t="str">
        <f t="shared" si="28"/>
        <v/>
      </c>
    </row>
    <row r="1820" spans="1:18">
      <c r="A1820" s="28"/>
      <c r="B1820" s="48"/>
      <c r="C1820" s="48"/>
      <c r="D1820" s="21"/>
      <c r="E1820" s="21"/>
      <c r="F1820" s="21"/>
      <c r="G1820" s="21"/>
      <c r="H1820" s="21"/>
      <c r="I1820" s="21"/>
      <c r="J1820" s="45"/>
      <c r="K1820" s="45"/>
      <c r="L1820" s="45"/>
      <c r="M1820" s="45"/>
      <c r="N1820" s="45"/>
      <c r="O1820" s="21"/>
      <c r="P1820" s="21"/>
      <c r="Q1820" s="21"/>
      <c r="R1820" s="25" t="str">
        <f t="shared" si="28"/>
        <v/>
      </c>
    </row>
    <row r="1821" spans="1:18">
      <c r="A1821" s="28"/>
      <c r="B1821" s="48"/>
      <c r="C1821" s="48"/>
      <c r="D1821" s="21"/>
      <c r="E1821" s="21"/>
      <c r="F1821" s="21"/>
      <c r="G1821" s="21"/>
      <c r="H1821" s="21"/>
      <c r="I1821" s="21"/>
      <c r="J1821" s="45"/>
      <c r="K1821" s="45"/>
      <c r="L1821" s="45"/>
      <c r="M1821" s="45"/>
      <c r="N1821" s="45"/>
      <c r="O1821" s="21"/>
      <c r="P1821" s="21"/>
      <c r="Q1821" s="21"/>
      <c r="R1821" s="25" t="str">
        <f t="shared" si="28"/>
        <v/>
      </c>
    </row>
    <row r="1822" spans="1:18">
      <c r="A1822" s="28"/>
      <c r="B1822" s="48"/>
      <c r="C1822" s="48"/>
      <c r="D1822" s="21"/>
      <c r="E1822" s="21"/>
      <c r="F1822" s="21"/>
      <c r="G1822" s="21"/>
      <c r="H1822" s="21"/>
      <c r="I1822" s="21"/>
      <c r="J1822" s="45"/>
      <c r="K1822" s="45"/>
      <c r="L1822" s="45"/>
      <c r="M1822" s="45"/>
      <c r="N1822" s="45"/>
      <c r="O1822" s="21"/>
      <c r="P1822" s="21"/>
      <c r="Q1822" s="21"/>
      <c r="R1822" s="25" t="str">
        <f t="shared" si="28"/>
        <v/>
      </c>
    </row>
    <row r="1823" spans="1:18">
      <c r="A1823" s="28"/>
      <c r="B1823" s="48"/>
      <c r="C1823" s="48"/>
      <c r="D1823" s="21"/>
      <c r="E1823" s="21"/>
      <c r="F1823" s="21"/>
      <c r="G1823" s="21"/>
      <c r="H1823" s="21"/>
      <c r="I1823" s="21"/>
      <c r="J1823" s="45"/>
      <c r="K1823" s="45"/>
      <c r="L1823" s="45"/>
      <c r="M1823" s="45"/>
      <c r="N1823" s="45"/>
      <c r="O1823" s="21"/>
      <c r="P1823" s="21"/>
      <c r="Q1823" s="21"/>
      <c r="R1823" s="25" t="str">
        <f t="shared" si="28"/>
        <v/>
      </c>
    </row>
    <row r="1824" spans="1:18">
      <c r="A1824" s="28"/>
      <c r="B1824" s="48"/>
      <c r="C1824" s="48"/>
      <c r="D1824" s="21"/>
      <c r="E1824" s="21"/>
      <c r="F1824" s="21"/>
      <c r="G1824" s="21"/>
      <c r="H1824" s="21"/>
      <c r="I1824" s="21"/>
      <c r="J1824" s="45"/>
      <c r="K1824" s="45"/>
      <c r="L1824" s="45"/>
      <c r="M1824" s="45"/>
      <c r="N1824" s="45"/>
      <c r="O1824" s="21"/>
      <c r="P1824" s="21"/>
      <c r="Q1824" s="21"/>
      <c r="R1824" s="25" t="str">
        <f t="shared" si="28"/>
        <v/>
      </c>
    </row>
    <row r="1825" spans="1:18">
      <c r="A1825" s="28"/>
      <c r="B1825" s="48"/>
      <c r="C1825" s="48"/>
      <c r="D1825" s="21"/>
      <c r="E1825" s="21"/>
      <c r="F1825" s="21"/>
      <c r="G1825" s="21"/>
      <c r="H1825" s="21"/>
      <c r="I1825" s="21"/>
      <c r="J1825" s="45"/>
      <c r="K1825" s="45"/>
      <c r="L1825" s="45"/>
      <c r="M1825" s="45"/>
      <c r="N1825" s="45"/>
      <c r="O1825" s="21"/>
      <c r="P1825" s="21"/>
      <c r="Q1825" s="21"/>
      <c r="R1825" s="25" t="str">
        <f t="shared" si="28"/>
        <v/>
      </c>
    </row>
    <row r="1826" spans="1:18">
      <c r="A1826" s="28"/>
      <c r="B1826" s="48"/>
      <c r="C1826" s="48"/>
      <c r="D1826" s="21"/>
      <c r="E1826" s="21"/>
      <c r="F1826" s="21"/>
      <c r="G1826" s="21"/>
      <c r="H1826" s="21"/>
      <c r="I1826" s="21"/>
      <c r="J1826" s="45"/>
      <c r="K1826" s="45"/>
      <c r="L1826" s="45"/>
      <c r="M1826" s="45"/>
      <c r="N1826" s="45"/>
      <c r="O1826" s="21"/>
      <c r="P1826" s="21"/>
      <c r="Q1826" s="21"/>
      <c r="R1826" s="25" t="str">
        <f t="shared" si="28"/>
        <v/>
      </c>
    </row>
    <row r="1827" spans="1:18">
      <c r="A1827" s="28"/>
      <c r="B1827" s="48"/>
      <c r="C1827" s="48"/>
      <c r="D1827" s="21"/>
      <c r="E1827" s="21"/>
      <c r="F1827" s="21"/>
      <c r="G1827" s="21"/>
      <c r="H1827" s="21"/>
      <c r="I1827" s="21"/>
      <c r="J1827" s="45"/>
      <c r="K1827" s="45"/>
      <c r="L1827" s="45"/>
      <c r="M1827" s="45"/>
      <c r="N1827" s="45"/>
      <c r="O1827" s="21"/>
      <c r="P1827" s="21"/>
      <c r="Q1827" s="21"/>
      <c r="R1827" s="25" t="str">
        <f t="shared" si="28"/>
        <v/>
      </c>
    </row>
    <row r="1828" spans="1:18">
      <c r="A1828" s="28"/>
      <c r="B1828" s="48"/>
      <c r="C1828" s="48"/>
      <c r="D1828" s="21"/>
      <c r="E1828" s="21"/>
      <c r="F1828" s="21"/>
      <c r="G1828" s="21"/>
      <c r="H1828" s="21"/>
      <c r="I1828" s="21"/>
      <c r="J1828" s="45"/>
      <c r="K1828" s="45"/>
      <c r="L1828" s="45"/>
      <c r="M1828" s="45"/>
      <c r="N1828" s="45"/>
      <c r="O1828" s="21"/>
      <c r="P1828" s="21"/>
      <c r="Q1828" s="21"/>
      <c r="R1828" s="25" t="str">
        <f t="shared" si="28"/>
        <v/>
      </c>
    </row>
    <row r="1829" spans="1:18">
      <c r="A1829" s="28"/>
      <c r="B1829" s="48"/>
      <c r="C1829" s="48"/>
      <c r="D1829" s="21"/>
      <c r="E1829" s="21"/>
      <c r="F1829" s="21"/>
      <c r="G1829" s="21"/>
      <c r="H1829" s="21"/>
      <c r="I1829" s="21"/>
      <c r="J1829" s="45"/>
      <c r="K1829" s="45"/>
      <c r="L1829" s="45"/>
      <c r="M1829" s="45"/>
      <c r="N1829" s="45"/>
      <c r="O1829" s="21"/>
      <c r="P1829" s="21"/>
      <c r="Q1829" s="21"/>
      <c r="R1829" s="25" t="str">
        <f t="shared" si="28"/>
        <v/>
      </c>
    </row>
    <row r="1830" spans="1:18">
      <c r="A1830" s="28"/>
      <c r="B1830" s="48"/>
      <c r="C1830" s="48"/>
      <c r="D1830" s="21"/>
      <c r="E1830" s="21"/>
      <c r="F1830" s="21"/>
      <c r="G1830" s="21"/>
      <c r="H1830" s="21"/>
      <c r="I1830" s="21"/>
      <c r="J1830" s="45"/>
      <c r="K1830" s="45"/>
      <c r="L1830" s="45"/>
      <c r="M1830" s="45"/>
      <c r="N1830" s="45"/>
      <c r="O1830" s="21"/>
      <c r="P1830" s="21"/>
      <c r="Q1830" s="21"/>
      <c r="R1830" s="25" t="str">
        <f t="shared" si="28"/>
        <v/>
      </c>
    </row>
    <row r="1831" spans="1:18">
      <c r="A1831" s="28"/>
      <c r="B1831" s="48"/>
      <c r="C1831" s="48"/>
      <c r="D1831" s="21"/>
      <c r="E1831" s="21"/>
      <c r="F1831" s="21"/>
      <c r="G1831" s="21"/>
      <c r="H1831" s="21"/>
      <c r="I1831" s="21"/>
      <c r="J1831" s="45"/>
      <c r="K1831" s="45"/>
      <c r="L1831" s="45"/>
      <c r="M1831" s="45"/>
      <c r="N1831" s="45"/>
      <c r="O1831" s="21"/>
      <c r="P1831" s="21"/>
      <c r="Q1831" s="21"/>
      <c r="R1831" s="25" t="str">
        <f t="shared" si="28"/>
        <v/>
      </c>
    </row>
    <row r="1832" spans="1:18">
      <c r="A1832" s="28"/>
      <c r="B1832" s="48"/>
      <c r="C1832" s="48"/>
      <c r="D1832" s="21"/>
      <c r="E1832" s="21"/>
      <c r="F1832" s="21"/>
      <c r="G1832" s="21"/>
      <c r="H1832" s="21"/>
      <c r="I1832" s="21"/>
      <c r="J1832" s="45"/>
      <c r="K1832" s="45"/>
      <c r="L1832" s="45"/>
      <c r="M1832" s="45"/>
      <c r="N1832" s="45"/>
      <c r="O1832" s="21"/>
      <c r="P1832" s="21"/>
      <c r="Q1832" s="21"/>
      <c r="R1832" s="25" t="str">
        <f t="shared" si="28"/>
        <v/>
      </c>
    </row>
    <row r="1833" spans="1:18">
      <c r="A1833" s="28"/>
      <c r="B1833" s="48"/>
      <c r="C1833" s="48"/>
      <c r="D1833" s="21"/>
      <c r="E1833" s="21"/>
      <c r="F1833" s="21"/>
      <c r="G1833" s="21"/>
      <c r="H1833" s="21"/>
      <c r="I1833" s="21"/>
      <c r="J1833" s="45"/>
      <c r="K1833" s="45"/>
      <c r="L1833" s="45"/>
      <c r="M1833" s="45"/>
      <c r="N1833" s="45"/>
      <c r="O1833" s="21"/>
      <c r="P1833" s="21"/>
      <c r="Q1833" s="21"/>
      <c r="R1833" s="25" t="str">
        <f t="shared" si="28"/>
        <v/>
      </c>
    </row>
    <row r="1834" spans="1:18">
      <c r="A1834" s="28"/>
      <c r="B1834" s="48"/>
      <c r="C1834" s="48"/>
      <c r="D1834" s="21"/>
      <c r="E1834" s="21"/>
      <c r="F1834" s="21"/>
      <c r="G1834" s="21"/>
      <c r="H1834" s="21"/>
      <c r="I1834" s="21"/>
      <c r="J1834" s="45"/>
      <c r="K1834" s="45"/>
      <c r="L1834" s="45"/>
      <c r="M1834" s="45"/>
      <c r="N1834" s="45"/>
      <c r="O1834" s="21"/>
      <c r="P1834" s="21"/>
      <c r="Q1834" s="21"/>
      <c r="R1834" s="25" t="str">
        <f t="shared" si="28"/>
        <v/>
      </c>
    </row>
    <row r="1835" spans="1:18">
      <c r="A1835" s="28"/>
      <c r="B1835" s="48"/>
      <c r="C1835" s="48"/>
      <c r="D1835" s="21"/>
      <c r="E1835" s="21"/>
      <c r="F1835" s="21"/>
      <c r="G1835" s="21"/>
      <c r="H1835" s="21"/>
      <c r="I1835" s="21"/>
      <c r="J1835" s="45"/>
      <c r="K1835" s="45"/>
      <c r="L1835" s="45"/>
      <c r="M1835" s="45"/>
      <c r="N1835" s="45"/>
      <c r="O1835" s="21"/>
      <c r="P1835" s="21"/>
      <c r="Q1835" s="21"/>
      <c r="R1835" s="25" t="str">
        <f t="shared" si="28"/>
        <v/>
      </c>
    </row>
    <row r="1836" spans="1:18">
      <c r="A1836" s="28"/>
      <c r="B1836" s="48"/>
      <c r="C1836" s="48"/>
      <c r="D1836" s="21"/>
      <c r="E1836" s="21"/>
      <c r="F1836" s="21"/>
      <c r="G1836" s="21"/>
      <c r="H1836" s="21"/>
      <c r="I1836" s="21"/>
      <c r="J1836" s="45"/>
      <c r="K1836" s="45"/>
      <c r="L1836" s="45"/>
      <c r="M1836" s="45"/>
      <c r="N1836" s="45"/>
      <c r="O1836" s="21"/>
      <c r="P1836" s="21"/>
      <c r="Q1836" s="21"/>
      <c r="R1836" s="25" t="str">
        <f t="shared" si="28"/>
        <v/>
      </c>
    </row>
    <row r="1837" spans="1:18">
      <c r="A1837" s="28"/>
      <c r="B1837" s="48"/>
      <c r="C1837" s="48"/>
      <c r="D1837" s="21"/>
      <c r="E1837" s="21"/>
      <c r="F1837" s="21"/>
      <c r="G1837" s="21"/>
      <c r="H1837" s="21"/>
      <c r="I1837" s="21"/>
      <c r="J1837" s="45"/>
      <c r="K1837" s="45"/>
      <c r="L1837" s="45"/>
      <c r="M1837" s="45"/>
      <c r="N1837" s="45"/>
      <c r="O1837" s="21"/>
      <c r="P1837" s="21"/>
      <c r="Q1837" s="21"/>
      <c r="R1837" s="25" t="str">
        <f t="shared" si="28"/>
        <v/>
      </c>
    </row>
    <row r="1838" spans="1:18">
      <c r="A1838" s="28"/>
      <c r="B1838" s="48"/>
      <c r="C1838" s="48"/>
      <c r="D1838" s="21"/>
      <c r="E1838" s="21"/>
      <c r="F1838" s="21"/>
      <c r="G1838" s="21"/>
      <c r="H1838" s="21"/>
      <c r="I1838" s="21"/>
      <c r="J1838" s="45"/>
      <c r="K1838" s="45"/>
      <c r="L1838" s="45"/>
      <c r="M1838" s="45"/>
      <c r="N1838" s="45"/>
      <c r="O1838" s="21"/>
      <c r="P1838" s="21"/>
      <c r="Q1838" s="21"/>
      <c r="R1838" s="25" t="str">
        <f t="shared" si="28"/>
        <v/>
      </c>
    </row>
    <row r="1839" spans="1:18">
      <c r="A1839" s="28"/>
      <c r="B1839" s="48"/>
      <c r="C1839" s="48"/>
      <c r="D1839" s="21"/>
      <c r="E1839" s="21"/>
      <c r="F1839" s="21"/>
      <c r="G1839" s="21"/>
      <c r="H1839" s="21"/>
      <c r="I1839" s="21"/>
      <c r="J1839" s="45"/>
      <c r="K1839" s="45"/>
      <c r="L1839" s="45"/>
      <c r="M1839" s="45"/>
      <c r="N1839" s="45"/>
      <c r="O1839" s="21"/>
      <c r="P1839" s="21"/>
      <c r="Q1839" s="21"/>
      <c r="R1839" s="25" t="str">
        <f t="shared" si="28"/>
        <v/>
      </c>
    </row>
    <row r="1840" spans="1:18">
      <c r="A1840" s="28"/>
      <c r="B1840" s="48"/>
      <c r="C1840" s="48"/>
      <c r="D1840" s="21"/>
      <c r="E1840" s="21"/>
      <c r="F1840" s="21"/>
      <c r="G1840" s="21"/>
      <c r="H1840" s="21"/>
      <c r="I1840" s="21"/>
      <c r="J1840" s="45"/>
      <c r="K1840" s="45"/>
      <c r="L1840" s="45"/>
      <c r="M1840" s="45"/>
      <c r="N1840" s="45"/>
      <c r="O1840" s="21"/>
      <c r="P1840" s="21"/>
      <c r="Q1840" s="21"/>
      <c r="R1840" s="25" t="str">
        <f t="shared" si="28"/>
        <v/>
      </c>
    </row>
    <row r="1841" spans="1:18">
      <c r="A1841" s="28"/>
      <c r="B1841" s="48"/>
      <c r="C1841" s="48"/>
      <c r="D1841" s="21"/>
      <c r="E1841" s="21"/>
      <c r="F1841" s="21"/>
      <c r="G1841" s="21"/>
      <c r="H1841" s="21"/>
      <c r="I1841" s="21"/>
      <c r="J1841" s="45"/>
      <c r="K1841" s="45"/>
      <c r="L1841" s="45"/>
      <c r="M1841" s="45"/>
      <c r="N1841" s="45"/>
      <c r="O1841" s="21"/>
      <c r="P1841" s="21"/>
      <c r="Q1841" s="21"/>
      <c r="R1841" s="25" t="str">
        <f t="shared" si="28"/>
        <v/>
      </c>
    </row>
    <row r="1842" spans="1:18">
      <c r="A1842" s="28"/>
      <c r="B1842" s="48"/>
      <c r="C1842" s="48"/>
      <c r="D1842" s="21"/>
      <c r="E1842" s="21"/>
      <c r="F1842" s="21"/>
      <c r="G1842" s="21"/>
      <c r="H1842" s="21"/>
      <c r="I1842" s="21"/>
      <c r="J1842" s="45"/>
      <c r="K1842" s="45"/>
      <c r="L1842" s="45"/>
      <c r="M1842" s="45"/>
      <c r="N1842" s="45"/>
      <c r="O1842" s="21"/>
      <c r="P1842" s="21"/>
      <c r="Q1842" s="21"/>
      <c r="R1842" s="25" t="str">
        <f t="shared" si="28"/>
        <v/>
      </c>
    </row>
    <row r="1843" spans="1:18">
      <c r="A1843" s="28"/>
      <c r="B1843" s="48"/>
      <c r="C1843" s="48"/>
      <c r="D1843" s="21"/>
      <c r="E1843" s="21"/>
      <c r="F1843" s="21"/>
      <c r="G1843" s="21"/>
      <c r="H1843" s="21"/>
      <c r="I1843" s="21"/>
      <c r="J1843" s="45"/>
      <c r="K1843" s="45"/>
      <c r="L1843" s="45"/>
      <c r="M1843" s="45"/>
      <c r="N1843" s="45"/>
      <c r="O1843" s="21"/>
      <c r="P1843" s="21"/>
      <c r="Q1843" s="21"/>
      <c r="R1843" s="25" t="str">
        <f t="shared" ref="R1843:R1906" si="29">IF(COUNTIF($A$17:$A$2010,$A1843)&gt;1,"Possible Duplicate","")</f>
        <v/>
      </c>
    </row>
    <row r="1844" spans="1:18">
      <c r="A1844" s="28"/>
      <c r="B1844" s="48"/>
      <c r="C1844" s="48"/>
      <c r="D1844" s="21"/>
      <c r="E1844" s="21"/>
      <c r="F1844" s="21"/>
      <c r="G1844" s="21"/>
      <c r="H1844" s="21"/>
      <c r="I1844" s="21"/>
      <c r="J1844" s="45"/>
      <c r="K1844" s="45"/>
      <c r="L1844" s="45"/>
      <c r="M1844" s="45"/>
      <c r="N1844" s="45"/>
      <c r="O1844" s="21"/>
      <c r="P1844" s="21"/>
      <c r="Q1844" s="21"/>
      <c r="R1844" s="25" t="str">
        <f t="shared" si="29"/>
        <v/>
      </c>
    </row>
    <row r="1845" spans="1:18">
      <c r="A1845" s="28"/>
      <c r="B1845" s="48"/>
      <c r="C1845" s="48"/>
      <c r="D1845" s="21"/>
      <c r="E1845" s="21"/>
      <c r="F1845" s="21"/>
      <c r="G1845" s="21"/>
      <c r="H1845" s="21"/>
      <c r="I1845" s="21"/>
      <c r="J1845" s="45"/>
      <c r="K1845" s="45"/>
      <c r="L1845" s="45"/>
      <c r="M1845" s="45"/>
      <c r="N1845" s="45"/>
      <c r="O1845" s="21"/>
      <c r="P1845" s="21"/>
      <c r="Q1845" s="21"/>
      <c r="R1845" s="25" t="str">
        <f t="shared" si="29"/>
        <v/>
      </c>
    </row>
    <row r="1846" spans="1:18">
      <c r="A1846" s="28"/>
      <c r="B1846" s="48"/>
      <c r="C1846" s="48"/>
      <c r="D1846" s="21"/>
      <c r="E1846" s="21"/>
      <c r="F1846" s="21"/>
      <c r="G1846" s="21"/>
      <c r="H1846" s="21"/>
      <c r="I1846" s="21"/>
      <c r="J1846" s="45"/>
      <c r="K1846" s="45"/>
      <c r="L1846" s="45"/>
      <c r="M1846" s="45"/>
      <c r="N1846" s="45"/>
      <c r="O1846" s="21"/>
      <c r="P1846" s="21"/>
      <c r="Q1846" s="21"/>
      <c r="R1846" s="25" t="str">
        <f t="shared" si="29"/>
        <v/>
      </c>
    </row>
    <row r="1847" spans="1:18">
      <c r="A1847" s="28"/>
      <c r="B1847" s="48"/>
      <c r="C1847" s="48"/>
      <c r="D1847" s="21"/>
      <c r="E1847" s="21"/>
      <c r="F1847" s="21"/>
      <c r="G1847" s="21"/>
      <c r="H1847" s="21"/>
      <c r="I1847" s="21"/>
      <c r="J1847" s="45"/>
      <c r="K1847" s="45"/>
      <c r="L1847" s="45"/>
      <c r="M1847" s="45"/>
      <c r="N1847" s="45"/>
      <c r="O1847" s="21"/>
      <c r="P1847" s="21"/>
      <c r="Q1847" s="21"/>
      <c r="R1847" s="25" t="str">
        <f t="shared" si="29"/>
        <v/>
      </c>
    </row>
    <row r="1848" spans="1:18">
      <c r="A1848" s="28"/>
      <c r="B1848" s="48"/>
      <c r="C1848" s="48"/>
      <c r="D1848" s="21"/>
      <c r="E1848" s="21"/>
      <c r="F1848" s="21"/>
      <c r="G1848" s="21"/>
      <c r="H1848" s="21"/>
      <c r="I1848" s="21"/>
      <c r="J1848" s="45"/>
      <c r="K1848" s="45"/>
      <c r="L1848" s="45"/>
      <c r="M1848" s="45"/>
      <c r="N1848" s="45"/>
      <c r="O1848" s="21"/>
      <c r="P1848" s="21"/>
      <c r="Q1848" s="21"/>
      <c r="R1848" s="25" t="str">
        <f t="shared" si="29"/>
        <v/>
      </c>
    </row>
    <row r="1849" spans="1:18">
      <c r="A1849" s="28"/>
      <c r="B1849" s="48"/>
      <c r="C1849" s="48"/>
      <c r="D1849" s="21"/>
      <c r="E1849" s="21"/>
      <c r="F1849" s="21"/>
      <c r="G1849" s="21"/>
      <c r="H1849" s="21"/>
      <c r="I1849" s="21"/>
      <c r="J1849" s="45"/>
      <c r="K1849" s="45"/>
      <c r="L1849" s="45"/>
      <c r="M1849" s="45"/>
      <c r="N1849" s="45"/>
      <c r="O1849" s="21"/>
      <c r="P1849" s="21"/>
      <c r="Q1849" s="21"/>
      <c r="R1849" s="25" t="str">
        <f t="shared" si="29"/>
        <v/>
      </c>
    </row>
    <row r="1850" spans="1:18">
      <c r="A1850" s="28"/>
      <c r="B1850" s="48"/>
      <c r="C1850" s="48"/>
      <c r="D1850" s="21"/>
      <c r="E1850" s="21"/>
      <c r="F1850" s="21"/>
      <c r="G1850" s="21"/>
      <c r="H1850" s="21"/>
      <c r="I1850" s="21"/>
      <c r="J1850" s="45"/>
      <c r="K1850" s="45"/>
      <c r="L1850" s="45"/>
      <c r="M1850" s="45"/>
      <c r="N1850" s="45"/>
      <c r="O1850" s="21"/>
      <c r="P1850" s="21"/>
      <c r="Q1850" s="21"/>
      <c r="R1850" s="25" t="str">
        <f t="shared" si="29"/>
        <v/>
      </c>
    </row>
    <row r="1851" spans="1:18">
      <c r="A1851" s="28"/>
      <c r="B1851" s="48"/>
      <c r="C1851" s="48"/>
      <c r="D1851" s="21"/>
      <c r="E1851" s="21"/>
      <c r="F1851" s="21"/>
      <c r="G1851" s="21"/>
      <c r="H1851" s="21"/>
      <c r="I1851" s="21"/>
      <c r="J1851" s="45"/>
      <c r="K1851" s="45"/>
      <c r="L1851" s="45"/>
      <c r="M1851" s="45"/>
      <c r="N1851" s="45"/>
      <c r="O1851" s="21"/>
      <c r="P1851" s="21"/>
      <c r="Q1851" s="21"/>
      <c r="R1851" s="25" t="str">
        <f t="shared" si="29"/>
        <v/>
      </c>
    </row>
    <row r="1852" spans="1:18">
      <c r="A1852" s="28"/>
      <c r="B1852" s="48"/>
      <c r="C1852" s="48"/>
      <c r="D1852" s="21"/>
      <c r="E1852" s="21"/>
      <c r="F1852" s="21"/>
      <c r="G1852" s="21"/>
      <c r="H1852" s="21"/>
      <c r="I1852" s="21"/>
      <c r="J1852" s="45"/>
      <c r="K1852" s="45"/>
      <c r="L1852" s="45"/>
      <c r="M1852" s="45"/>
      <c r="N1852" s="45"/>
      <c r="O1852" s="21"/>
      <c r="P1852" s="21"/>
      <c r="Q1852" s="21"/>
      <c r="R1852" s="25" t="str">
        <f t="shared" si="29"/>
        <v/>
      </c>
    </row>
    <row r="1853" spans="1:18">
      <c r="A1853" s="28"/>
      <c r="B1853" s="48"/>
      <c r="C1853" s="48"/>
      <c r="D1853" s="21"/>
      <c r="E1853" s="21"/>
      <c r="F1853" s="21"/>
      <c r="G1853" s="21"/>
      <c r="H1853" s="21"/>
      <c r="I1853" s="21"/>
      <c r="J1853" s="45"/>
      <c r="K1853" s="45"/>
      <c r="L1853" s="45"/>
      <c r="M1853" s="45"/>
      <c r="N1853" s="45"/>
      <c r="O1853" s="21"/>
      <c r="P1853" s="21"/>
      <c r="Q1853" s="21"/>
      <c r="R1853" s="25" t="str">
        <f t="shared" si="29"/>
        <v/>
      </c>
    </row>
    <row r="1854" spans="1:18">
      <c r="A1854" s="28"/>
      <c r="B1854" s="48"/>
      <c r="C1854" s="48"/>
      <c r="D1854" s="21"/>
      <c r="E1854" s="21"/>
      <c r="F1854" s="21"/>
      <c r="G1854" s="21"/>
      <c r="H1854" s="21"/>
      <c r="I1854" s="21"/>
      <c r="J1854" s="45"/>
      <c r="K1854" s="45"/>
      <c r="L1854" s="45"/>
      <c r="M1854" s="45"/>
      <c r="N1854" s="45"/>
      <c r="O1854" s="21"/>
      <c r="P1854" s="21"/>
      <c r="Q1854" s="21"/>
      <c r="R1854" s="25" t="str">
        <f t="shared" si="29"/>
        <v/>
      </c>
    </row>
    <row r="1855" spans="1:18">
      <c r="A1855" s="28"/>
      <c r="B1855" s="48"/>
      <c r="C1855" s="48"/>
      <c r="D1855" s="21"/>
      <c r="E1855" s="21"/>
      <c r="F1855" s="21"/>
      <c r="G1855" s="21"/>
      <c r="H1855" s="21"/>
      <c r="I1855" s="21"/>
      <c r="J1855" s="45"/>
      <c r="K1855" s="45"/>
      <c r="L1855" s="45"/>
      <c r="M1855" s="45"/>
      <c r="N1855" s="45"/>
      <c r="O1855" s="21"/>
      <c r="P1855" s="21"/>
      <c r="Q1855" s="21"/>
      <c r="R1855" s="25" t="str">
        <f t="shared" si="29"/>
        <v/>
      </c>
    </row>
    <row r="1856" spans="1:18">
      <c r="A1856" s="28"/>
      <c r="B1856" s="48"/>
      <c r="C1856" s="48"/>
      <c r="D1856" s="21"/>
      <c r="E1856" s="21"/>
      <c r="F1856" s="21"/>
      <c r="G1856" s="21"/>
      <c r="H1856" s="21"/>
      <c r="I1856" s="21"/>
      <c r="J1856" s="45"/>
      <c r="K1856" s="45"/>
      <c r="L1856" s="45"/>
      <c r="M1856" s="45"/>
      <c r="N1856" s="45"/>
      <c r="O1856" s="21"/>
      <c r="P1856" s="21"/>
      <c r="Q1856" s="21"/>
      <c r="R1856" s="25" t="str">
        <f t="shared" si="29"/>
        <v/>
      </c>
    </row>
    <row r="1857" spans="1:18">
      <c r="A1857" s="28"/>
      <c r="B1857" s="48"/>
      <c r="C1857" s="48"/>
      <c r="D1857" s="21"/>
      <c r="E1857" s="21"/>
      <c r="F1857" s="21"/>
      <c r="G1857" s="21"/>
      <c r="H1857" s="21"/>
      <c r="I1857" s="21"/>
      <c r="J1857" s="45"/>
      <c r="K1857" s="45"/>
      <c r="L1857" s="45"/>
      <c r="M1857" s="45"/>
      <c r="N1857" s="45"/>
      <c r="O1857" s="21"/>
      <c r="P1857" s="21"/>
      <c r="Q1857" s="21"/>
      <c r="R1857" s="25" t="str">
        <f t="shared" si="29"/>
        <v/>
      </c>
    </row>
    <row r="1858" spans="1:18">
      <c r="A1858" s="28"/>
      <c r="B1858" s="48"/>
      <c r="C1858" s="48"/>
      <c r="D1858" s="21"/>
      <c r="E1858" s="21"/>
      <c r="F1858" s="21"/>
      <c r="G1858" s="21"/>
      <c r="H1858" s="21"/>
      <c r="I1858" s="21"/>
      <c r="J1858" s="45"/>
      <c r="K1858" s="45"/>
      <c r="L1858" s="45"/>
      <c r="M1858" s="45"/>
      <c r="N1858" s="45"/>
      <c r="O1858" s="21"/>
      <c r="P1858" s="21"/>
      <c r="Q1858" s="21"/>
      <c r="R1858" s="25" t="str">
        <f t="shared" si="29"/>
        <v/>
      </c>
    </row>
    <row r="1859" spans="1:18">
      <c r="A1859" s="28"/>
      <c r="B1859" s="48"/>
      <c r="C1859" s="48"/>
      <c r="D1859" s="21"/>
      <c r="E1859" s="21"/>
      <c r="F1859" s="21"/>
      <c r="G1859" s="21"/>
      <c r="H1859" s="21"/>
      <c r="I1859" s="21"/>
      <c r="J1859" s="45"/>
      <c r="K1859" s="45"/>
      <c r="L1859" s="45"/>
      <c r="M1859" s="45"/>
      <c r="N1859" s="45"/>
      <c r="O1859" s="21"/>
      <c r="P1859" s="21"/>
      <c r="Q1859" s="21"/>
      <c r="R1859" s="25" t="str">
        <f t="shared" si="29"/>
        <v/>
      </c>
    </row>
    <row r="1860" spans="1:18">
      <c r="A1860" s="28"/>
      <c r="B1860" s="48"/>
      <c r="C1860" s="48"/>
      <c r="D1860" s="21"/>
      <c r="E1860" s="21"/>
      <c r="F1860" s="21"/>
      <c r="G1860" s="21"/>
      <c r="H1860" s="21"/>
      <c r="I1860" s="21"/>
      <c r="J1860" s="45"/>
      <c r="K1860" s="45"/>
      <c r="L1860" s="45"/>
      <c r="M1860" s="45"/>
      <c r="N1860" s="45"/>
      <c r="O1860" s="21"/>
      <c r="P1860" s="21"/>
      <c r="Q1860" s="21"/>
      <c r="R1860" s="25" t="str">
        <f t="shared" si="29"/>
        <v/>
      </c>
    </row>
    <row r="1861" spans="1:18">
      <c r="A1861" s="28"/>
      <c r="B1861" s="48"/>
      <c r="C1861" s="48"/>
      <c r="D1861" s="21"/>
      <c r="E1861" s="21"/>
      <c r="F1861" s="21"/>
      <c r="G1861" s="21"/>
      <c r="H1861" s="21"/>
      <c r="I1861" s="21"/>
      <c r="J1861" s="45"/>
      <c r="K1861" s="45"/>
      <c r="L1861" s="45"/>
      <c r="M1861" s="45"/>
      <c r="N1861" s="45"/>
      <c r="O1861" s="21"/>
      <c r="P1861" s="21"/>
      <c r="Q1861" s="21"/>
      <c r="R1861" s="25" t="str">
        <f t="shared" si="29"/>
        <v/>
      </c>
    </row>
    <row r="1862" spans="1:18">
      <c r="A1862" s="28"/>
      <c r="B1862" s="48"/>
      <c r="C1862" s="48"/>
      <c r="D1862" s="21"/>
      <c r="E1862" s="21"/>
      <c r="F1862" s="21"/>
      <c r="G1862" s="21"/>
      <c r="H1862" s="21"/>
      <c r="I1862" s="21"/>
      <c r="J1862" s="45"/>
      <c r="K1862" s="45"/>
      <c r="L1862" s="45"/>
      <c r="M1862" s="45"/>
      <c r="N1862" s="45"/>
      <c r="O1862" s="21"/>
      <c r="P1862" s="21"/>
      <c r="Q1862" s="21"/>
      <c r="R1862" s="25" t="str">
        <f t="shared" si="29"/>
        <v/>
      </c>
    </row>
    <row r="1863" spans="1:18">
      <c r="A1863" s="28"/>
      <c r="B1863" s="48"/>
      <c r="C1863" s="48"/>
      <c r="D1863" s="21"/>
      <c r="E1863" s="21"/>
      <c r="F1863" s="21"/>
      <c r="G1863" s="21"/>
      <c r="H1863" s="21"/>
      <c r="I1863" s="21"/>
      <c r="J1863" s="45"/>
      <c r="K1863" s="45"/>
      <c r="L1863" s="45"/>
      <c r="M1863" s="45"/>
      <c r="N1863" s="45"/>
      <c r="O1863" s="21"/>
      <c r="P1863" s="21"/>
      <c r="Q1863" s="21"/>
      <c r="R1863" s="25" t="str">
        <f t="shared" si="29"/>
        <v/>
      </c>
    </row>
    <row r="1864" spans="1:18">
      <c r="A1864" s="28"/>
      <c r="B1864" s="48"/>
      <c r="C1864" s="48"/>
      <c r="D1864" s="21"/>
      <c r="E1864" s="21"/>
      <c r="F1864" s="21"/>
      <c r="G1864" s="21"/>
      <c r="H1864" s="21"/>
      <c r="I1864" s="21"/>
      <c r="J1864" s="45"/>
      <c r="K1864" s="45"/>
      <c r="L1864" s="45"/>
      <c r="M1864" s="45"/>
      <c r="N1864" s="45"/>
      <c r="O1864" s="21"/>
      <c r="P1864" s="21"/>
      <c r="Q1864" s="21"/>
      <c r="R1864" s="25" t="str">
        <f t="shared" si="29"/>
        <v/>
      </c>
    </row>
    <row r="1865" spans="1:18">
      <c r="A1865" s="28"/>
      <c r="B1865" s="48"/>
      <c r="C1865" s="48"/>
      <c r="D1865" s="21"/>
      <c r="E1865" s="21"/>
      <c r="F1865" s="21"/>
      <c r="G1865" s="21"/>
      <c r="H1865" s="21"/>
      <c r="I1865" s="21"/>
      <c r="J1865" s="45"/>
      <c r="K1865" s="45"/>
      <c r="L1865" s="45"/>
      <c r="M1865" s="45"/>
      <c r="N1865" s="45"/>
      <c r="O1865" s="21"/>
      <c r="P1865" s="21"/>
      <c r="Q1865" s="21"/>
      <c r="R1865" s="25" t="str">
        <f t="shared" si="29"/>
        <v/>
      </c>
    </row>
    <row r="1866" spans="1:18">
      <c r="A1866" s="28"/>
      <c r="B1866" s="48"/>
      <c r="C1866" s="48"/>
      <c r="D1866" s="21"/>
      <c r="E1866" s="21"/>
      <c r="F1866" s="21"/>
      <c r="G1866" s="21"/>
      <c r="H1866" s="21"/>
      <c r="I1866" s="21"/>
      <c r="J1866" s="45"/>
      <c r="K1866" s="45"/>
      <c r="L1866" s="45"/>
      <c r="M1866" s="45"/>
      <c r="N1866" s="45"/>
      <c r="O1866" s="21"/>
      <c r="P1866" s="21"/>
      <c r="Q1866" s="21"/>
      <c r="R1866" s="25" t="str">
        <f t="shared" si="29"/>
        <v/>
      </c>
    </row>
    <row r="1867" spans="1:18">
      <c r="A1867" s="28"/>
      <c r="B1867" s="48"/>
      <c r="C1867" s="48"/>
      <c r="D1867" s="21"/>
      <c r="E1867" s="21"/>
      <c r="F1867" s="21"/>
      <c r="G1867" s="21"/>
      <c r="H1867" s="21"/>
      <c r="I1867" s="21"/>
      <c r="J1867" s="45"/>
      <c r="K1867" s="45"/>
      <c r="L1867" s="45"/>
      <c r="M1867" s="45"/>
      <c r="N1867" s="45"/>
      <c r="O1867" s="21"/>
      <c r="P1867" s="21"/>
      <c r="Q1867" s="21"/>
      <c r="R1867" s="25" t="str">
        <f t="shared" si="29"/>
        <v/>
      </c>
    </row>
    <row r="1868" spans="1:18">
      <c r="A1868" s="28"/>
      <c r="B1868" s="48"/>
      <c r="C1868" s="48"/>
      <c r="D1868" s="21"/>
      <c r="E1868" s="21"/>
      <c r="F1868" s="21"/>
      <c r="G1868" s="21"/>
      <c r="H1868" s="21"/>
      <c r="I1868" s="21"/>
      <c r="J1868" s="45"/>
      <c r="K1868" s="45"/>
      <c r="L1868" s="45"/>
      <c r="M1868" s="45"/>
      <c r="N1868" s="45"/>
      <c r="O1868" s="21"/>
      <c r="P1868" s="21"/>
      <c r="Q1868" s="21"/>
      <c r="R1868" s="25" t="str">
        <f t="shared" si="29"/>
        <v/>
      </c>
    </row>
    <row r="1869" spans="1:18">
      <c r="A1869" s="28"/>
      <c r="B1869" s="48"/>
      <c r="C1869" s="48"/>
      <c r="D1869" s="21"/>
      <c r="E1869" s="21"/>
      <c r="F1869" s="21"/>
      <c r="G1869" s="21"/>
      <c r="H1869" s="21"/>
      <c r="I1869" s="21"/>
      <c r="J1869" s="45"/>
      <c r="K1869" s="45"/>
      <c r="L1869" s="45"/>
      <c r="M1869" s="45"/>
      <c r="N1869" s="45"/>
      <c r="O1869" s="21"/>
      <c r="P1869" s="21"/>
      <c r="Q1869" s="21"/>
      <c r="R1869" s="25" t="str">
        <f t="shared" si="29"/>
        <v/>
      </c>
    </row>
    <row r="1870" spans="1:18">
      <c r="A1870" s="28"/>
      <c r="B1870" s="48"/>
      <c r="C1870" s="48"/>
      <c r="D1870" s="21"/>
      <c r="E1870" s="21"/>
      <c r="F1870" s="21"/>
      <c r="G1870" s="21"/>
      <c r="H1870" s="21"/>
      <c r="I1870" s="21"/>
      <c r="J1870" s="45"/>
      <c r="K1870" s="45"/>
      <c r="L1870" s="45"/>
      <c r="M1870" s="45"/>
      <c r="N1870" s="45"/>
      <c r="O1870" s="21"/>
      <c r="P1870" s="21"/>
      <c r="Q1870" s="21"/>
      <c r="R1870" s="25" t="str">
        <f t="shared" si="29"/>
        <v/>
      </c>
    </row>
    <row r="1871" spans="1:18">
      <c r="A1871" s="28"/>
      <c r="B1871" s="48"/>
      <c r="C1871" s="48"/>
      <c r="D1871" s="21"/>
      <c r="E1871" s="21"/>
      <c r="F1871" s="21"/>
      <c r="G1871" s="21"/>
      <c r="H1871" s="21"/>
      <c r="I1871" s="21"/>
      <c r="J1871" s="45"/>
      <c r="K1871" s="45"/>
      <c r="L1871" s="45"/>
      <c r="M1871" s="45"/>
      <c r="N1871" s="45"/>
      <c r="O1871" s="21"/>
      <c r="P1871" s="21"/>
      <c r="Q1871" s="21"/>
      <c r="R1871" s="25" t="str">
        <f t="shared" si="29"/>
        <v/>
      </c>
    </row>
    <row r="1872" spans="1:18">
      <c r="A1872" s="28"/>
      <c r="B1872" s="48"/>
      <c r="C1872" s="48"/>
      <c r="D1872" s="21"/>
      <c r="E1872" s="21"/>
      <c r="F1872" s="21"/>
      <c r="G1872" s="21"/>
      <c r="H1872" s="21"/>
      <c r="I1872" s="21"/>
      <c r="J1872" s="45"/>
      <c r="K1872" s="45"/>
      <c r="L1872" s="45"/>
      <c r="M1872" s="45"/>
      <c r="N1872" s="45"/>
      <c r="O1872" s="21"/>
      <c r="P1872" s="21"/>
      <c r="Q1872" s="21"/>
      <c r="R1872" s="25" t="str">
        <f t="shared" si="29"/>
        <v/>
      </c>
    </row>
    <row r="1873" spans="1:18">
      <c r="A1873" s="28"/>
      <c r="B1873" s="48"/>
      <c r="C1873" s="48"/>
      <c r="D1873" s="21"/>
      <c r="E1873" s="21"/>
      <c r="F1873" s="21"/>
      <c r="G1873" s="21"/>
      <c r="H1873" s="21"/>
      <c r="I1873" s="21"/>
      <c r="J1873" s="45"/>
      <c r="K1873" s="45"/>
      <c r="L1873" s="45"/>
      <c r="M1873" s="45"/>
      <c r="N1873" s="45"/>
      <c r="O1873" s="21"/>
      <c r="P1873" s="21"/>
      <c r="Q1873" s="21"/>
      <c r="R1873" s="25" t="str">
        <f t="shared" si="29"/>
        <v/>
      </c>
    </row>
    <row r="1874" spans="1:18">
      <c r="A1874" s="28"/>
      <c r="B1874" s="48"/>
      <c r="C1874" s="48"/>
      <c r="D1874" s="21"/>
      <c r="E1874" s="21"/>
      <c r="F1874" s="21"/>
      <c r="G1874" s="21"/>
      <c r="H1874" s="21"/>
      <c r="I1874" s="21"/>
      <c r="J1874" s="45"/>
      <c r="K1874" s="45"/>
      <c r="L1874" s="45"/>
      <c r="M1874" s="45"/>
      <c r="N1874" s="45"/>
      <c r="O1874" s="21"/>
      <c r="P1874" s="21"/>
      <c r="Q1874" s="21"/>
      <c r="R1874" s="25" t="str">
        <f t="shared" si="29"/>
        <v/>
      </c>
    </row>
    <row r="1875" spans="1:18">
      <c r="A1875" s="28"/>
      <c r="B1875" s="48"/>
      <c r="C1875" s="48"/>
      <c r="D1875" s="21"/>
      <c r="E1875" s="21"/>
      <c r="F1875" s="21"/>
      <c r="G1875" s="21"/>
      <c r="H1875" s="21"/>
      <c r="I1875" s="21"/>
      <c r="J1875" s="45"/>
      <c r="K1875" s="45"/>
      <c r="L1875" s="45"/>
      <c r="M1875" s="45"/>
      <c r="N1875" s="45"/>
      <c r="O1875" s="21"/>
      <c r="P1875" s="21"/>
      <c r="Q1875" s="21"/>
      <c r="R1875" s="25" t="str">
        <f t="shared" si="29"/>
        <v/>
      </c>
    </row>
    <row r="1876" spans="1:18">
      <c r="A1876" s="28"/>
      <c r="B1876" s="48"/>
      <c r="C1876" s="48"/>
      <c r="D1876" s="21"/>
      <c r="E1876" s="21"/>
      <c r="F1876" s="21"/>
      <c r="G1876" s="21"/>
      <c r="H1876" s="21"/>
      <c r="I1876" s="21"/>
      <c r="J1876" s="45"/>
      <c r="K1876" s="45"/>
      <c r="L1876" s="45"/>
      <c r="M1876" s="45"/>
      <c r="N1876" s="45"/>
      <c r="O1876" s="21"/>
      <c r="P1876" s="21"/>
      <c r="Q1876" s="21"/>
      <c r="R1876" s="25" t="str">
        <f t="shared" si="29"/>
        <v/>
      </c>
    </row>
    <row r="1877" spans="1:18">
      <c r="A1877" s="28"/>
      <c r="B1877" s="48"/>
      <c r="C1877" s="48"/>
      <c r="D1877" s="21"/>
      <c r="E1877" s="21"/>
      <c r="F1877" s="21"/>
      <c r="G1877" s="21"/>
      <c r="H1877" s="21"/>
      <c r="I1877" s="21"/>
      <c r="J1877" s="45"/>
      <c r="K1877" s="45"/>
      <c r="L1877" s="45"/>
      <c r="M1877" s="45"/>
      <c r="N1877" s="45"/>
      <c r="O1877" s="21"/>
      <c r="P1877" s="21"/>
      <c r="Q1877" s="21"/>
      <c r="R1877" s="25" t="str">
        <f t="shared" si="29"/>
        <v/>
      </c>
    </row>
    <row r="1878" spans="1:18">
      <c r="A1878" s="28"/>
      <c r="B1878" s="48"/>
      <c r="C1878" s="48"/>
      <c r="D1878" s="21"/>
      <c r="E1878" s="21"/>
      <c r="F1878" s="21"/>
      <c r="G1878" s="21"/>
      <c r="H1878" s="21"/>
      <c r="I1878" s="21"/>
      <c r="J1878" s="45"/>
      <c r="K1878" s="45"/>
      <c r="L1878" s="45"/>
      <c r="M1878" s="45"/>
      <c r="N1878" s="45"/>
      <c r="O1878" s="21"/>
      <c r="P1878" s="21"/>
      <c r="Q1878" s="21"/>
      <c r="R1878" s="25" t="str">
        <f t="shared" si="29"/>
        <v/>
      </c>
    </row>
    <row r="1879" spans="1:18">
      <c r="A1879" s="28"/>
      <c r="B1879" s="48"/>
      <c r="C1879" s="48"/>
      <c r="D1879" s="21"/>
      <c r="E1879" s="21"/>
      <c r="F1879" s="21"/>
      <c r="G1879" s="21"/>
      <c r="H1879" s="21"/>
      <c r="I1879" s="21"/>
      <c r="J1879" s="45"/>
      <c r="K1879" s="45"/>
      <c r="L1879" s="45"/>
      <c r="M1879" s="45"/>
      <c r="N1879" s="45"/>
      <c r="O1879" s="21"/>
      <c r="P1879" s="21"/>
      <c r="Q1879" s="21"/>
      <c r="R1879" s="25" t="str">
        <f t="shared" si="29"/>
        <v/>
      </c>
    </row>
    <row r="1880" spans="1:18">
      <c r="A1880" s="28"/>
      <c r="B1880" s="48"/>
      <c r="C1880" s="48"/>
      <c r="D1880" s="21"/>
      <c r="E1880" s="21"/>
      <c r="F1880" s="21"/>
      <c r="G1880" s="21"/>
      <c r="H1880" s="21"/>
      <c r="I1880" s="21"/>
      <c r="J1880" s="45"/>
      <c r="K1880" s="45"/>
      <c r="L1880" s="45"/>
      <c r="M1880" s="45"/>
      <c r="N1880" s="45"/>
      <c r="O1880" s="21"/>
      <c r="P1880" s="21"/>
      <c r="Q1880" s="21"/>
      <c r="R1880" s="25" t="str">
        <f t="shared" si="29"/>
        <v/>
      </c>
    </row>
    <row r="1881" spans="1:18">
      <c r="A1881" s="28"/>
      <c r="B1881" s="48"/>
      <c r="C1881" s="48"/>
      <c r="D1881" s="21"/>
      <c r="E1881" s="21"/>
      <c r="F1881" s="21"/>
      <c r="G1881" s="21"/>
      <c r="H1881" s="21"/>
      <c r="I1881" s="21"/>
      <c r="J1881" s="45"/>
      <c r="K1881" s="45"/>
      <c r="L1881" s="45"/>
      <c r="M1881" s="45"/>
      <c r="N1881" s="45"/>
      <c r="O1881" s="21"/>
      <c r="P1881" s="21"/>
      <c r="Q1881" s="21"/>
      <c r="R1881" s="25" t="str">
        <f t="shared" si="29"/>
        <v/>
      </c>
    </row>
    <row r="1882" spans="1:18">
      <c r="A1882" s="28"/>
      <c r="B1882" s="48"/>
      <c r="C1882" s="48"/>
      <c r="D1882" s="21"/>
      <c r="E1882" s="21"/>
      <c r="F1882" s="21"/>
      <c r="G1882" s="21"/>
      <c r="H1882" s="21"/>
      <c r="I1882" s="21"/>
      <c r="J1882" s="45"/>
      <c r="K1882" s="45"/>
      <c r="L1882" s="45"/>
      <c r="M1882" s="45"/>
      <c r="N1882" s="45"/>
      <c r="O1882" s="21"/>
      <c r="P1882" s="21"/>
      <c r="Q1882" s="21"/>
      <c r="R1882" s="25" t="str">
        <f t="shared" si="29"/>
        <v/>
      </c>
    </row>
    <row r="1883" spans="1:18">
      <c r="A1883" s="28"/>
      <c r="B1883" s="48"/>
      <c r="C1883" s="48"/>
      <c r="D1883" s="21"/>
      <c r="E1883" s="21"/>
      <c r="F1883" s="21"/>
      <c r="G1883" s="21"/>
      <c r="H1883" s="21"/>
      <c r="I1883" s="21"/>
      <c r="J1883" s="45"/>
      <c r="K1883" s="45"/>
      <c r="L1883" s="45"/>
      <c r="M1883" s="45"/>
      <c r="N1883" s="45"/>
      <c r="O1883" s="21"/>
      <c r="P1883" s="21"/>
      <c r="Q1883" s="21"/>
      <c r="R1883" s="25" t="str">
        <f t="shared" si="29"/>
        <v/>
      </c>
    </row>
    <row r="1884" spans="1:18">
      <c r="A1884" s="28"/>
      <c r="B1884" s="48"/>
      <c r="C1884" s="48"/>
      <c r="D1884" s="21"/>
      <c r="E1884" s="21"/>
      <c r="F1884" s="21"/>
      <c r="G1884" s="21"/>
      <c r="H1884" s="21"/>
      <c r="I1884" s="21"/>
      <c r="J1884" s="45"/>
      <c r="K1884" s="45"/>
      <c r="L1884" s="45"/>
      <c r="M1884" s="45"/>
      <c r="N1884" s="45"/>
      <c r="O1884" s="21"/>
      <c r="P1884" s="21"/>
      <c r="Q1884" s="21"/>
      <c r="R1884" s="25" t="str">
        <f t="shared" si="29"/>
        <v/>
      </c>
    </row>
    <row r="1885" spans="1:18">
      <c r="A1885" s="28"/>
      <c r="B1885" s="48"/>
      <c r="C1885" s="48"/>
      <c r="D1885" s="21"/>
      <c r="E1885" s="21"/>
      <c r="F1885" s="21"/>
      <c r="G1885" s="21"/>
      <c r="H1885" s="21"/>
      <c r="I1885" s="21"/>
      <c r="J1885" s="45"/>
      <c r="K1885" s="45"/>
      <c r="L1885" s="45"/>
      <c r="M1885" s="45"/>
      <c r="N1885" s="45"/>
      <c r="O1885" s="21"/>
      <c r="P1885" s="21"/>
      <c r="Q1885" s="21"/>
      <c r="R1885" s="25" t="str">
        <f t="shared" si="29"/>
        <v/>
      </c>
    </row>
    <row r="1886" spans="1:18">
      <c r="A1886" s="28"/>
      <c r="B1886" s="48"/>
      <c r="C1886" s="48"/>
      <c r="D1886" s="21"/>
      <c r="E1886" s="21"/>
      <c r="F1886" s="21"/>
      <c r="G1886" s="21"/>
      <c r="H1886" s="21"/>
      <c r="I1886" s="21"/>
      <c r="J1886" s="45"/>
      <c r="K1886" s="45"/>
      <c r="L1886" s="45"/>
      <c r="M1886" s="45"/>
      <c r="N1886" s="45"/>
      <c r="O1886" s="21"/>
      <c r="P1886" s="21"/>
      <c r="Q1886" s="21"/>
      <c r="R1886" s="25" t="str">
        <f t="shared" si="29"/>
        <v/>
      </c>
    </row>
    <row r="1887" spans="1:18">
      <c r="A1887" s="28"/>
      <c r="B1887" s="48"/>
      <c r="C1887" s="48"/>
      <c r="D1887" s="21"/>
      <c r="E1887" s="21"/>
      <c r="F1887" s="21"/>
      <c r="G1887" s="21"/>
      <c r="H1887" s="21"/>
      <c r="I1887" s="21"/>
      <c r="J1887" s="45"/>
      <c r="K1887" s="45"/>
      <c r="L1887" s="45"/>
      <c r="M1887" s="45"/>
      <c r="N1887" s="45"/>
      <c r="O1887" s="21"/>
      <c r="P1887" s="21"/>
      <c r="Q1887" s="21"/>
      <c r="R1887" s="25" t="str">
        <f t="shared" si="29"/>
        <v/>
      </c>
    </row>
    <row r="1888" spans="1:18">
      <c r="A1888" s="28"/>
      <c r="B1888" s="48"/>
      <c r="C1888" s="48"/>
      <c r="D1888" s="21"/>
      <c r="E1888" s="21"/>
      <c r="F1888" s="21"/>
      <c r="G1888" s="21"/>
      <c r="H1888" s="21"/>
      <c r="I1888" s="21"/>
      <c r="J1888" s="45"/>
      <c r="K1888" s="45"/>
      <c r="L1888" s="45"/>
      <c r="M1888" s="45"/>
      <c r="N1888" s="45"/>
      <c r="O1888" s="21"/>
      <c r="P1888" s="21"/>
      <c r="Q1888" s="21"/>
      <c r="R1888" s="25" t="str">
        <f t="shared" si="29"/>
        <v/>
      </c>
    </row>
    <row r="1889" spans="1:18">
      <c r="A1889" s="28"/>
      <c r="B1889" s="48"/>
      <c r="C1889" s="48"/>
      <c r="D1889" s="21"/>
      <c r="E1889" s="21"/>
      <c r="F1889" s="21"/>
      <c r="G1889" s="21"/>
      <c r="H1889" s="21"/>
      <c r="I1889" s="21"/>
      <c r="J1889" s="45"/>
      <c r="K1889" s="45"/>
      <c r="L1889" s="45"/>
      <c r="M1889" s="45"/>
      <c r="N1889" s="45"/>
      <c r="O1889" s="21"/>
      <c r="P1889" s="21"/>
      <c r="Q1889" s="21"/>
      <c r="R1889" s="25" t="str">
        <f t="shared" si="29"/>
        <v/>
      </c>
    </row>
    <row r="1890" spans="1:18">
      <c r="A1890" s="28"/>
      <c r="B1890" s="48"/>
      <c r="C1890" s="48"/>
      <c r="D1890" s="21"/>
      <c r="E1890" s="21"/>
      <c r="F1890" s="21"/>
      <c r="G1890" s="21"/>
      <c r="H1890" s="21"/>
      <c r="I1890" s="21"/>
      <c r="J1890" s="45"/>
      <c r="K1890" s="45"/>
      <c r="L1890" s="45"/>
      <c r="M1890" s="45"/>
      <c r="N1890" s="45"/>
      <c r="O1890" s="21"/>
      <c r="P1890" s="21"/>
      <c r="Q1890" s="21"/>
      <c r="R1890" s="25" t="str">
        <f t="shared" si="29"/>
        <v/>
      </c>
    </row>
    <row r="1891" spans="1:18">
      <c r="A1891" s="28"/>
      <c r="B1891" s="48"/>
      <c r="C1891" s="48"/>
      <c r="D1891" s="21"/>
      <c r="E1891" s="21"/>
      <c r="F1891" s="21"/>
      <c r="G1891" s="21"/>
      <c r="H1891" s="21"/>
      <c r="I1891" s="21"/>
      <c r="J1891" s="45"/>
      <c r="K1891" s="45"/>
      <c r="L1891" s="45"/>
      <c r="M1891" s="45"/>
      <c r="N1891" s="45"/>
      <c r="O1891" s="21"/>
      <c r="P1891" s="21"/>
      <c r="Q1891" s="21"/>
      <c r="R1891" s="25" t="str">
        <f t="shared" si="29"/>
        <v/>
      </c>
    </row>
    <row r="1892" spans="1:18">
      <c r="A1892" s="28"/>
      <c r="B1892" s="48"/>
      <c r="C1892" s="48"/>
      <c r="D1892" s="21"/>
      <c r="E1892" s="21"/>
      <c r="F1892" s="21"/>
      <c r="G1892" s="21"/>
      <c r="H1892" s="21"/>
      <c r="I1892" s="21"/>
      <c r="J1892" s="45"/>
      <c r="K1892" s="45"/>
      <c r="L1892" s="45"/>
      <c r="M1892" s="45"/>
      <c r="N1892" s="45"/>
      <c r="O1892" s="21"/>
      <c r="P1892" s="21"/>
      <c r="Q1892" s="21"/>
      <c r="R1892" s="25" t="str">
        <f t="shared" si="29"/>
        <v/>
      </c>
    </row>
    <row r="1893" spans="1:18">
      <c r="A1893" s="28"/>
      <c r="B1893" s="48"/>
      <c r="C1893" s="48"/>
      <c r="D1893" s="21"/>
      <c r="E1893" s="21"/>
      <c r="F1893" s="21"/>
      <c r="G1893" s="21"/>
      <c r="H1893" s="21"/>
      <c r="I1893" s="21"/>
      <c r="J1893" s="45"/>
      <c r="K1893" s="45"/>
      <c r="L1893" s="45"/>
      <c r="M1893" s="45"/>
      <c r="N1893" s="45"/>
      <c r="O1893" s="21"/>
      <c r="P1893" s="21"/>
      <c r="Q1893" s="21"/>
      <c r="R1893" s="25" t="str">
        <f t="shared" si="29"/>
        <v/>
      </c>
    </row>
    <row r="1894" spans="1:18">
      <c r="A1894" s="28"/>
      <c r="B1894" s="48"/>
      <c r="C1894" s="48"/>
      <c r="D1894" s="21"/>
      <c r="E1894" s="21"/>
      <c r="F1894" s="21"/>
      <c r="G1894" s="21"/>
      <c r="H1894" s="21"/>
      <c r="I1894" s="21"/>
      <c r="J1894" s="45"/>
      <c r="K1894" s="45"/>
      <c r="L1894" s="45"/>
      <c r="M1894" s="45"/>
      <c r="N1894" s="45"/>
      <c r="O1894" s="21"/>
      <c r="P1894" s="21"/>
      <c r="Q1894" s="21"/>
      <c r="R1894" s="25" t="str">
        <f t="shared" si="29"/>
        <v/>
      </c>
    </row>
    <row r="1895" spans="1:18">
      <c r="A1895" s="28"/>
      <c r="B1895" s="48"/>
      <c r="C1895" s="48"/>
      <c r="D1895" s="21"/>
      <c r="E1895" s="21"/>
      <c r="F1895" s="21"/>
      <c r="G1895" s="21"/>
      <c r="H1895" s="21"/>
      <c r="I1895" s="21"/>
      <c r="J1895" s="45"/>
      <c r="K1895" s="45"/>
      <c r="L1895" s="45"/>
      <c r="M1895" s="45"/>
      <c r="N1895" s="45"/>
      <c r="O1895" s="21"/>
      <c r="P1895" s="21"/>
      <c r="Q1895" s="21"/>
      <c r="R1895" s="25" t="str">
        <f t="shared" si="29"/>
        <v/>
      </c>
    </row>
    <row r="1896" spans="1:18">
      <c r="A1896" s="28"/>
      <c r="B1896" s="48"/>
      <c r="C1896" s="48"/>
      <c r="D1896" s="21"/>
      <c r="E1896" s="21"/>
      <c r="F1896" s="21"/>
      <c r="G1896" s="21"/>
      <c r="H1896" s="21"/>
      <c r="I1896" s="21"/>
      <c r="J1896" s="45"/>
      <c r="K1896" s="45"/>
      <c r="L1896" s="45"/>
      <c r="M1896" s="45"/>
      <c r="N1896" s="45"/>
      <c r="O1896" s="21"/>
      <c r="P1896" s="21"/>
      <c r="Q1896" s="21"/>
      <c r="R1896" s="25" t="str">
        <f t="shared" si="29"/>
        <v/>
      </c>
    </row>
    <row r="1897" spans="1:18">
      <c r="A1897" s="28"/>
      <c r="B1897" s="48"/>
      <c r="C1897" s="48"/>
      <c r="D1897" s="21"/>
      <c r="E1897" s="21"/>
      <c r="F1897" s="21"/>
      <c r="G1897" s="21"/>
      <c r="H1897" s="21"/>
      <c r="I1897" s="21"/>
      <c r="J1897" s="45"/>
      <c r="K1897" s="45"/>
      <c r="L1897" s="45"/>
      <c r="M1897" s="45"/>
      <c r="N1897" s="45"/>
      <c r="O1897" s="21"/>
      <c r="P1897" s="21"/>
      <c r="Q1897" s="21"/>
      <c r="R1897" s="25" t="str">
        <f t="shared" si="29"/>
        <v/>
      </c>
    </row>
    <row r="1898" spans="1:18">
      <c r="A1898" s="28"/>
      <c r="B1898" s="48"/>
      <c r="C1898" s="48"/>
      <c r="D1898" s="21"/>
      <c r="E1898" s="21"/>
      <c r="F1898" s="21"/>
      <c r="G1898" s="21"/>
      <c r="H1898" s="21"/>
      <c r="I1898" s="21"/>
      <c r="J1898" s="45"/>
      <c r="K1898" s="45"/>
      <c r="L1898" s="45"/>
      <c r="M1898" s="45"/>
      <c r="N1898" s="45"/>
      <c r="O1898" s="21"/>
      <c r="P1898" s="21"/>
      <c r="Q1898" s="21"/>
      <c r="R1898" s="25" t="str">
        <f t="shared" si="29"/>
        <v/>
      </c>
    </row>
    <row r="1899" spans="1:18">
      <c r="A1899" s="28"/>
      <c r="B1899" s="48"/>
      <c r="C1899" s="48"/>
      <c r="D1899" s="21"/>
      <c r="E1899" s="21"/>
      <c r="F1899" s="21"/>
      <c r="G1899" s="21"/>
      <c r="H1899" s="21"/>
      <c r="I1899" s="21"/>
      <c r="J1899" s="45"/>
      <c r="K1899" s="45"/>
      <c r="L1899" s="45"/>
      <c r="M1899" s="45"/>
      <c r="N1899" s="45"/>
      <c r="O1899" s="21"/>
      <c r="P1899" s="21"/>
      <c r="Q1899" s="21"/>
      <c r="R1899" s="25" t="str">
        <f t="shared" si="29"/>
        <v/>
      </c>
    </row>
    <row r="1900" spans="1:18">
      <c r="A1900" s="28"/>
      <c r="B1900" s="48"/>
      <c r="C1900" s="48"/>
      <c r="D1900" s="21"/>
      <c r="E1900" s="21"/>
      <c r="F1900" s="21"/>
      <c r="G1900" s="21"/>
      <c r="H1900" s="21"/>
      <c r="I1900" s="21"/>
      <c r="J1900" s="45"/>
      <c r="K1900" s="45"/>
      <c r="L1900" s="45"/>
      <c r="M1900" s="45"/>
      <c r="N1900" s="45"/>
      <c r="O1900" s="21"/>
      <c r="P1900" s="21"/>
      <c r="Q1900" s="21"/>
      <c r="R1900" s="25" t="str">
        <f t="shared" si="29"/>
        <v/>
      </c>
    </row>
    <row r="1901" spans="1:18">
      <c r="A1901" s="28"/>
      <c r="B1901" s="48"/>
      <c r="C1901" s="48"/>
      <c r="D1901" s="21"/>
      <c r="E1901" s="21"/>
      <c r="F1901" s="21"/>
      <c r="G1901" s="21"/>
      <c r="H1901" s="21"/>
      <c r="I1901" s="21"/>
      <c r="J1901" s="45"/>
      <c r="K1901" s="45"/>
      <c r="L1901" s="45"/>
      <c r="M1901" s="45"/>
      <c r="N1901" s="45"/>
      <c r="O1901" s="21"/>
      <c r="P1901" s="21"/>
      <c r="Q1901" s="21"/>
      <c r="R1901" s="25" t="str">
        <f t="shared" si="29"/>
        <v/>
      </c>
    </row>
    <row r="1902" spans="1:18">
      <c r="A1902" s="28"/>
      <c r="B1902" s="48"/>
      <c r="C1902" s="48"/>
      <c r="D1902" s="21"/>
      <c r="E1902" s="21"/>
      <c r="F1902" s="21"/>
      <c r="G1902" s="21"/>
      <c r="H1902" s="21"/>
      <c r="I1902" s="21"/>
      <c r="J1902" s="45"/>
      <c r="K1902" s="45"/>
      <c r="L1902" s="45"/>
      <c r="M1902" s="45"/>
      <c r="N1902" s="45"/>
      <c r="O1902" s="21"/>
      <c r="P1902" s="21"/>
      <c r="Q1902" s="21"/>
      <c r="R1902" s="25" t="str">
        <f t="shared" si="29"/>
        <v/>
      </c>
    </row>
    <row r="1903" spans="1:18">
      <c r="A1903" s="28"/>
      <c r="B1903" s="48"/>
      <c r="C1903" s="48"/>
      <c r="D1903" s="21"/>
      <c r="E1903" s="21"/>
      <c r="F1903" s="21"/>
      <c r="G1903" s="21"/>
      <c r="H1903" s="21"/>
      <c r="I1903" s="21"/>
      <c r="J1903" s="45"/>
      <c r="K1903" s="45"/>
      <c r="L1903" s="45"/>
      <c r="M1903" s="45"/>
      <c r="N1903" s="45"/>
      <c r="O1903" s="21"/>
      <c r="P1903" s="21"/>
      <c r="Q1903" s="21"/>
      <c r="R1903" s="25" t="str">
        <f t="shared" si="29"/>
        <v/>
      </c>
    </row>
    <row r="1904" spans="1:18">
      <c r="A1904" s="28"/>
      <c r="B1904" s="48"/>
      <c r="C1904" s="48"/>
      <c r="D1904" s="21"/>
      <c r="E1904" s="21"/>
      <c r="F1904" s="21"/>
      <c r="G1904" s="21"/>
      <c r="H1904" s="21"/>
      <c r="I1904" s="21"/>
      <c r="J1904" s="45"/>
      <c r="K1904" s="45"/>
      <c r="L1904" s="45"/>
      <c r="M1904" s="45"/>
      <c r="N1904" s="45"/>
      <c r="O1904" s="21"/>
      <c r="P1904" s="21"/>
      <c r="Q1904" s="21"/>
      <c r="R1904" s="25" t="str">
        <f t="shared" si="29"/>
        <v/>
      </c>
    </row>
    <row r="1905" spans="1:18">
      <c r="A1905" s="28"/>
      <c r="B1905" s="48"/>
      <c r="C1905" s="48"/>
      <c r="D1905" s="21"/>
      <c r="E1905" s="21"/>
      <c r="F1905" s="21"/>
      <c r="G1905" s="21"/>
      <c r="H1905" s="21"/>
      <c r="I1905" s="21"/>
      <c r="J1905" s="45"/>
      <c r="K1905" s="45"/>
      <c r="L1905" s="45"/>
      <c r="M1905" s="45"/>
      <c r="N1905" s="45"/>
      <c r="O1905" s="21"/>
      <c r="P1905" s="21"/>
      <c r="Q1905" s="21"/>
      <c r="R1905" s="25" t="str">
        <f t="shared" si="29"/>
        <v/>
      </c>
    </row>
    <row r="1906" spans="1:18">
      <c r="A1906" s="28"/>
      <c r="B1906" s="48"/>
      <c r="C1906" s="48"/>
      <c r="D1906" s="21"/>
      <c r="E1906" s="21"/>
      <c r="F1906" s="21"/>
      <c r="G1906" s="21"/>
      <c r="H1906" s="21"/>
      <c r="I1906" s="21"/>
      <c r="J1906" s="45"/>
      <c r="K1906" s="45"/>
      <c r="L1906" s="45"/>
      <c r="M1906" s="45"/>
      <c r="N1906" s="45"/>
      <c r="O1906" s="21"/>
      <c r="P1906" s="21"/>
      <c r="Q1906" s="21"/>
      <c r="R1906" s="25" t="str">
        <f t="shared" si="29"/>
        <v/>
      </c>
    </row>
    <row r="1907" spans="1:18">
      <c r="A1907" s="28"/>
      <c r="B1907" s="48"/>
      <c r="C1907" s="48"/>
      <c r="D1907" s="21"/>
      <c r="E1907" s="21"/>
      <c r="F1907" s="21"/>
      <c r="G1907" s="21"/>
      <c r="H1907" s="21"/>
      <c r="I1907" s="21"/>
      <c r="J1907" s="45"/>
      <c r="K1907" s="45"/>
      <c r="L1907" s="45"/>
      <c r="M1907" s="45"/>
      <c r="N1907" s="45"/>
      <c r="O1907" s="21"/>
      <c r="P1907" s="21"/>
      <c r="Q1907" s="21"/>
      <c r="R1907" s="25" t="str">
        <f t="shared" ref="R1907:R1970" si="30">IF(COUNTIF($A$17:$A$2010,$A1907)&gt;1,"Possible Duplicate","")</f>
        <v/>
      </c>
    </row>
    <row r="1908" spans="1:18">
      <c r="A1908" s="28"/>
      <c r="B1908" s="48"/>
      <c r="C1908" s="48"/>
      <c r="D1908" s="21"/>
      <c r="E1908" s="21"/>
      <c r="F1908" s="21"/>
      <c r="G1908" s="21"/>
      <c r="H1908" s="21"/>
      <c r="I1908" s="21"/>
      <c r="J1908" s="45"/>
      <c r="K1908" s="45"/>
      <c r="L1908" s="45"/>
      <c r="M1908" s="45"/>
      <c r="N1908" s="45"/>
      <c r="O1908" s="21"/>
      <c r="P1908" s="21"/>
      <c r="Q1908" s="21"/>
      <c r="R1908" s="25" t="str">
        <f t="shared" si="30"/>
        <v/>
      </c>
    </row>
    <row r="1909" spans="1:18">
      <c r="A1909" s="28"/>
      <c r="B1909" s="48"/>
      <c r="C1909" s="48"/>
      <c r="D1909" s="21"/>
      <c r="E1909" s="21"/>
      <c r="F1909" s="21"/>
      <c r="G1909" s="21"/>
      <c r="H1909" s="21"/>
      <c r="I1909" s="21"/>
      <c r="J1909" s="45"/>
      <c r="K1909" s="45"/>
      <c r="L1909" s="45"/>
      <c r="M1909" s="45"/>
      <c r="N1909" s="45"/>
      <c r="O1909" s="21"/>
      <c r="P1909" s="21"/>
      <c r="Q1909" s="21"/>
      <c r="R1909" s="25" t="str">
        <f t="shared" si="30"/>
        <v/>
      </c>
    </row>
    <row r="1910" spans="1:18">
      <c r="A1910" s="28"/>
      <c r="B1910" s="48"/>
      <c r="C1910" s="48"/>
      <c r="D1910" s="21"/>
      <c r="E1910" s="21"/>
      <c r="F1910" s="21"/>
      <c r="G1910" s="21"/>
      <c r="H1910" s="21"/>
      <c r="I1910" s="21"/>
      <c r="J1910" s="45"/>
      <c r="K1910" s="45"/>
      <c r="L1910" s="45"/>
      <c r="M1910" s="45"/>
      <c r="N1910" s="45"/>
      <c r="O1910" s="21"/>
      <c r="P1910" s="21"/>
      <c r="Q1910" s="21"/>
      <c r="R1910" s="25" t="str">
        <f t="shared" si="30"/>
        <v/>
      </c>
    </row>
    <row r="1911" spans="1:18">
      <c r="A1911" s="28"/>
      <c r="B1911" s="48"/>
      <c r="C1911" s="48"/>
      <c r="D1911" s="21"/>
      <c r="E1911" s="21"/>
      <c r="F1911" s="21"/>
      <c r="G1911" s="21"/>
      <c r="H1911" s="21"/>
      <c r="I1911" s="21"/>
      <c r="J1911" s="45"/>
      <c r="K1911" s="45"/>
      <c r="L1911" s="45"/>
      <c r="M1911" s="45"/>
      <c r="N1911" s="45"/>
      <c r="O1911" s="21"/>
      <c r="P1911" s="21"/>
      <c r="Q1911" s="21"/>
      <c r="R1911" s="25" t="str">
        <f t="shared" si="30"/>
        <v/>
      </c>
    </row>
    <row r="1912" spans="1:18">
      <c r="A1912" s="28"/>
      <c r="B1912" s="48"/>
      <c r="C1912" s="48"/>
      <c r="D1912" s="21"/>
      <c r="E1912" s="21"/>
      <c r="F1912" s="21"/>
      <c r="G1912" s="21"/>
      <c r="H1912" s="21"/>
      <c r="I1912" s="21"/>
      <c r="J1912" s="45"/>
      <c r="K1912" s="45"/>
      <c r="L1912" s="45"/>
      <c r="M1912" s="45"/>
      <c r="N1912" s="45"/>
      <c r="O1912" s="21"/>
      <c r="P1912" s="21"/>
      <c r="Q1912" s="21"/>
      <c r="R1912" s="25" t="str">
        <f t="shared" si="30"/>
        <v/>
      </c>
    </row>
    <row r="1913" spans="1:18">
      <c r="A1913" s="28"/>
      <c r="B1913" s="48"/>
      <c r="C1913" s="48"/>
      <c r="D1913" s="21"/>
      <c r="E1913" s="21"/>
      <c r="F1913" s="21"/>
      <c r="G1913" s="21"/>
      <c r="H1913" s="21"/>
      <c r="I1913" s="21"/>
      <c r="J1913" s="45"/>
      <c r="K1913" s="45"/>
      <c r="L1913" s="45"/>
      <c r="M1913" s="45"/>
      <c r="N1913" s="45"/>
      <c r="O1913" s="21"/>
      <c r="P1913" s="21"/>
      <c r="Q1913" s="21"/>
      <c r="R1913" s="25" t="str">
        <f t="shared" si="30"/>
        <v/>
      </c>
    </row>
    <row r="1914" spans="1:18">
      <c r="A1914" s="28"/>
      <c r="B1914" s="48"/>
      <c r="C1914" s="48"/>
      <c r="D1914" s="21"/>
      <c r="E1914" s="21"/>
      <c r="F1914" s="21"/>
      <c r="G1914" s="21"/>
      <c r="H1914" s="21"/>
      <c r="I1914" s="21"/>
      <c r="J1914" s="45"/>
      <c r="K1914" s="45"/>
      <c r="L1914" s="45"/>
      <c r="M1914" s="45"/>
      <c r="N1914" s="45"/>
      <c r="O1914" s="21"/>
      <c r="P1914" s="21"/>
      <c r="Q1914" s="21"/>
      <c r="R1914" s="25" t="str">
        <f t="shared" si="30"/>
        <v/>
      </c>
    </row>
    <row r="1915" spans="1:18">
      <c r="A1915" s="28"/>
      <c r="B1915" s="48"/>
      <c r="C1915" s="48"/>
      <c r="D1915" s="21"/>
      <c r="E1915" s="21"/>
      <c r="F1915" s="21"/>
      <c r="G1915" s="21"/>
      <c r="H1915" s="21"/>
      <c r="I1915" s="21"/>
      <c r="J1915" s="45"/>
      <c r="K1915" s="45"/>
      <c r="L1915" s="45"/>
      <c r="M1915" s="45"/>
      <c r="N1915" s="45"/>
      <c r="O1915" s="21"/>
      <c r="P1915" s="21"/>
      <c r="Q1915" s="21"/>
      <c r="R1915" s="25" t="str">
        <f t="shared" si="30"/>
        <v/>
      </c>
    </row>
    <row r="1916" spans="1:18">
      <c r="A1916" s="28"/>
      <c r="B1916" s="48"/>
      <c r="C1916" s="48"/>
      <c r="D1916" s="21"/>
      <c r="E1916" s="21"/>
      <c r="F1916" s="21"/>
      <c r="G1916" s="21"/>
      <c r="H1916" s="21"/>
      <c r="I1916" s="21"/>
      <c r="J1916" s="45"/>
      <c r="K1916" s="45"/>
      <c r="L1916" s="45"/>
      <c r="M1916" s="45"/>
      <c r="N1916" s="45"/>
      <c r="O1916" s="21"/>
      <c r="P1916" s="21"/>
      <c r="Q1916" s="21"/>
      <c r="R1916" s="25" t="str">
        <f t="shared" si="30"/>
        <v/>
      </c>
    </row>
    <row r="1917" spans="1:18">
      <c r="A1917" s="28"/>
      <c r="B1917" s="48"/>
      <c r="C1917" s="48"/>
      <c r="D1917" s="21"/>
      <c r="E1917" s="21"/>
      <c r="F1917" s="21"/>
      <c r="G1917" s="21"/>
      <c r="H1917" s="21"/>
      <c r="I1917" s="21"/>
      <c r="J1917" s="45"/>
      <c r="K1917" s="45"/>
      <c r="L1917" s="45"/>
      <c r="M1917" s="45"/>
      <c r="N1917" s="45"/>
      <c r="O1917" s="21"/>
      <c r="P1917" s="21"/>
      <c r="Q1917" s="21"/>
      <c r="R1917" s="25" t="str">
        <f t="shared" si="30"/>
        <v/>
      </c>
    </row>
    <row r="1918" spans="1:18">
      <c r="A1918" s="28"/>
      <c r="B1918" s="48"/>
      <c r="C1918" s="48"/>
      <c r="D1918" s="21"/>
      <c r="E1918" s="21"/>
      <c r="F1918" s="21"/>
      <c r="G1918" s="21"/>
      <c r="H1918" s="21"/>
      <c r="I1918" s="21"/>
      <c r="J1918" s="45"/>
      <c r="K1918" s="45"/>
      <c r="L1918" s="45"/>
      <c r="M1918" s="45"/>
      <c r="N1918" s="45"/>
      <c r="O1918" s="21"/>
      <c r="P1918" s="21"/>
      <c r="Q1918" s="21"/>
      <c r="R1918" s="25" t="str">
        <f t="shared" si="30"/>
        <v/>
      </c>
    </row>
    <row r="1919" spans="1:18">
      <c r="A1919" s="28"/>
      <c r="B1919" s="48"/>
      <c r="C1919" s="48"/>
      <c r="D1919" s="21"/>
      <c r="E1919" s="21"/>
      <c r="F1919" s="21"/>
      <c r="G1919" s="21"/>
      <c r="H1919" s="21"/>
      <c r="I1919" s="21"/>
      <c r="J1919" s="45"/>
      <c r="K1919" s="45"/>
      <c r="L1919" s="45"/>
      <c r="M1919" s="45"/>
      <c r="N1919" s="45"/>
      <c r="O1919" s="21"/>
      <c r="P1919" s="21"/>
      <c r="Q1919" s="21"/>
      <c r="R1919" s="25" t="str">
        <f t="shared" si="30"/>
        <v/>
      </c>
    </row>
    <row r="1920" spans="1:18">
      <c r="A1920" s="28"/>
      <c r="B1920" s="48"/>
      <c r="C1920" s="48"/>
      <c r="D1920" s="21"/>
      <c r="E1920" s="21"/>
      <c r="F1920" s="21"/>
      <c r="G1920" s="21"/>
      <c r="H1920" s="21"/>
      <c r="I1920" s="21"/>
      <c r="J1920" s="45"/>
      <c r="K1920" s="45"/>
      <c r="L1920" s="45"/>
      <c r="M1920" s="45"/>
      <c r="N1920" s="45"/>
      <c r="O1920" s="21"/>
      <c r="P1920" s="21"/>
      <c r="Q1920" s="21"/>
      <c r="R1920" s="25" t="str">
        <f t="shared" si="30"/>
        <v/>
      </c>
    </row>
    <row r="1921" spans="1:18">
      <c r="A1921" s="28"/>
      <c r="B1921" s="48"/>
      <c r="C1921" s="48"/>
      <c r="D1921" s="21"/>
      <c r="E1921" s="21"/>
      <c r="F1921" s="21"/>
      <c r="G1921" s="21"/>
      <c r="H1921" s="21"/>
      <c r="I1921" s="21"/>
      <c r="J1921" s="45"/>
      <c r="K1921" s="45"/>
      <c r="L1921" s="45"/>
      <c r="M1921" s="45"/>
      <c r="N1921" s="45"/>
      <c r="O1921" s="21"/>
      <c r="P1921" s="21"/>
      <c r="Q1921" s="21"/>
      <c r="R1921" s="25" t="str">
        <f t="shared" si="30"/>
        <v/>
      </c>
    </row>
    <row r="1922" spans="1:18">
      <c r="A1922" s="28"/>
      <c r="B1922" s="48"/>
      <c r="C1922" s="48"/>
      <c r="D1922" s="21"/>
      <c r="E1922" s="21"/>
      <c r="F1922" s="21"/>
      <c r="G1922" s="21"/>
      <c r="H1922" s="21"/>
      <c r="I1922" s="21"/>
      <c r="J1922" s="45"/>
      <c r="K1922" s="45"/>
      <c r="L1922" s="45"/>
      <c r="M1922" s="45"/>
      <c r="N1922" s="45"/>
      <c r="O1922" s="21"/>
      <c r="P1922" s="21"/>
      <c r="Q1922" s="21"/>
      <c r="R1922" s="25" t="str">
        <f t="shared" si="30"/>
        <v/>
      </c>
    </row>
    <row r="1923" spans="1:18">
      <c r="A1923" s="28"/>
      <c r="B1923" s="48"/>
      <c r="C1923" s="48"/>
      <c r="D1923" s="21"/>
      <c r="E1923" s="21"/>
      <c r="F1923" s="21"/>
      <c r="G1923" s="21"/>
      <c r="H1923" s="21"/>
      <c r="I1923" s="21"/>
      <c r="J1923" s="45"/>
      <c r="K1923" s="45"/>
      <c r="L1923" s="45"/>
      <c r="M1923" s="45"/>
      <c r="N1923" s="45"/>
      <c r="O1923" s="21"/>
      <c r="P1923" s="21"/>
      <c r="Q1923" s="21"/>
      <c r="R1923" s="25" t="str">
        <f t="shared" si="30"/>
        <v/>
      </c>
    </row>
    <row r="1924" spans="1:18">
      <c r="A1924" s="28"/>
      <c r="B1924" s="48"/>
      <c r="C1924" s="48"/>
      <c r="D1924" s="21"/>
      <c r="E1924" s="21"/>
      <c r="F1924" s="21"/>
      <c r="G1924" s="21"/>
      <c r="H1924" s="21"/>
      <c r="I1924" s="21"/>
      <c r="J1924" s="45"/>
      <c r="K1924" s="45"/>
      <c r="L1924" s="45"/>
      <c r="M1924" s="45"/>
      <c r="N1924" s="45"/>
      <c r="O1924" s="21"/>
      <c r="P1924" s="21"/>
      <c r="Q1924" s="21"/>
      <c r="R1924" s="25" t="str">
        <f t="shared" si="30"/>
        <v/>
      </c>
    </row>
    <row r="1925" spans="1:18">
      <c r="A1925" s="28"/>
      <c r="B1925" s="48"/>
      <c r="C1925" s="48"/>
      <c r="D1925" s="21"/>
      <c r="E1925" s="21"/>
      <c r="F1925" s="21"/>
      <c r="G1925" s="21"/>
      <c r="H1925" s="21"/>
      <c r="I1925" s="21"/>
      <c r="J1925" s="45"/>
      <c r="K1925" s="45"/>
      <c r="L1925" s="45"/>
      <c r="M1925" s="45"/>
      <c r="N1925" s="45"/>
      <c r="O1925" s="21"/>
      <c r="P1925" s="21"/>
      <c r="Q1925" s="21"/>
      <c r="R1925" s="25" t="str">
        <f t="shared" si="30"/>
        <v/>
      </c>
    </row>
    <row r="1926" spans="1:18">
      <c r="A1926" s="28"/>
      <c r="B1926" s="48"/>
      <c r="C1926" s="48"/>
      <c r="D1926" s="21"/>
      <c r="E1926" s="21"/>
      <c r="F1926" s="21"/>
      <c r="G1926" s="21"/>
      <c r="H1926" s="21"/>
      <c r="I1926" s="21"/>
      <c r="J1926" s="45"/>
      <c r="K1926" s="45"/>
      <c r="L1926" s="45"/>
      <c r="M1926" s="45"/>
      <c r="N1926" s="45"/>
      <c r="O1926" s="21"/>
      <c r="P1926" s="21"/>
      <c r="Q1926" s="21"/>
      <c r="R1926" s="25" t="str">
        <f t="shared" si="30"/>
        <v/>
      </c>
    </row>
    <row r="1927" spans="1:18">
      <c r="A1927" s="28"/>
      <c r="B1927" s="48"/>
      <c r="C1927" s="48"/>
      <c r="D1927" s="21"/>
      <c r="E1927" s="21"/>
      <c r="F1927" s="21"/>
      <c r="G1927" s="21"/>
      <c r="H1927" s="21"/>
      <c r="I1927" s="21"/>
      <c r="J1927" s="45"/>
      <c r="K1927" s="45"/>
      <c r="L1927" s="45"/>
      <c r="M1927" s="45"/>
      <c r="N1927" s="45"/>
      <c r="O1927" s="21"/>
      <c r="P1927" s="21"/>
      <c r="Q1927" s="21"/>
      <c r="R1927" s="25" t="str">
        <f t="shared" si="30"/>
        <v/>
      </c>
    </row>
    <row r="1928" spans="1:18">
      <c r="A1928" s="28"/>
      <c r="B1928" s="48"/>
      <c r="C1928" s="48"/>
      <c r="D1928" s="21"/>
      <c r="E1928" s="21"/>
      <c r="F1928" s="21"/>
      <c r="G1928" s="21"/>
      <c r="H1928" s="21"/>
      <c r="I1928" s="21"/>
      <c r="J1928" s="45"/>
      <c r="K1928" s="45"/>
      <c r="L1928" s="45"/>
      <c r="M1928" s="45"/>
      <c r="N1928" s="45"/>
      <c r="O1928" s="21"/>
      <c r="P1928" s="21"/>
      <c r="Q1928" s="21"/>
      <c r="R1928" s="25" t="str">
        <f t="shared" si="30"/>
        <v/>
      </c>
    </row>
    <row r="1929" spans="1:18">
      <c r="A1929" s="28"/>
      <c r="B1929" s="48"/>
      <c r="C1929" s="48"/>
      <c r="D1929" s="21"/>
      <c r="E1929" s="21"/>
      <c r="F1929" s="21"/>
      <c r="G1929" s="21"/>
      <c r="H1929" s="21"/>
      <c r="I1929" s="21"/>
      <c r="J1929" s="45"/>
      <c r="K1929" s="45"/>
      <c r="L1929" s="45"/>
      <c r="M1929" s="45"/>
      <c r="N1929" s="45"/>
      <c r="O1929" s="21"/>
      <c r="P1929" s="21"/>
      <c r="Q1929" s="21"/>
      <c r="R1929" s="25" t="str">
        <f t="shared" si="30"/>
        <v/>
      </c>
    </row>
    <row r="1930" spans="1:18">
      <c r="A1930" s="28"/>
      <c r="B1930" s="48"/>
      <c r="C1930" s="48"/>
      <c r="D1930" s="21"/>
      <c r="E1930" s="21"/>
      <c r="F1930" s="21"/>
      <c r="G1930" s="21"/>
      <c r="H1930" s="21"/>
      <c r="I1930" s="21"/>
      <c r="J1930" s="45"/>
      <c r="K1930" s="45"/>
      <c r="L1930" s="45"/>
      <c r="M1930" s="45"/>
      <c r="N1930" s="45"/>
      <c r="O1930" s="21"/>
      <c r="P1930" s="21"/>
      <c r="Q1930" s="21"/>
      <c r="R1930" s="25" t="str">
        <f t="shared" si="30"/>
        <v/>
      </c>
    </row>
    <row r="1931" spans="1:18">
      <c r="A1931" s="28"/>
      <c r="B1931" s="48"/>
      <c r="C1931" s="48"/>
      <c r="D1931" s="21"/>
      <c r="E1931" s="21"/>
      <c r="F1931" s="21"/>
      <c r="G1931" s="21"/>
      <c r="H1931" s="21"/>
      <c r="I1931" s="21"/>
      <c r="J1931" s="45"/>
      <c r="K1931" s="45"/>
      <c r="L1931" s="45"/>
      <c r="M1931" s="45"/>
      <c r="N1931" s="45"/>
      <c r="O1931" s="21"/>
      <c r="P1931" s="21"/>
      <c r="Q1931" s="21"/>
      <c r="R1931" s="25" t="str">
        <f t="shared" si="30"/>
        <v/>
      </c>
    </row>
    <row r="1932" spans="1:18">
      <c r="A1932" s="28"/>
      <c r="B1932" s="48"/>
      <c r="C1932" s="48"/>
      <c r="D1932" s="21"/>
      <c r="E1932" s="21"/>
      <c r="F1932" s="21"/>
      <c r="G1932" s="21"/>
      <c r="H1932" s="21"/>
      <c r="I1932" s="21"/>
      <c r="J1932" s="45"/>
      <c r="K1932" s="45"/>
      <c r="L1932" s="45"/>
      <c r="M1932" s="45"/>
      <c r="N1932" s="45"/>
      <c r="O1932" s="21"/>
      <c r="P1932" s="21"/>
      <c r="Q1932" s="21"/>
      <c r="R1932" s="25" t="str">
        <f t="shared" si="30"/>
        <v/>
      </c>
    </row>
    <row r="1933" spans="1:18">
      <c r="A1933" s="28"/>
      <c r="B1933" s="48"/>
      <c r="C1933" s="48"/>
      <c r="D1933" s="21"/>
      <c r="E1933" s="21"/>
      <c r="F1933" s="21"/>
      <c r="G1933" s="21"/>
      <c r="H1933" s="21"/>
      <c r="I1933" s="21"/>
      <c r="J1933" s="45"/>
      <c r="K1933" s="45"/>
      <c r="L1933" s="45"/>
      <c r="M1933" s="45"/>
      <c r="N1933" s="45"/>
      <c r="O1933" s="21"/>
      <c r="P1933" s="21"/>
      <c r="Q1933" s="21"/>
      <c r="R1933" s="25" t="str">
        <f t="shared" si="30"/>
        <v/>
      </c>
    </row>
    <row r="1934" spans="1:18">
      <c r="A1934" s="28"/>
      <c r="B1934" s="48"/>
      <c r="C1934" s="48"/>
      <c r="D1934" s="21"/>
      <c r="E1934" s="21"/>
      <c r="F1934" s="21"/>
      <c r="G1934" s="21"/>
      <c r="H1934" s="21"/>
      <c r="I1934" s="21"/>
      <c r="J1934" s="45"/>
      <c r="K1934" s="45"/>
      <c r="L1934" s="45"/>
      <c r="M1934" s="45"/>
      <c r="N1934" s="45"/>
      <c r="O1934" s="21"/>
      <c r="P1934" s="21"/>
      <c r="Q1934" s="21"/>
      <c r="R1934" s="25" t="str">
        <f t="shared" si="30"/>
        <v/>
      </c>
    </row>
    <row r="1935" spans="1:18">
      <c r="A1935" s="28"/>
      <c r="B1935" s="48"/>
      <c r="C1935" s="48"/>
      <c r="D1935" s="21"/>
      <c r="E1935" s="21"/>
      <c r="F1935" s="21"/>
      <c r="G1935" s="21"/>
      <c r="H1935" s="21"/>
      <c r="I1935" s="21"/>
      <c r="J1935" s="45"/>
      <c r="K1935" s="45"/>
      <c r="L1935" s="45"/>
      <c r="M1935" s="45"/>
      <c r="N1935" s="45"/>
      <c r="O1935" s="21"/>
      <c r="P1935" s="21"/>
      <c r="Q1935" s="21"/>
      <c r="R1935" s="25" t="str">
        <f t="shared" si="30"/>
        <v/>
      </c>
    </row>
    <row r="1936" spans="1:18">
      <c r="A1936" s="28"/>
      <c r="B1936" s="48"/>
      <c r="C1936" s="48"/>
      <c r="D1936" s="21"/>
      <c r="E1936" s="21"/>
      <c r="F1936" s="21"/>
      <c r="G1936" s="21"/>
      <c r="H1936" s="21"/>
      <c r="I1936" s="21"/>
      <c r="J1936" s="45"/>
      <c r="K1936" s="45"/>
      <c r="L1936" s="45"/>
      <c r="M1936" s="45"/>
      <c r="N1936" s="45"/>
      <c r="O1936" s="21"/>
      <c r="P1936" s="21"/>
      <c r="Q1936" s="21"/>
      <c r="R1936" s="25" t="str">
        <f t="shared" si="30"/>
        <v/>
      </c>
    </row>
    <row r="1937" spans="1:18">
      <c r="A1937" s="28"/>
      <c r="B1937" s="48"/>
      <c r="C1937" s="48"/>
      <c r="D1937" s="21"/>
      <c r="E1937" s="21"/>
      <c r="F1937" s="21"/>
      <c r="G1937" s="21"/>
      <c r="H1937" s="21"/>
      <c r="I1937" s="21"/>
      <c r="J1937" s="45"/>
      <c r="K1937" s="45"/>
      <c r="L1937" s="45"/>
      <c r="M1937" s="45"/>
      <c r="N1937" s="45"/>
      <c r="O1937" s="21"/>
      <c r="P1937" s="21"/>
      <c r="Q1937" s="21"/>
      <c r="R1937" s="25" t="str">
        <f t="shared" si="30"/>
        <v/>
      </c>
    </row>
    <row r="1938" spans="1:18">
      <c r="A1938" s="28"/>
      <c r="B1938" s="48"/>
      <c r="C1938" s="48"/>
      <c r="D1938" s="21"/>
      <c r="E1938" s="21"/>
      <c r="F1938" s="21"/>
      <c r="G1938" s="21"/>
      <c r="H1938" s="21"/>
      <c r="I1938" s="21"/>
      <c r="J1938" s="45"/>
      <c r="K1938" s="45"/>
      <c r="L1938" s="45"/>
      <c r="M1938" s="45"/>
      <c r="N1938" s="45"/>
      <c r="O1938" s="21"/>
      <c r="P1938" s="21"/>
      <c r="Q1938" s="21"/>
      <c r="R1938" s="25" t="str">
        <f t="shared" si="30"/>
        <v/>
      </c>
    </row>
    <row r="1939" spans="1:18">
      <c r="A1939" s="28"/>
      <c r="B1939" s="48"/>
      <c r="C1939" s="48"/>
      <c r="D1939" s="21"/>
      <c r="E1939" s="21"/>
      <c r="F1939" s="21"/>
      <c r="G1939" s="21"/>
      <c r="H1939" s="21"/>
      <c r="I1939" s="21"/>
      <c r="J1939" s="45"/>
      <c r="K1939" s="45"/>
      <c r="L1939" s="45"/>
      <c r="M1939" s="45"/>
      <c r="N1939" s="45"/>
      <c r="O1939" s="21"/>
      <c r="P1939" s="21"/>
      <c r="Q1939" s="21"/>
      <c r="R1939" s="25" t="str">
        <f t="shared" si="30"/>
        <v/>
      </c>
    </row>
    <row r="1940" spans="1:18">
      <c r="A1940" s="28"/>
      <c r="B1940" s="48"/>
      <c r="C1940" s="48"/>
      <c r="D1940" s="21"/>
      <c r="E1940" s="21"/>
      <c r="F1940" s="21"/>
      <c r="G1940" s="21"/>
      <c r="H1940" s="21"/>
      <c r="I1940" s="21"/>
      <c r="J1940" s="45"/>
      <c r="K1940" s="45"/>
      <c r="L1940" s="45"/>
      <c r="M1940" s="45"/>
      <c r="N1940" s="45"/>
      <c r="O1940" s="21"/>
      <c r="P1940" s="21"/>
      <c r="Q1940" s="21"/>
      <c r="R1940" s="25" t="str">
        <f t="shared" si="30"/>
        <v/>
      </c>
    </row>
    <row r="1941" spans="1:18">
      <c r="A1941" s="28"/>
      <c r="B1941" s="48"/>
      <c r="C1941" s="48"/>
      <c r="D1941" s="21"/>
      <c r="E1941" s="21"/>
      <c r="F1941" s="21"/>
      <c r="G1941" s="21"/>
      <c r="H1941" s="21"/>
      <c r="I1941" s="21"/>
      <c r="J1941" s="45"/>
      <c r="K1941" s="45"/>
      <c r="L1941" s="45"/>
      <c r="M1941" s="45"/>
      <c r="N1941" s="45"/>
      <c r="O1941" s="21"/>
      <c r="P1941" s="21"/>
      <c r="Q1941" s="21"/>
      <c r="R1941" s="25" t="str">
        <f t="shared" si="30"/>
        <v/>
      </c>
    </row>
    <row r="1942" spans="1:18">
      <c r="A1942" s="28"/>
      <c r="B1942" s="48"/>
      <c r="C1942" s="48"/>
      <c r="D1942" s="21"/>
      <c r="E1942" s="21"/>
      <c r="F1942" s="21"/>
      <c r="G1942" s="21"/>
      <c r="H1942" s="21"/>
      <c r="I1942" s="21"/>
      <c r="J1942" s="45"/>
      <c r="K1942" s="45"/>
      <c r="L1942" s="45"/>
      <c r="M1942" s="45"/>
      <c r="N1942" s="45"/>
      <c r="O1942" s="21"/>
      <c r="P1942" s="21"/>
      <c r="Q1942" s="21"/>
      <c r="R1942" s="25" t="str">
        <f t="shared" si="30"/>
        <v/>
      </c>
    </row>
    <row r="1943" spans="1:18">
      <c r="A1943" s="28"/>
      <c r="B1943" s="48"/>
      <c r="C1943" s="48"/>
      <c r="D1943" s="21"/>
      <c r="E1943" s="21"/>
      <c r="F1943" s="21"/>
      <c r="G1943" s="21"/>
      <c r="H1943" s="21"/>
      <c r="I1943" s="21"/>
      <c r="J1943" s="45"/>
      <c r="K1943" s="45"/>
      <c r="L1943" s="45"/>
      <c r="M1943" s="45"/>
      <c r="N1943" s="45"/>
      <c r="O1943" s="21"/>
      <c r="P1943" s="21"/>
      <c r="Q1943" s="21"/>
      <c r="R1943" s="25" t="str">
        <f t="shared" si="30"/>
        <v/>
      </c>
    </row>
    <row r="1944" spans="1:18">
      <c r="A1944" s="28"/>
      <c r="B1944" s="48"/>
      <c r="C1944" s="48"/>
      <c r="D1944" s="21"/>
      <c r="E1944" s="21"/>
      <c r="F1944" s="21"/>
      <c r="G1944" s="21"/>
      <c r="H1944" s="21"/>
      <c r="I1944" s="21"/>
      <c r="J1944" s="45"/>
      <c r="K1944" s="45"/>
      <c r="L1944" s="45"/>
      <c r="M1944" s="45"/>
      <c r="N1944" s="45"/>
      <c r="O1944" s="21"/>
      <c r="P1944" s="21"/>
      <c r="Q1944" s="21"/>
      <c r="R1944" s="25" t="str">
        <f t="shared" si="30"/>
        <v/>
      </c>
    </row>
    <row r="1945" spans="1:18">
      <c r="A1945" s="28"/>
      <c r="B1945" s="48"/>
      <c r="C1945" s="48"/>
      <c r="D1945" s="21"/>
      <c r="E1945" s="21"/>
      <c r="F1945" s="21"/>
      <c r="G1945" s="21"/>
      <c r="H1945" s="21"/>
      <c r="I1945" s="21"/>
      <c r="J1945" s="45"/>
      <c r="K1945" s="45"/>
      <c r="L1945" s="45"/>
      <c r="M1945" s="45"/>
      <c r="N1945" s="45"/>
      <c r="O1945" s="21"/>
      <c r="P1945" s="21"/>
      <c r="Q1945" s="21"/>
      <c r="R1945" s="25" t="str">
        <f t="shared" si="30"/>
        <v/>
      </c>
    </row>
    <row r="1946" spans="1:18">
      <c r="A1946" s="28"/>
      <c r="B1946" s="48"/>
      <c r="C1946" s="48"/>
      <c r="D1946" s="21"/>
      <c r="E1946" s="21"/>
      <c r="F1946" s="21"/>
      <c r="G1946" s="21"/>
      <c r="H1946" s="21"/>
      <c r="I1946" s="21"/>
      <c r="J1946" s="45"/>
      <c r="K1946" s="45"/>
      <c r="L1946" s="45"/>
      <c r="M1946" s="45"/>
      <c r="N1946" s="45"/>
      <c r="O1946" s="21"/>
      <c r="P1946" s="21"/>
      <c r="Q1946" s="21"/>
      <c r="R1946" s="25" t="str">
        <f t="shared" si="30"/>
        <v/>
      </c>
    </row>
    <row r="1947" spans="1:18">
      <c r="A1947" s="28"/>
      <c r="B1947" s="48"/>
      <c r="C1947" s="48"/>
      <c r="D1947" s="21"/>
      <c r="E1947" s="21"/>
      <c r="F1947" s="21"/>
      <c r="G1947" s="21"/>
      <c r="H1947" s="21"/>
      <c r="I1947" s="21"/>
      <c r="J1947" s="45"/>
      <c r="K1947" s="45"/>
      <c r="L1947" s="45"/>
      <c r="M1947" s="45"/>
      <c r="N1947" s="45"/>
      <c r="O1947" s="21"/>
      <c r="P1947" s="21"/>
      <c r="Q1947" s="21"/>
      <c r="R1947" s="25" t="str">
        <f t="shared" si="30"/>
        <v/>
      </c>
    </row>
    <row r="1948" spans="1:18">
      <c r="A1948" s="28"/>
      <c r="B1948" s="48"/>
      <c r="C1948" s="48"/>
      <c r="D1948" s="21"/>
      <c r="E1948" s="21"/>
      <c r="F1948" s="21"/>
      <c r="G1948" s="21"/>
      <c r="H1948" s="21"/>
      <c r="I1948" s="21"/>
      <c r="J1948" s="45"/>
      <c r="K1948" s="45"/>
      <c r="L1948" s="45"/>
      <c r="M1948" s="45"/>
      <c r="N1948" s="45"/>
      <c r="O1948" s="21"/>
      <c r="P1948" s="21"/>
      <c r="Q1948" s="21"/>
      <c r="R1948" s="25" t="str">
        <f t="shared" si="30"/>
        <v/>
      </c>
    </row>
    <row r="1949" spans="1:18">
      <c r="A1949" s="28"/>
      <c r="B1949" s="48"/>
      <c r="C1949" s="48"/>
      <c r="D1949" s="21"/>
      <c r="E1949" s="21"/>
      <c r="F1949" s="21"/>
      <c r="G1949" s="21"/>
      <c r="H1949" s="21"/>
      <c r="I1949" s="21"/>
      <c r="J1949" s="45"/>
      <c r="K1949" s="45"/>
      <c r="L1949" s="45"/>
      <c r="M1949" s="45"/>
      <c r="N1949" s="45"/>
      <c r="O1949" s="21"/>
      <c r="P1949" s="21"/>
      <c r="Q1949" s="21"/>
      <c r="R1949" s="25" t="str">
        <f t="shared" si="30"/>
        <v/>
      </c>
    </row>
    <row r="1950" spans="1:18">
      <c r="A1950" s="28"/>
      <c r="B1950" s="48"/>
      <c r="C1950" s="48"/>
      <c r="D1950" s="21"/>
      <c r="E1950" s="21"/>
      <c r="F1950" s="21"/>
      <c r="G1950" s="21"/>
      <c r="H1950" s="21"/>
      <c r="I1950" s="21"/>
      <c r="J1950" s="45"/>
      <c r="K1950" s="45"/>
      <c r="L1950" s="45"/>
      <c r="M1950" s="45"/>
      <c r="N1950" s="45"/>
      <c r="O1950" s="21"/>
      <c r="P1950" s="21"/>
      <c r="Q1950" s="21"/>
      <c r="R1950" s="25" t="str">
        <f t="shared" si="30"/>
        <v/>
      </c>
    </row>
    <row r="1951" spans="1:18">
      <c r="A1951" s="28"/>
      <c r="B1951" s="48"/>
      <c r="C1951" s="48"/>
      <c r="D1951" s="21"/>
      <c r="E1951" s="21"/>
      <c r="F1951" s="21"/>
      <c r="G1951" s="21"/>
      <c r="H1951" s="21"/>
      <c r="I1951" s="21"/>
      <c r="J1951" s="45"/>
      <c r="K1951" s="45"/>
      <c r="L1951" s="45"/>
      <c r="M1951" s="45"/>
      <c r="N1951" s="45"/>
      <c r="O1951" s="21"/>
      <c r="P1951" s="21"/>
      <c r="Q1951" s="21"/>
      <c r="R1951" s="25" t="str">
        <f t="shared" si="30"/>
        <v/>
      </c>
    </row>
    <row r="1952" spans="1:18">
      <c r="A1952" s="28"/>
      <c r="B1952" s="48"/>
      <c r="C1952" s="48"/>
      <c r="D1952" s="21"/>
      <c r="E1952" s="21"/>
      <c r="F1952" s="21"/>
      <c r="G1952" s="21"/>
      <c r="H1952" s="21"/>
      <c r="I1952" s="21"/>
      <c r="J1952" s="45"/>
      <c r="K1952" s="45"/>
      <c r="L1952" s="45"/>
      <c r="M1952" s="45"/>
      <c r="N1952" s="45"/>
      <c r="O1952" s="21"/>
      <c r="P1952" s="21"/>
      <c r="Q1952" s="21"/>
      <c r="R1952" s="25" t="str">
        <f t="shared" si="30"/>
        <v/>
      </c>
    </row>
    <row r="1953" spans="1:18">
      <c r="A1953" s="28"/>
      <c r="B1953" s="48"/>
      <c r="C1953" s="48"/>
      <c r="D1953" s="21"/>
      <c r="E1953" s="21"/>
      <c r="F1953" s="21"/>
      <c r="G1953" s="21"/>
      <c r="H1953" s="21"/>
      <c r="I1953" s="21"/>
      <c r="J1953" s="45"/>
      <c r="K1953" s="45"/>
      <c r="L1953" s="45"/>
      <c r="M1953" s="45"/>
      <c r="N1953" s="45"/>
      <c r="O1953" s="21"/>
      <c r="P1953" s="21"/>
      <c r="Q1953" s="21"/>
      <c r="R1953" s="25" t="str">
        <f t="shared" si="30"/>
        <v/>
      </c>
    </row>
    <row r="1954" spans="1:18">
      <c r="A1954" s="28"/>
      <c r="B1954" s="48"/>
      <c r="C1954" s="48"/>
      <c r="D1954" s="21"/>
      <c r="E1954" s="21"/>
      <c r="F1954" s="21"/>
      <c r="G1954" s="21"/>
      <c r="H1954" s="21"/>
      <c r="I1954" s="21"/>
      <c r="J1954" s="45"/>
      <c r="K1954" s="45"/>
      <c r="L1954" s="45"/>
      <c r="M1954" s="45"/>
      <c r="N1954" s="45"/>
      <c r="O1954" s="21"/>
      <c r="P1954" s="21"/>
      <c r="Q1954" s="21"/>
      <c r="R1954" s="25" t="str">
        <f t="shared" si="30"/>
        <v/>
      </c>
    </row>
    <row r="1955" spans="1:18">
      <c r="A1955" s="28"/>
      <c r="B1955" s="48"/>
      <c r="C1955" s="48"/>
      <c r="D1955" s="21"/>
      <c r="E1955" s="21"/>
      <c r="F1955" s="21"/>
      <c r="G1955" s="21"/>
      <c r="H1955" s="21"/>
      <c r="I1955" s="21"/>
      <c r="J1955" s="45"/>
      <c r="K1955" s="45"/>
      <c r="L1955" s="45"/>
      <c r="M1955" s="45"/>
      <c r="N1955" s="45"/>
      <c r="O1955" s="21"/>
      <c r="P1955" s="21"/>
      <c r="Q1955" s="21"/>
      <c r="R1955" s="25" t="str">
        <f t="shared" si="30"/>
        <v/>
      </c>
    </row>
    <row r="1956" spans="1:18">
      <c r="A1956" s="28"/>
      <c r="B1956" s="48"/>
      <c r="C1956" s="48"/>
      <c r="D1956" s="21"/>
      <c r="E1956" s="21"/>
      <c r="F1956" s="21"/>
      <c r="G1956" s="21"/>
      <c r="H1956" s="21"/>
      <c r="I1956" s="21"/>
      <c r="J1956" s="45"/>
      <c r="K1956" s="45"/>
      <c r="L1956" s="45"/>
      <c r="M1956" s="45"/>
      <c r="N1956" s="45"/>
      <c r="O1956" s="21"/>
      <c r="P1956" s="21"/>
      <c r="Q1956" s="21"/>
      <c r="R1956" s="25" t="str">
        <f t="shared" si="30"/>
        <v/>
      </c>
    </row>
    <row r="1957" spans="1:18">
      <c r="A1957" s="28"/>
      <c r="B1957" s="48"/>
      <c r="C1957" s="48"/>
      <c r="D1957" s="21"/>
      <c r="E1957" s="21"/>
      <c r="F1957" s="21"/>
      <c r="G1957" s="21"/>
      <c r="H1957" s="21"/>
      <c r="I1957" s="21"/>
      <c r="J1957" s="45"/>
      <c r="K1957" s="45"/>
      <c r="L1957" s="45"/>
      <c r="M1957" s="45"/>
      <c r="N1957" s="45"/>
      <c r="O1957" s="21"/>
      <c r="P1957" s="21"/>
      <c r="Q1957" s="21"/>
      <c r="R1957" s="25" t="str">
        <f t="shared" si="30"/>
        <v/>
      </c>
    </row>
    <row r="1958" spans="1:18">
      <c r="A1958" s="28"/>
      <c r="B1958" s="48"/>
      <c r="C1958" s="48"/>
      <c r="D1958" s="21"/>
      <c r="E1958" s="21"/>
      <c r="F1958" s="21"/>
      <c r="G1958" s="21"/>
      <c r="H1958" s="21"/>
      <c r="I1958" s="21"/>
      <c r="J1958" s="45"/>
      <c r="K1958" s="45"/>
      <c r="L1958" s="45"/>
      <c r="M1958" s="45"/>
      <c r="N1958" s="45"/>
      <c r="O1958" s="21"/>
      <c r="P1958" s="21"/>
      <c r="Q1958" s="21"/>
      <c r="R1958" s="25" t="str">
        <f t="shared" si="30"/>
        <v/>
      </c>
    </row>
    <row r="1959" spans="1:18">
      <c r="A1959" s="28"/>
      <c r="B1959" s="48"/>
      <c r="C1959" s="48"/>
      <c r="D1959" s="21"/>
      <c r="E1959" s="21"/>
      <c r="F1959" s="21"/>
      <c r="G1959" s="21"/>
      <c r="H1959" s="21"/>
      <c r="I1959" s="21"/>
      <c r="J1959" s="45"/>
      <c r="K1959" s="45"/>
      <c r="L1959" s="45"/>
      <c r="M1959" s="45"/>
      <c r="N1959" s="45"/>
      <c r="O1959" s="21"/>
      <c r="P1959" s="21"/>
      <c r="Q1959" s="21"/>
      <c r="R1959" s="25" t="str">
        <f t="shared" si="30"/>
        <v/>
      </c>
    </row>
    <row r="1960" spans="1:18">
      <c r="A1960" s="28"/>
      <c r="B1960" s="48"/>
      <c r="C1960" s="48"/>
      <c r="D1960" s="21"/>
      <c r="E1960" s="21"/>
      <c r="F1960" s="21"/>
      <c r="G1960" s="21"/>
      <c r="H1960" s="21"/>
      <c r="I1960" s="21"/>
      <c r="J1960" s="45"/>
      <c r="K1960" s="45"/>
      <c r="L1960" s="45"/>
      <c r="M1960" s="45"/>
      <c r="N1960" s="45"/>
      <c r="O1960" s="21"/>
      <c r="P1960" s="21"/>
      <c r="Q1960" s="21"/>
      <c r="R1960" s="25" t="str">
        <f t="shared" si="30"/>
        <v/>
      </c>
    </row>
    <row r="1961" spans="1:18">
      <c r="A1961" s="28"/>
      <c r="B1961" s="48"/>
      <c r="C1961" s="48"/>
      <c r="D1961" s="21"/>
      <c r="E1961" s="21"/>
      <c r="F1961" s="21"/>
      <c r="G1961" s="21"/>
      <c r="H1961" s="21"/>
      <c r="I1961" s="21"/>
      <c r="J1961" s="45"/>
      <c r="K1961" s="45"/>
      <c r="L1961" s="45"/>
      <c r="M1961" s="45"/>
      <c r="N1961" s="45"/>
      <c r="O1961" s="21"/>
      <c r="P1961" s="21"/>
      <c r="Q1961" s="21"/>
      <c r="R1961" s="25" t="str">
        <f t="shared" si="30"/>
        <v/>
      </c>
    </row>
    <row r="1962" spans="1:18">
      <c r="A1962" s="28"/>
      <c r="B1962" s="48"/>
      <c r="C1962" s="48"/>
      <c r="D1962" s="21"/>
      <c r="E1962" s="21"/>
      <c r="F1962" s="21"/>
      <c r="G1962" s="21"/>
      <c r="H1962" s="21"/>
      <c r="I1962" s="21"/>
      <c r="J1962" s="45"/>
      <c r="K1962" s="45"/>
      <c r="L1962" s="45"/>
      <c r="M1962" s="45"/>
      <c r="N1962" s="45"/>
      <c r="O1962" s="21"/>
      <c r="P1962" s="21"/>
      <c r="Q1962" s="21"/>
      <c r="R1962" s="25" t="str">
        <f t="shared" si="30"/>
        <v/>
      </c>
    </row>
    <row r="1963" spans="1:18">
      <c r="A1963" s="28"/>
      <c r="B1963" s="48"/>
      <c r="C1963" s="48"/>
      <c r="D1963" s="21"/>
      <c r="E1963" s="21"/>
      <c r="F1963" s="21"/>
      <c r="G1963" s="21"/>
      <c r="H1963" s="21"/>
      <c r="I1963" s="21"/>
      <c r="J1963" s="45"/>
      <c r="K1963" s="45"/>
      <c r="L1963" s="45"/>
      <c r="M1963" s="45"/>
      <c r="N1963" s="45"/>
      <c r="O1963" s="21"/>
      <c r="P1963" s="21"/>
      <c r="Q1963" s="21"/>
      <c r="R1963" s="25" t="str">
        <f t="shared" si="30"/>
        <v/>
      </c>
    </row>
    <row r="1964" spans="1:18">
      <c r="A1964" s="28"/>
      <c r="B1964" s="48"/>
      <c r="C1964" s="48"/>
      <c r="D1964" s="21"/>
      <c r="E1964" s="21"/>
      <c r="F1964" s="21"/>
      <c r="G1964" s="21"/>
      <c r="H1964" s="21"/>
      <c r="I1964" s="21"/>
      <c r="J1964" s="45"/>
      <c r="K1964" s="45"/>
      <c r="L1964" s="45"/>
      <c r="M1964" s="45"/>
      <c r="N1964" s="45"/>
      <c r="O1964" s="21"/>
      <c r="P1964" s="21"/>
      <c r="Q1964" s="21"/>
      <c r="R1964" s="25" t="str">
        <f t="shared" si="30"/>
        <v/>
      </c>
    </row>
    <row r="1965" spans="1:18">
      <c r="A1965" s="28"/>
      <c r="B1965" s="48"/>
      <c r="C1965" s="48"/>
      <c r="D1965" s="21"/>
      <c r="E1965" s="21"/>
      <c r="F1965" s="21"/>
      <c r="G1965" s="21"/>
      <c r="H1965" s="21"/>
      <c r="I1965" s="21"/>
      <c r="J1965" s="45"/>
      <c r="K1965" s="45"/>
      <c r="L1965" s="45"/>
      <c r="M1965" s="45"/>
      <c r="N1965" s="45"/>
      <c r="O1965" s="21"/>
      <c r="P1965" s="21"/>
      <c r="Q1965" s="21"/>
      <c r="R1965" s="25" t="str">
        <f t="shared" si="30"/>
        <v/>
      </c>
    </row>
    <row r="1966" spans="1:18">
      <c r="A1966" s="28"/>
      <c r="B1966" s="48"/>
      <c r="C1966" s="48"/>
      <c r="D1966" s="21"/>
      <c r="E1966" s="21"/>
      <c r="F1966" s="21"/>
      <c r="G1966" s="21"/>
      <c r="H1966" s="21"/>
      <c r="I1966" s="21"/>
      <c r="J1966" s="45"/>
      <c r="K1966" s="45"/>
      <c r="L1966" s="45"/>
      <c r="M1966" s="45"/>
      <c r="N1966" s="45"/>
      <c r="O1966" s="21"/>
      <c r="P1966" s="21"/>
      <c r="Q1966" s="21"/>
      <c r="R1966" s="25" t="str">
        <f t="shared" si="30"/>
        <v/>
      </c>
    </row>
    <row r="1967" spans="1:18">
      <c r="A1967" s="28"/>
      <c r="B1967" s="48"/>
      <c r="C1967" s="48"/>
      <c r="D1967" s="21"/>
      <c r="E1967" s="21"/>
      <c r="F1967" s="21"/>
      <c r="G1967" s="21"/>
      <c r="H1967" s="21"/>
      <c r="I1967" s="21"/>
      <c r="J1967" s="45"/>
      <c r="K1967" s="45"/>
      <c r="L1967" s="45"/>
      <c r="M1967" s="45"/>
      <c r="N1967" s="45"/>
      <c r="O1967" s="21"/>
      <c r="P1967" s="21"/>
      <c r="Q1967" s="21"/>
      <c r="R1967" s="25" t="str">
        <f t="shared" si="30"/>
        <v/>
      </c>
    </row>
    <row r="1968" spans="1:18">
      <c r="A1968" s="28"/>
      <c r="B1968" s="48"/>
      <c r="C1968" s="48"/>
      <c r="D1968" s="21"/>
      <c r="E1968" s="21"/>
      <c r="F1968" s="21"/>
      <c r="G1968" s="21"/>
      <c r="H1968" s="21"/>
      <c r="I1968" s="21"/>
      <c r="J1968" s="45"/>
      <c r="K1968" s="45"/>
      <c r="L1968" s="45"/>
      <c r="M1968" s="45"/>
      <c r="N1968" s="45"/>
      <c r="O1968" s="21"/>
      <c r="P1968" s="21"/>
      <c r="Q1968" s="21"/>
      <c r="R1968" s="25" t="str">
        <f t="shared" si="30"/>
        <v/>
      </c>
    </row>
    <row r="1969" spans="1:18">
      <c r="A1969" s="28"/>
      <c r="B1969" s="48"/>
      <c r="C1969" s="48"/>
      <c r="D1969" s="21"/>
      <c r="E1969" s="21"/>
      <c r="F1969" s="21"/>
      <c r="G1969" s="21"/>
      <c r="H1969" s="21"/>
      <c r="I1969" s="21"/>
      <c r="J1969" s="45"/>
      <c r="K1969" s="45"/>
      <c r="L1969" s="45"/>
      <c r="M1969" s="45"/>
      <c r="N1969" s="45"/>
      <c r="O1969" s="21"/>
      <c r="P1969" s="21"/>
      <c r="Q1969" s="21"/>
      <c r="R1969" s="25" t="str">
        <f t="shared" si="30"/>
        <v/>
      </c>
    </row>
    <row r="1970" spans="1:18">
      <c r="A1970" s="28"/>
      <c r="B1970" s="48"/>
      <c r="C1970" s="48"/>
      <c r="D1970" s="21"/>
      <c r="E1970" s="21"/>
      <c r="F1970" s="21"/>
      <c r="G1970" s="21"/>
      <c r="H1970" s="21"/>
      <c r="I1970" s="21"/>
      <c r="J1970" s="45"/>
      <c r="K1970" s="45"/>
      <c r="L1970" s="45"/>
      <c r="M1970" s="45"/>
      <c r="N1970" s="45"/>
      <c r="O1970" s="21"/>
      <c r="P1970" s="21"/>
      <c r="Q1970" s="21"/>
      <c r="R1970" s="25" t="str">
        <f t="shared" si="30"/>
        <v/>
      </c>
    </row>
    <row r="1971" spans="1:18">
      <c r="A1971" s="28"/>
      <c r="B1971" s="48"/>
      <c r="C1971" s="48"/>
      <c r="D1971" s="21"/>
      <c r="E1971" s="21"/>
      <c r="F1971" s="21"/>
      <c r="G1971" s="21"/>
      <c r="H1971" s="21"/>
      <c r="I1971" s="21"/>
      <c r="J1971" s="45"/>
      <c r="K1971" s="45"/>
      <c r="L1971" s="45"/>
      <c r="M1971" s="45"/>
      <c r="N1971" s="45"/>
      <c r="O1971" s="21"/>
      <c r="P1971" s="21"/>
      <c r="Q1971" s="21"/>
      <c r="R1971" s="25" t="str">
        <f t="shared" ref="R1971:R2010" si="31">IF(COUNTIF($A$17:$A$2010,$A1971)&gt;1,"Possible Duplicate","")</f>
        <v/>
      </c>
    </row>
    <row r="1972" spans="1:18">
      <c r="A1972" s="28"/>
      <c r="B1972" s="48"/>
      <c r="C1972" s="48"/>
      <c r="D1972" s="21"/>
      <c r="E1972" s="21"/>
      <c r="F1972" s="21"/>
      <c r="G1972" s="21"/>
      <c r="H1972" s="21"/>
      <c r="I1972" s="21"/>
      <c r="J1972" s="45"/>
      <c r="K1972" s="45"/>
      <c r="L1972" s="45"/>
      <c r="M1972" s="45"/>
      <c r="N1972" s="45"/>
      <c r="O1972" s="21"/>
      <c r="P1972" s="21"/>
      <c r="Q1972" s="21"/>
      <c r="R1972" s="25" t="str">
        <f t="shared" si="31"/>
        <v/>
      </c>
    </row>
    <row r="1973" spans="1:18">
      <c r="A1973" s="28"/>
      <c r="B1973" s="48"/>
      <c r="C1973" s="48"/>
      <c r="D1973" s="21"/>
      <c r="E1973" s="21"/>
      <c r="F1973" s="21"/>
      <c r="G1973" s="21"/>
      <c r="H1973" s="21"/>
      <c r="I1973" s="21"/>
      <c r="J1973" s="45"/>
      <c r="K1973" s="45"/>
      <c r="L1973" s="45"/>
      <c r="M1973" s="45"/>
      <c r="N1973" s="45"/>
      <c r="O1973" s="21"/>
      <c r="P1973" s="21"/>
      <c r="Q1973" s="21"/>
      <c r="R1973" s="25" t="str">
        <f t="shared" si="31"/>
        <v/>
      </c>
    </row>
    <row r="1974" spans="1:18">
      <c r="A1974" s="28"/>
      <c r="B1974" s="48"/>
      <c r="C1974" s="48"/>
      <c r="D1974" s="21"/>
      <c r="E1974" s="21"/>
      <c r="F1974" s="21"/>
      <c r="G1974" s="21"/>
      <c r="H1974" s="21"/>
      <c r="I1974" s="21"/>
      <c r="J1974" s="45"/>
      <c r="K1974" s="45"/>
      <c r="L1974" s="45"/>
      <c r="M1974" s="45"/>
      <c r="N1974" s="45"/>
      <c r="O1974" s="21"/>
      <c r="P1974" s="21"/>
      <c r="Q1974" s="21"/>
      <c r="R1974" s="25" t="str">
        <f t="shared" si="31"/>
        <v/>
      </c>
    </row>
    <row r="1975" spans="1:18">
      <c r="A1975" s="28"/>
      <c r="B1975" s="48"/>
      <c r="C1975" s="48"/>
      <c r="D1975" s="21"/>
      <c r="E1975" s="21"/>
      <c r="F1975" s="21"/>
      <c r="G1975" s="21"/>
      <c r="H1975" s="21"/>
      <c r="I1975" s="21"/>
      <c r="J1975" s="45"/>
      <c r="K1975" s="45"/>
      <c r="L1975" s="45"/>
      <c r="M1975" s="45"/>
      <c r="N1975" s="45"/>
      <c r="O1975" s="21"/>
      <c r="P1975" s="21"/>
      <c r="Q1975" s="21"/>
      <c r="R1975" s="25" t="str">
        <f t="shared" si="31"/>
        <v/>
      </c>
    </row>
    <row r="1976" spans="1:18">
      <c r="A1976" s="28"/>
      <c r="B1976" s="48"/>
      <c r="C1976" s="48"/>
      <c r="D1976" s="21"/>
      <c r="E1976" s="21"/>
      <c r="F1976" s="21"/>
      <c r="G1976" s="21"/>
      <c r="H1976" s="21"/>
      <c r="I1976" s="21"/>
      <c r="J1976" s="45"/>
      <c r="K1976" s="45"/>
      <c r="L1976" s="45"/>
      <c r="M1976" s="45"/>
      <c r="N1976" s="45"/>
      <c r="O1976" s="21"/>
      <c r="P1976" s="21"/>
      <c r="Q1976" s="21"/>
      <c r="R1976" s="25" t="str">
        <f t="shared" si="31"/>
        <v/>
      </c>
    </row>
    <row r="1977" spans="1:18">
      <c r="A1977" s="28"/>
      <c r="B1977" s="48"/>
      <c r="C1977" s="48"/>
      <c r="D1977" s="21"/>
      <c r="E1977" s="21"/>
      <c r="F1977" s="21"/>
      <c r="G1977" s="21"/>
      <c r="H1977" s="21"/>
      <c r="I1977" s="21"/>
      <c r="J1977" s="45"/>
      <c r="K1977" s="45"/>
      <c r="L1977" s="45"/>
      <c r="M1977" s="45"/>
      <c r="N1977" s="45"/>
      <c r="O1977" s="21"/>
      <c r="P1977" s="21"/>
      <c r="Q1977" s="21"/>
      <c r="R1977" s="25" t="str">
        <f t="shared" si="31"/>
        <v/>
      </c>
    </row>
    <row r="1978" spans="1:18">
      <c r="A1978" s="28"/>
      <c r="B1978" s="48"/>
      <c r="C1978" s="48"/>
      <c r="D1978" s="21"/>
      <c r="E1978" s="21"/>
      <c r="F1978" s="21"/>
      <c r="G1978" s="21"/>
      <c r="H1978" s="21"/>
      <c r="I1978" s="21"/>
      <c r="J1978" s="45"/>
      <c r="K1978" s="45"/>
      <c r="L1978" s="45"/>
      <c r="M1978" s="45"/>
      <c r="N1978" s="45"/>
      <c r="O1978" s="21"/>
      <c r="P1978" s="21"/>
      <c r="Q1978" s="21"/>
      <c r="R1978" s="25" t="str">
        <f t="shared" si="31"/>
        <v/>
      </c>
    </row>
    <row r="1979" spans="1:18">
      <c r="A1979" s="28"/>
      <c r="B1979" s="48"/>
      <c r="C1979" s="48"/>
      <c r="D1979" s="21"/>
      <c r="E1979" s="21"/>
      <c r="F1979" s="21"/>
      <c r="G1979" s="21"/>
      <c r="H1979" s="21"/>
      <c r="I1979" s="21"/>
      <c r="J1979" s="45"/>
      <c r="K1979" s="45"/>
      <c r="L1979" s="45"/>
      <c r="M1979" s="45"/>
      <c r="N1979" s="45"/>
      <c r="O1979" s="21"/>
      <c r="P1979" s="21"/>
      <c r="Q1979" s="21"/>
      <c r="R1979" s="25" t="str">
        <f t="shared" si="31"/>
        <v/>
      </c>
    </row>
    <row r="1980" spans="1:18">
      <c r="A1980" s="28"/>
      <c r="B1980" s="48"/>
      <c r="C1980" s="48"/>
      <c r="D1980" s="21"/>
      <c r="E1980" s="21"/>
      <c r="F1980" s="21"/>
      <c r="G1980" s="21"/>
      <c r="H1980" s="21"/>
      <c r="I1980" s="21"/>
      <c r="J1980" s="45"/>
      <c r="K1980" s="45"/>
      <c r="L1980" s="45"/>
      <c r="M1980" s="45"/>
      <c r="N1980" s="45"/>
      <c r="O1980" s="21"/>
      <c r="P1980" s="21"/>
      <c r="Q1980" s="21"/>
      <c r="R1980" s="25" t="str">
        <f t="shared" si="31"/>
        <v/>
      </c>
    </row>
    <row r="1981" spans="1:18">
      <c r="A1981" s="28"/>
      <c r="B1981" s="48"/>
      <c r="C1981" s="48"/>
      <c r="D1981" s="21"/>
      <c r="E1981" s="21"/>
      <c r="F1981" s="21"/>
      <c r="G1981" s="21"/>
      <c r="H1981" s="21"/>
      <c r="I1981" s="21"/>
      <c r="J1981" s="45"/>
      <c r="K1981" s="45"/>
      <c r="L1981" s="45"/>
      <c r="M1981" s="45"/>
      <c r="N1981" s="45"/>
      <c r="O1981" s="21"/>
      <c r="P1981" s="21"/>
      <c r="Q1981" s="21"/>
      <c r="R1981" s="25" t="str">
        <f t="shared" si="31"/>
        <v/>
      </c>
    </row>
    <row r="1982" spans="1:18">
      <c r="A1982" s="28"/>
      <c r="B1982" s="48"/>
      <c r="C1982" s="48"/>
      <c r="D1982" s="21"/>
      <c r="E1982" s="21"/>
      <c r="F1982" s="21"/>
      <c r="G1982" s="21"/>
      <c r="H1982" s="21"/>
      <c r="I1982" s="21"/>
      <c r="J1982" s="45"/>
      <c r="K1982" s="45"/>
      <c r="L1982" s="45"/>
      <c r="M1982" s="45"/>
      <c r="N1982" s="45"/>
      <c r="O1982" s="21"/>
      <c r="P1982" s="21"/>
      <c r="Q1982" s="21"/>
      <c r="R1982" s="25" t="str">
        <f t="shared" si="31"/>
        <v/>
      </c>
    </row>
    <row r="1983" spans="1:18">
      <c r="A1983" s="28"/>
      <c r="B1983" s="48"/>
      <c r="C1983" s="48"/>
      <c r="D1983" s="21"/>
      <c r="E1983" s="21"/>
      <c r="F1983" s="21"/>
      <c r="G1983" s="21"/>
      <c r="H1983" s="21"/>
      <c r="I1983" s="21"/>
      <c r="J1983" s="45"/>
      <c r="K1983" s="45"/>
      <c r="L1983" s="45"/>
      <c r="M1983" s="45"/>
      <c r="N1983" s="45"/>
      <c r="O1983" s="21"/>
      <c r="P1983" s="21"/>
      <c r="Q1983" s="21"/>
      <c r="R1983" s="25" t="str">
        <f t="shared" si="31"/>
        <v/>
      </c>
    </row>
    <row r="1984" spans="1:18">
      <c r="A1984" s="28"/>
      <c r="B1984" s="48"/>
      <c r="C1984" s="48"/>
      <c r="D1984" s="21"/>
      <c r="E1984" s="21"/>
      <c r="F1984" s="21"/>
      <c r="G1984" s="21"/>
      <c r="H1984" s="21"/>
      <c r="I1984" s="21"/>
      <c r="J1984" s="45"/>
      <c r="K1984" s="45"/>
      <c r="L1984" s="45"/>
      <c r="M1984" s="45"/>
      <c r="N1984" s="45"/>
      <c r="O1984" s="21"/>
      <c r="P1984" s="21"/>
      <c r="Q1984" s="21"/>
      <c r="R1984" s="25" t="str">
        <f t="shared" si="31"/>
        <v/>
      </c>
    </row>
    <row r="1985" spans="1:18">
      <c r="A1985" s="28"/>
      <c r="B1985" s="48"/>
      <c r="C1985" s="48"/>
      <c r="D1985" s="21"/>
      <c r="E1985" s="21"/>
      <c r="F1985" s="21"/>
      <c r="G1985" s="21"/>
      <c r="H1985" s="21"/>
      <c r="I1985" s="21"/>
      <c r="J1985" s="45"/>
      <c r="K1985" s="45"/>
      <c r="L1985" s="45"/>
      <c r="M1985" s="45"/>
      <c r="N1985" s="45"/>
      <c r="O1985" s="21"/>
      <c r="P1985" s="21"/>
      <c r="Q1985" s="21"/>
      <c r="R1985" s="25" t="str">
        <f t="shared" si="31"/>
        <v/>
      </c>
    </row>
    <row r="1986" spans="1:18">
      <c r="A1986" s="28"/>
      <c r="B1986" s="48"/>
      <c r="C1986" s="48"/>
      <c r="D1986" s="21"/>
      <c r="E1986" s="21"/>
      <c r="F1986" s="21"/>
      <c r="G1986" s="21"/>
      <c r="H1986" s="21"/>
      <c r="I1986" s="21"/>
      <c r="J1986" s="45"/>
      <c r="K1986" s="45"/>
      <c r="L1986" s="45"/>
      <c r="M1986" s="45"/>
      <c r="N1986" s="45"/>
      <c r="O1986" s="21"/>
      <c r="P1986" s="21"/>
      <c r="Q1986" s="21"/>
      <c r="R1986" s="25" t="str">
        <f t="shared" si="31"/>
        <v/>
      </c>
    </row>
    <row r="1987" spans="1:18">
      <c r="A1987" s="28"/>
      <c r="B1987" s="48"/>
      <c r="C1987" s="48"/>
      <c r="D1987" s="21"/>
      <c r="E1987" s="21"/>
      <c r="F1987" s="21"/>
      <c r="G1987" s="21"/>
      <c r="H1987" s="21"/>
      <c r="I1987" s="21"/>
      <c r="J1987" s="45"/>
      <c r="K1987" s="45"/>
      <c r="L1987" s="45"/>
      <c r="M1987" s="45"/>
      <c r="N1987" s="45"/>
      <c r="O1987" s="21"/>
      <c r="P1987" s="21"/>
      <c r="Q1987" s="21"/>
      <c r="R1987" s="25" t="str">
        <f t="shared" si="31"/>
        <v/>
      </c>
    </row>
    <row r="1988" spans="1:18">
      <c r="A1988" s="28"/>
      <c r="B1988" s="48"/>
      <c r="C1988" s="48"/>
      <c r="D1988" s="21"/>
      <c r="E1988" s="21"/>
      <c r="F1988" s="21"/>
      <c r="G1988" s="21"/>
      <c r="H1988" s="21"/>
      <c r="I1988" s="21"/>
      <c r="J1988" s="45"/>
      <c r="K1988" s="45"/>
      <c r="L1988" s="45"/>
      <c r="M1988" s="45"/>
      <c r="N1988" s="45"/>
      <c r="O1988" s="21"/>
      <c r="P1988" s="21"/>
      <c r="Q1988" s="21"/>
      <c r="R1988" s="25" t="str">
        <f t="shared" si="31"/>
        <v/>
      </c>
    </row>
    <row r="1989" spans="1:18">
      <c r="A1989" s="28"/>
      <c r="B1989" s="48"/>
      <c r="C1989" s="48"/>
      <c r="D1989" s="21"/>
      <c r="E1989" s="21"/>
      <c r="F1989" s="21"/>
      <c r="G1989" s="21"/>
      <c r="H1989" s="21"/>
      <c r="I1989" s="21"/>
      <c r="J1989" s="45"/>
      <c r="K1989" s="45"/>
      <c r="L1989" s="45"/>
      <c r="M1989" s="45"/>
      <c r="N1989" s="45"/>
      <c r="O1989" s="21"/>
      <c r="P1989" s="21"/>
      <c r="Q1989" s="21"/>
      <c r="R1989" s="25" t="str">
        <f t="shared" si="31"/>
        <v/>
      </c>
    </row>
    <row r="1990" spans="1:18">
      <c r="A1990" s="28"/>
      <c r="B1990" s="48"/>
      <c r="C1990" s="48"/>
      <c r="D1990" s="21"/>
      <c r="E1990" s="21"/>
      <c r="F1990" s="21"/>
      <c r="G1990" s="21"/>
      <c r="H1990" s="21"/>
      <c r="I1990" s="21"/>
      <c r="J1990" s="45"/>
      <c r="K1990" s="45"/>
      <c r="L1990" s="45"/>
      <c r="M1990" s="45"/>
      <c r="N1990" s="45"/>
      <c r="O1990" s="21"/>
      <c r="P1990" s="21"/>
      <c r="Q1990" s="21"/>
      <c r="R1990" s="25" t="str">
        <f t="shared" si="31"/>
        <v/>
      </c>
    </row>
    <row r="1991" spans="1:18">
      <c r="A1991" s="28"/>
      <c r="B1991" s="48"/>
      <c r="C1991" s="48"/>
      <c r="D1991" s="21"/>
      <c r="E1991" s="21"/>
      <c r="F1991" s="21"/>
      <c r="G1991" s="21"/>
      <c r="H1991" s="21"/>
      <c r="I1991" s="21"/>
      <c r="J1991" s="45"/>
      <c r="K1991" s="45"/>
      <c r="L1991" s="45"/>
      <c r="M1991" s="45"/>
      <c r="N1991" s="45"/>
      <c r="O1991" s="21"/>
      <c r="P1991" s="21"/>
      <c r="Q1991" s="21"/>
      <c r="R1991" s="25" t="str">
        <f t="shared" si="31"/>
        <v/>
      </c>
    </row>
    <row r="1992" spans="1:18">
      <c r="A1992" s="28"/>
      <c r="B1992" s="48"/>
      <c r="C1992" s="48"/>
      <c r="D1992" s="21"/>
      <c r="E1992" s="21"/>
      <c r="F1992" s="21"/>
      <c r="G1992" s="21"/>
      <c r="H1992" s="21"/>
      <c r="I1992" s="21"/>
      <c r="J1992" s="45"/>
      <c r="K1992" s="45"/>
      <c r="L1992" s="45"/>
      <c r="M1992" s="45"/>
      <c r="N1992" s="45"/>
      <c r="O1992" s="21"/>
      <c r="P1992" s="21"/>
      <c r="Q1992" s="21"/>
      <c r="R1992" s="25" t="str">
        <f t="shared" si="31"/>
        <v/>
      </c>
    </row>
    <row r="1993" spans="1:18">
      <c r="A1993" s="28"/>
      <c r="B1993" s="48"/>
      <c r="C1993" s="48"/>
      <c r="D1993" s="21"/>
      <c r="E1993" s="21"/>
      <c r="F1993" s="21"/>
      <c r="G1993" s="21"/>
      <c r="H1993" s="21"/>
      <c r="I1993" s="21"/>
      <c r="J1993" s="45"/>
      <c r="K1993" s="45"/>
      <c r="L1993" s="45"/>
      <c r="M1993" s="45"/>
      <c r="N1993" s="45"/>
      <c r="O1993" s="21"/>
      <c r="P1993" s="21"/>
      <c r="Q1993" s="21"/>
      <c r="R1993" s="25" t="str">
        <f t="shared" si="31"/>
        <v/>
      </c>
    </row>
    <row r="1994" spans="1:18">
      <c r="A1994" s="28"/>
      <c r="B1994" s="48"/>
      <c r="C1994" s="48"/>
      <c r="D1994" s="21"/>
      <c r="E1994" s="21"/>
      <c r="F1994" s="21"/>
      <c r="G1994" s="21"/>
      <c r="H1994" s="21"/>
      <c r="I1994" s="21"/>
      <c r="J1994" s="45"/>
      <c r="K1994" s="45"/>
      <c r="L1994" s="45"/>
      <c r="M1994" s="45"/>
      <c r="N1994" s="45"/>
      <c r="O1994" s="21"/>
      <c r="P1994" s="21"/>
      <c r="Q1994" s="21"/>
      <c r="R1994" s="25" t="str">
        <f t="shared" si="31"/>
        <v/>
      </c>
    </row>
    <row r="1995" spans="1:18">
      <c r="A1995" s="28"/>
      <c r="B1995" s="48"/>
      <c r="C1995" s="48"/>
      <c r="D1995" s="21"/>
      <c r="E1995" s="21"/>
      <c r="F1995" s="21"/>
      <c r="G1995" s="21"/>
      <c r="H1995" s="21"/>
      <c r="I1995" s="21"/>
      <c r="J1995" s="45"/>
      <c r="K1995" s="45"/>
      <c r="L1995" s="45"/>
      <c r="M1995" s="45"/>
      <c r="N1995" s="45"/>
      <c r="O1995" s="21"/>
      <c r="P1995" s="21"/>
      <c r="Q1995" s="21"/>
      <c r="R1995" s="25" t="str">
        <f t="shared" si="31"/>
        <v/>
      </c>
    </row>
    <row r="1996" spans="1:18">
      <c r="A1996" s="28"/>
      <c r="B1996" s="48"/>
      <c r="C1996" s="48"/>
      <c r="D1996" s="21"/>
      <c r="E1996" s="21"/>
      <c r="F1996" s="21"/>
      <c r="G1996" s="21"/>
      <c r="H1996" s="21"/>
      <c r="I1996" s="21"/>
      <c r="J1996" s="45"/>
      <c r="K1996" s="45"/>
      <c r="L1996" s="45"/>
      <c r="M1996" s="45"/>
      <c r="N1996" s="45"/>
      <c r="O1996" s="21"/>
      <c r="P1996" s="21"/>
      <c r="Q1996" s="21"/>
      <c r="R1996" s="25" t="str">
        <f t="shared" si="31"/>
        <v/>
      </c>
    </row>
    <row r="1997" spans="1:18">
      <c r="A1997" s="28"/>
      <c r="B1997" s="48"/>
      <c r="C1997" s="48"/>
      <c r="D1997" s="21"/>
      <c r="E1997" s="21"/>
      <c r="F1997" s="21"/>
      <c r="G1997" s="21"/>
      <c r="H1997" s="21"/>
      <c r="I1997" s="21"/>
      <c r="J1997" s="45"/>
      <c r="K1997" s="45"/>
      <c r="L1997" s="45"/>
      <c r="M1997" s="45"/>
      <c r="N1997" s="45"/>
      <c r="O1997" s="21"/>
      <c r="P1997" s="21"/>
      <c r="Q1997" s="21"/>
      <c r="R1997" s="25" t="str">
        <f t="shared" si="31"/>
        <v/>
      </c>
    </row>
    <row r="1998" spans="1:18">
      <c r="A1998" s="28"/>
      <c r="B1998" s="48"/>
      <c r="C1998" s="48"/>
      <c r="D1998" s="21"/>
      <c r="E1998" s="21"/>
      <c r="F1998" s="21"/>
      <c r="G1998" s="21"/>
      <c r="H1998" s="21"/>
      <c r="I1998" s="21"/>
      <c r="J1998" s="45"/>
      <c r="K1998" s="45"/>
      <c r="L1998" s="45"/>
      <c r="M1998" s="45"/>
      <c r="N1998" s="45"/>
      <c r="O1998" s="21"/>
      <c r="P1998" s="21"/>
      <c r="Q1998" s="21"/>
      <c r="R1998" s="25" t="str">
        <f t="shared" si="31"/>
        <v/>
      </c>
    </row>
    <row r="1999" spans="1:18">
      <c r="A1999" s="28"/>
      <c r="B1999" s="48"/>
      <c r="C1999" s="48"/>
      <c r="D1999" s="21"/>
      <c r="E1999" s="21"/>
      <c r="F1999" s="21"/>
      <c r="G1999" s="21"/>
      <c r="H1999" s="21"/>
      <c r="I1999" s="21"/>
      <c r="J1999" s="45"/>
      <c r="K1999" s="45"/>
      <c r="L1999" s="45"/>
      <c r="M1999" s="45"/>
      <c r="N1999" s="45"/>
      <c r="O1999" s="21"/>
      <c r="P1999" s="21"/>
      <c r="Q1999" s="21"/>
      <c r="R1999" s="25" t="str">
        <f t="shared" si="31"/>
        <v/>
      </c>
    </row>
    <row r="2000" spans="1:18">
      <c r="A2000" s="28"/>
      <c r="B2000" s="48"/>
      <c r="C2000" s="48"/>
      <c r="D2000" s="21"/>
      <c r="E2000" s="21"/>
      <c r="F2000" s="21"/>
      <c r="G2000" s="21"/>
      <c r="H2000" s="21"/>
      <c r="I2000" s="21"/>
      <c r="J2000" s="45"/>
      <c r="K2000" s="45"/>
      <c r="L2000" s="45"/>
      <c r="M2000" s="45"/>
      <c r="N2000" s="45"/>
      <c r="O2000" s="21"/>
      <c r="P2000" s="21"/>
      <c r="Q2000" s="21"/>
      <c r="R2000" s="25" t="str">
        <f t="shared" si="31"/>
        <v/>
      </c>
    </row>
    <row r="2001" spans="1:18">
      <c r="A2001" s="28"/>
      <c r="B2001" s="48"/>
      <c r="C2001" s="48"/>
      <c r="D2001" s="21"/>
      <c r="E2001" s="21"/>
      <c r="F2001" s="21"/>
      <c r="G2001" s="21"/>
      <c r="H2001" s="21"/>
      <c r="I2001" s="21"/>
      <c r="J2001" s="45"/>
      <c r="K2001" s="45"/>
      <c r="L2001" s="45"/>
      <c r="M2001" s="45"/>
      <c r="N2001" s="45"/>
      <c r="O2001" s="21"/>
      <c r="P2001" s="21"/>
      <c r="Q2001" s="21"/>
      <c r="R2001" s="25" t="str">
        <f t="shared" si="31"/>
        <v/>
      </c>
    </row>
    <row r="2002" spans="1:18">
      <c r="A2002" s="28"/>
      <c r="B2002" s="48"/>
      <c r="C2002" s="48"/>
      <c r="D2002" s="21"/>
      <c r="E2002" s="21"/>
      <c r="F2002" s="21"/>
      <c r="G2002" s="21"/>
      <c r="H2002" s="21"/>
      <c r="I2002" s="21"/>
      <c r="J2002" s="45"/>
      <c r="K2002" s="45"/>
      <c r="L2002" s="45"/>
      <c r="M2002" s="45"/>
      <c r="N2002" s="45"/>
      <c r="O2002" s="21"/>
      <c r="P2002" s="21"/>
      <c r="Q2002" s="21"/>
      <c r="R2002" s="25" t="str">
        <f t="shared" si="31"/>
        <v/>
      </c>
    </row>
    <row r="2003" spans="1:18">
      <c r="A2003" s="28"/>
      <c r="B2003" s="48"/>
      <c r="C2003" s="48"/>
      <c r="D2003" s="21"/>
      <c r="E2003" s="21"/>
      <c r="F2003" s="21"/>
      <c r="G2003" s="21"/>
      <c r="H2003" s="21"/>
      <c r="I2003" s="21"/>
      <c r="J2003" s="45"/>
      <c r="K2003" s="45"/>
      <c r="L2003" s="45"/>
      <c r="M2003" s="45"/>
      <c r="N2003" s="45"/>
      <c r="O2003" s="21"/>
      <c r="P2003" s="21"/>
      <c r="Q2003" s="21"/>
      <c r="R2003" s="25" t="str">
        <f t="shared" si="31"/>
        <v/>
      </c>
    </row>
    <row r="2004" spans="1:18">
      <c r="A2004" s="28"/>
      <c r="B2004" s="48"/>
      <c r="C2004" s="48"/>
      <c r="D2004" s="21"/>
      <c r="E2004" s="21"/>
      <c r="F2004" s="21"/>
      <c r="G2004" s="21"/>
      <c r="H2004" s="21"/>
      <c r="I2004" s="21"/>
      <c r="J2004" s="45"/>
      <c r="K2004" s="45"/>
      <c r="L2004" s="45"/>
      <c r="M2004" s="45"/>
      <c r="N2004" s="45"/>
      <c r="O2004" s="21"/>
      <c r="P2004" s="21"/>
      <c r="Q2004" s="21"/>
      <c r="R2004" s="25" t="str">
        <f t="shared" si="31"/>
        <v/>
      </c>
    </row>
    <row r="2005" spans="1:18">
      <c r="A2005" s="28"/>
      <c r="B2005" s="48"/>
      <c r="C2005" s="48"/>
      <c r="D2005" s="21"/>
      <c r="E2005" s="21"/>
      <c r="F2005" s="21"/>
      <c r="G2005" s="21"/>
      <c r="H2005" s="21"/>
      <c r="I2005" s="21"/>
      <c r="J2005" s="45"/>
      <c r="K2005" s="45"/>
      <c r="L2005" s="45"/>
      <c r="M2005" s="45"/>
      <c r="N2005" s="45"/>
      <c r="O2005" s="21"/>
      <c r="P2005" s="21"/>
      <c r="Q2005" s="21"/>
      <c r="R2005" s="25" t="str">
        <f t="shared" si="31"/>
        <v/>
      </c>
    </row>
    <row r="2006" spans="1:18">
      <c r="A2006" s="28"/>
      <c r="B2006" s="48"/>
      <c r="C2006" s="48"/>
      <c r="D2006" s="21"/>
      <c r="E2006" s="21"/>
      <c r="F2006" s="21"/>
      <c r="G2006" s="21"/>
      <c r="H2006" s="21"/>
      <c r="I2006" s="21"/>
      <c r="J2006" s="45"/>
      <c r="K2006" s="45"/>
      <c r="L2006" s="45"/>
      <c r="M2006" s="45"/>
      <c r="N2006" s="45"/>
      <c r="O2006" s="21"/>
      <c r="P2006" s="21"/>
      <c r="Q2006" s="21"/>
      <c r="R2006" s="25" t="str">
        <f t="shared" si="31"/>
        <v/>
      </c>
    </row>
    <row r="2007" spans="1:18">
      <c r="A2007" s="28"/>
      <c r="B2007" s="48"/>
      <c r="C2007" s="48"/>
      <c r="D2007" s="21"/>
      <c r="E2007" s="21"/>
      <c r="F2007" s="21"/>
      <c r="G2007" s="21"/>
      <c r="H2007" s="21"/>
      <c r="I2007" s="21"/>
      <c r="J2007" s="45"/>
      <c r="K2007" s="45"/>
      <c r="L2007" s="45"/>
      <c r="M2007" s="45"/>
      <c r="N2007" s="45"/>
      <c r="O2007" s="21"/>
      <c r="P2007" s="21"/>
      <c r="Q2007" s="21"/>
      <c r="R2007" s="25" t="str">
        <f t="shared" si="31"/>
        <v/>
      </c>
    </row>
    <row r="2008" spans="1:18">
      <c r="A2008" s="28"/>
      <c r="B2008" s="48"/>
      <c r="C2008" s="48"/>
      <c r="D2008" s="21"/>
      <c r="E2008" s="21"/>
      <c r="F2008" s="21"/>
      <c r="G2008" s="21"/>
      <c r="H2008" s="21"/>
      <c r="I2008" s="21"/>
      <c r="J2008" s="45"/>
      <c r="K2008" s="45"/>
      <c r="L2008" s="45"/>
      <c r="M2008" s="45"/>
      <c r="N2008" s="45"/>
      <c r="O2008" s="21"/>
      <c r="P2008" s="21"/>
      <c r="Q2008" s="21"/>
      <c r="R2008" s="25" t="str">
        <f t="shared" si="31"/>
        <v/>
      </c>
    </row>
    <row r="2009" spans="1:18">
      <c r="A2009" s="28"/>
      <c r="B2009" s="48"/>
      <c r="C2009" s="48"/>
      <c r="D2009" s="21"/>
      <c r="E2009" s="21"/>
      <c r="F2009" s="21"/>
      <c r="G2009" s="21"/>
      <c r="H2009" s="21"/>
      <c r="I2009" s="21"/>
      <c r="J2009" s="45"/>
      <c r="K2009" s="45"/>
      <c r="L2009" s="45"/>
      <c r="M2009" s="45"/>
      <c r="N2009" s="45"/>
      <c r="O2009" s="21"/>
      <c r="P2009" s="21"/>
      <c r="Q2009" s="21"/>
      <c r="R2009" s="25" t="str">
        <f t="shared" si="31"/>
        <v/>
      </c>
    </row>
    <row r="2010" spans="1:18">
      <c r="A2010" s="28"/>
      <c r="B2010" s="48"/>
      <c r="C2010" s="48"/>
      <c r="D2010" s="21"/>
      <c r="E2010" s="21"/>
      <c r="F2010" s="21"/>
      <c r="G2010" s="21"/>
      <c r="H2010" s="21"/>
      <c r="I2010" s="21"/>
      <c r="J2010" s="45"/>
      <c r="K2010" s="45"/>
      <c r="L2010" s="45"/>
      <c r="M2010" s="45"/>
      <c r="N2010" s="45"/>
      <c r="O2010" s="21"/>
      <c r="P2010" s="21"/>
      <c r="Q2010" s="21"/>
      <c r="R2010" s="25" t="str">
        <f t="shared" si="31"/>
        <v/>
      </c>
    </row>
    <row r="2011" spans="1:18">
      <c r="A2011" s="28"/>
      <c r="B2011" s="21"/>
      <c r="C2011" s="21"/>
      <c r="D2011" s="21"/>
      <c r="E2011" s="21"/>
      <c r="F2011" s="21"/>
      <c r="G2011" s="21"/>
      <c r="H2011" s="21"/>
      <c r="I2011" s="21"/>
      <c r="J2011" s="21"/>
      <c r="K2011" s="21"/>
      <c r="L2011" s="21"/>
      <c r="M2011" s="21"/>
      <c r="N2011" s="21"/>
      <c r="O2011" s="21"/>
      <c r="P2011" s="21"/>
      <c r="Q2011" s="21"/>
    </row>
    <row r="2012" spans="1:18">
      <c r="A2012" s="28"/>
      <c r="B2012" s="21"/>
      <c r="C2012" s="21"/>
      <c r="D2012" s="21"/>
      <c r="E2012" s="21"/>
      <c r="F2012" s="21"/>
      <c r="G2012" s="21"/>
      <c r="H2012" s="21"/>
      <c r="I2012" s="21"/>
      <c r="J2012" s="21"/>
      <c r="K2012" s="21"/>
      <c r="L2012" s="21"/>
      <c r="M2012" s="21"/>
      <c r="N2012" s="21"/>
      <c r="O2012" s="21"/>
      <c r="P2012" s="21"/>
      <c r="Q2012" s="21"/>
    </row>
    <row r="2013" spans="1:18">
      <c r="A2013" s="28"/>
      <c r="B2013" s="21"/>
      <c r="C2013" s="21"/>
      <c r="D2013" s="21"/>
      <c r="E2013" s="21"/>
      <c r="F2013" s="21"/>
      <c r="G2013" s="21"/>
      <c r="H2013" s="21"/>
      <c r="I2013" s="21"/>
      <c r="J2013" s="21"/>
      <c r="K2013" s="21"/>
      <c r="L2013" s="21"/>
      <c r="M2013" s="21"/>
      <c r="N2013" s="21"/>
      <c r="O2013" s="21"/>
      <c r="P2013" s="21"/>
      <c r="Q2013" s="21"/>
    </row>
  </sheetData>
  <sheetProtection algorithmName="SHA-512" hashValue="rb53VClk3/JSuMAqh/12g7GuLmvBtjpkWLAv/U/X8POyRsMFIWkv7mFdDfF+zt5LX0mZ/5kzsOcFhrINiQYi7g==" saltValue="movZDL/ZXgajSJqCdd/V4A==" spinCount="100000" sheet="1" objects="1" scenarios="1"/>
  <mergeCells count="1">
    <mergeCell ref="I1:N1"/>
  </mergeCells>
  <conditionalFormatting sqref="A1">
    <cfRule type="expression" dxfId="298" priority="2163">
      <formula>CELL("protect",A2:Q511)</formula>
    </cfRule>
  </conditionalFormatting>
  <conditionalFormatting sqref="A15">
    <cfRule type="expression" dxfId="297" priority="4968">
      <formula>CELL("protect",B15:R514)</formula>
    </cfRule>
  </conditionalFormatting>
  <conditionalFormatting sqref="A7:B9">
    <cfRule type="expression" dxfId="296" priority="3888">
      <formula>CELL("protect",A7:Q512)</formula>
    </cfRule>
  </conditionalFormatting>
  <conditionalFormatting sqref="A10:B12">
    <cfRule type="expression" dxfId="295" priority="3889">
      <formula>CELL("protect",A10:Q512)</formula>
    </cfRule>
  </conditionalFormatting>
  <conditionalFormatting sqref="A13:B13">
    <cfRule type="expression" dxfId="294" priority="3874">
      <formula>CELL("protect",A13:Q513)</formula>
    </cfRule>
  </conditionalFormatting>
  <conditionalFormatting sqref="A14:B14">
    <cfRule type="expression" dxfId="293" priority="3890">
      <formula>CELL("protect",A14:Q513)</formula>
    </cfRule>
  </conditionalFormatting>
  <conditionalFormatting sqref="A17:B1048080">
    <cfRule type="expression" dxfId="292" priority="930">
      <formula>CELL("protect",A17:AE516)</formula>
    </cfRule>
  </conditionalFormatting>
  <conditionalFormatting sqref="A1048081:B1048575">
    <cfRule type="expression" dxfId="291" priority="3892">
      <formula>CELL("protect",A1:Q1048081)</formula>
    </cfRule>
  </conditionalFormatting>
  <conditionalFormatting sqref="A1048576:B1048576">
    <cfRule type="expression" dxfId="290" priority="2152">
      <formula>CELL("protect",A1:L496)</formula>
    </cfRule>
  </conditionalFormatting>
  <conditionalFormatting sqref="A16:P16">
    <cfRule type="expression" dxfId="289" priority="3875">
      <formula>CELL("protect",A16:Q514)</formula>
    </cfRule>
  </conditionalFormatting>
  <conditionalFormatting sqref="B1:B4 F2:P2 A2:A4 D2:D5 C2:C6 E2:E9 G3:G5 H3:H7 O3:O7 P3:P14 A5:B6">
    <cfRule type="expression" dxfId="288" priority="2095">
      <formula>CELL("protect",A1:Q510)</formula>
    </cfRule>
  </conditionalFormatting>
  <conditionalFormatting sqref="B15">
    <cfRule type="expression" dxfId="287" priority="1">
      <formula>CELL("protect",B15:R517)</formula>
    </cfRule>
  </conditionalFormatting>
  <conditionalFormatting sqref="C1">
    <cfRule type="expression" dxfId="286" priority="2098">
      <formula>CELL("protect",C1:U510)</formula>
    </cfRule>
  </conditionalFormatting>
  <conditionalFormatting sqref="C7:C9">
    <cfRule type="expression" dxfId="285" priority="3897">
      <formula>CELL("protect",C7:U512)</formula>
    </cfRule>
  </conditionalFormatting>
  <conditionalFormatting sqref="C10:C12">
    <cfRule type="expression" dxfId="284" priority="3898">
      <formula>CELL("protect",C10:U512)</formula>
    </cfRule>
  </conditionalFormatting>
  <conditionalFormatting sqref="C13">
    <cfRule type="expression" dxfId="283" priority="1012">
      <formula>CELL("protect",C13:U513)</formula>
    </cfRule>
  </conditionalFormatting>
  <conditionalFormatting sqref="C14:C15">
    <cfRule type="expression" dxfId="282" priority="204">
      <formula>CELL("protect",C14:U513)</formula>
    </cfRule>
  </conditionalFormatting>
  <conditionalFormatting sqref="C17:C1048080">
    <cfRule type="expression" dxfId="281" priority="206">
      <formula>CELL("protect",C17:AI516)</formula>
    </cfRule>
  </conditionalFormatting>
  <conditionalFormatting sqref="C1048081:C1048575">
    <cfRule type="expression" dxfId="280" priority="3899">
      <formula>CELL("protect",C1:W1048081)</formula>
    </cfRule>
  </conditionalFormatting>
  <conditionalFormatting sqref="C1048576">
    <cfRule type="expression" dxfId="279" priority="2101">
      <formula>CELL("protect",C1:R496)</formula>
    </cfRule>
  </conditionalFormatting>
  <conditionalFormatting sqref="D1 D6">
    <cfRule type="expression" dxfId="278" priority="314">
      <formula>CELL("protect",D1:Z510)</formula>
    </cfRule>
  </conditionalFormatting>
  <conditionalFormatting sqref="D7:D9">
    <cfRule type="expression" dxfId="277" priority="3902">
      <formula>CELL("protect",D7:Z512)</formula>
    </cfRule>
  </conditionalFormatting>
  <conditionalFormatting sqref="D10:D12">
    <cfRule type="expression" dxfId="276" priority="3903">
      <formula>CELL("protect",D10:Z512)</formula>
    </cfRule>
  </conditionalFormatting>
  <conditionalFormatting sqref="D13">
    <cfRule type="expression" dxfId="275" priority="1018">
      <formula>CELL("protect",D13:Z513)</formula>
    </cfRule>
  </conditionalFormatting>
  <conditionalFormatting sqref="D14">
    <cfRule type="expression" dxfId="274" priority="288">
      <formula>CELL("protect",D14:Z513)</formula>
    </cfRule>
  </conditionalFormatting>
  <conditionalFormatting sqref="D17:D1048080">
    <cfRule type="expression" dxfId="273" priority="290">
      <formula>CELL("protect",D17:AN516)</formula>
    </cfRule>
  </conditionalFormatting>
  <conditionalFormatting sqref="D1048081:D1048575">
    <cfRule type="expression" dxfId="272" priority="3904">
      <formula>CELL("protect",D1:AB1048081)</formula>
    </cfRule>
  </conditionalFormatting>
  <conditionalFormatting sqref="D1048576">
    <cfRule type="expression" dxfId="271" priority="2106">
      <formula>CELL("protect",D1:W496)</formula>
    </cfRule>
  </conditionalFormatting>
  <conditionalFormatting sqref="D15:H15">
    <cfRule type="expression" dxfId="270" priority="6">
      <formula>CELL("protect",D15:V514)</formula>
    </cfRule>
  </conditionalFormatting>
  <conditionalFormatting sqref="E1">
    <cfRule type="expression" dxfId="269" priority="2108">
      <formula>CELL("protect",E1:AD510)</formula>
    </cfRule>
  </conditionalFormatting>
  <conditionalFormatting sqref="E10:E12">
    <cfRule type="expression" dxfId="268" priority="3906">
      <formula>CELL("protect",E10:AD512)</formula>
    </cfRule>
  </conditionalFormatting>
  <conditionalFormatting sqref="E13">
    <cfRule type="expression" dxfId="267" priority="1024">
      <formula>CELL("protect",E13:AD513)</formula>
    </cfRule>
  </conditionalFormatting>
  <conditionalFormatting sqref="E14">
    <cfRule type="expression" dxfId="266" priority="397">
      <formula>CELL("protect",E14:AD513)</formula>
    </cfRule>
  </conditionalFormatting>
  <conditionalFormatting sqref="E17:E1048080">
    <cfRule type="expression" dxfId="265" priority="399">
      <formula>CELL("protect",E17:AR516)</formula>
    </cfRule>
  </conditionalFormatting>
  <conditionalFormatting sqref="E1048081:E1048575">
    <cfRule type="expression" dxfId="264" priority="3907">
      <formula>CELL("protect",E1:AF1048081)</formula>
    </cfRule>
  </conditionalFormatting>
  <conditionalFormatting sqref="E1048576">
    <cfRule type="expression" dxfId="263" priority="2110">
      <formula>CELL("protect",E1:AA496)</formula>
    </cfRule>
  </conditionalFormatting>
  <conditionalFormatting sqref="F1:G1 F3:F5 F6:G6">
    <cfRule type="expression" dxfId="262" priority="611">
      <formula>CELL("protect",F1:AL510)</formula>
    </cfRule>
  </conditionalFormatting>
  <conditionalFormatting sqref="F7:G9">
    <cfRule type="expression" dxfId="261" priority="3910">
      <formula>CELL("protect",F7:AL512)</formula>
    </cfRule>
  </conditionalFormatting>
  <conditionalFormatting sqref="F10:G12">
    <cfRule type="expression" dxfId="260" priority="3911">
      <formula>CELL("protect",F10:AL512)</formula>
    </cfRule>
  </conditionalFormatting>
  <conditionalFormatting sqref="F13:G13">
    <cfRule type="expression" dxfId="259" priority="3912">
      <formula>CELL("protect",F13:AL513)</formula>
    </cfRule>
  </conditionalFormatting>
  <conditionalFormatting sqref="F14:G14">
    <cfRule type="expression" dxfId="258" priority="3880">
      <formula>CELL("protect",F14:AL513)</formula>
    </cfRule>
  </conditionalFormatting>
  <conditionalFormatting sqref="F17:G1048080">
    <cfRule type="expression" dxfId="257" priority="921">
      <formula>CELL("protect",F17:AZ516)</formula>
    </cfRule>
  </conditionalFormatting>
  <conditionalFormatting sqref="F1048081:G1048575">
    <cfRule type="expression" dxfId="256" priority="3913">
      <formula>CELL("protect",F1:AN1048081)</formula>
    </cfRule>
  </conditionalFormatting>
  <conditionalFormatting sqref="F1048576:G1048576">
    <cfRule type="expression" dxfId="255" priority="2156">
      <formula>CELL("protect",F1:AI496)</formula>
    </cfRule>
  </conditionalFormatting>
  <conditionalFormatting sqref="H1">
    <cfRule type="expression" dxfId="254" priority="2114">
      <formula>CELL("protect",H1:AQ510)</formula>
    </cfRule>
  </conditionalFormatting>
  <conditionalFormatting sqref="H8:H9">
    <cfRule type="expression" dxfId="253" priority="3916">
      <formula>CELL("protect",H8:AQ513)</formula>
    </cfRule>
  </conditionalFormatting>
  <conditionalFormatting sqref="H13">
    <cfRule type="expression" dxfId="252" priority="1031">
      <formula>CELL("protect",H13:AQ513)</formula>
    </cfRule>
  </conditionalFormatting>
  <conditionalFormatting sqref="H14">
    <cfRule type="expression" dxfId="251" priority="698">
      <formula>CELL("protect",H14:AQ513)</formula>
    </cfRule>
  </conditionalFormatting>
  <conditionalFormatting sqref="H17:H1048080">
    <cfRule type="expression" dxfId="250" priority="700">
      <formula>CELL("protect",H17:BE516)</formula>
    </cfRule>
  </conditionalFormatting>
  <conditionalFormatting sqref="H1048081:H1048575">
    <cfRule type="expression" dxfId="249" priority="3917">
      <formula>CELL("protect",H1:AS1048081)</formula>
    </cfRule>
  </conditionalFormatting>
  <conditionalFormatting sqref="H1048576">
    <cfRule type="expression" dxfId="248" priority="2117">
      <formula>CELL("protect",H1:AN496)</formula>
    </cfRule>
  </conditionalFormatting>
  <conditionalFormatting sqref="I1">
    <cfRule type="expression" dxfId="247" priority="2119">
      <formula>CELL("protect",I1:AW510)</formula>
    </cfRule>
  </conditionalFormatting>
  <conditionalFormatting sqref="I3:N3">
    <cfRule type="expression" dxfId="246" priority="1195">
      <formula>CELL("protect",O2:AX511)</formula>
    </cfRule>
  </conditionalFormatting>
  <conditionalFormatting sqref="I4:N4">
    <cfRule type="expression" dxfId="245" priority="1196">
      <formula>CELL("protect",O2:AY511)</formula>
    </cfRule>
  </conditionalFormatting>
  <conditionalFormatting sqref="I5:N5">
    <cfRule type="expression" dxfId="244" priority="1197">
      <formula>CELL("protect",O2:AZ511)</formula>
    </cfRule>
  </conditionalFormatting>
  <conditionalFormatting sqref="I6:N6">
    <cfRule type="expression" dxfId="243" priority="1198">
      <formula>CELL("protect",O2:BA511)</formula>
    </cfRule>
  </conditionalFormatting>
  <conditionalFormatting sqref="I7:N7">
    <cfRule type="expression" dxfId="242" priority="1199">
      <formula>CELL("protect",O2:BB511)</formula>
    </cfRule>
  </conditionalFormatting>
  <conditionalFormatting sqref="I8:N15 H10:H12">
    <cfRule type="expression" dxfId="241" priority="3918">
      <formula>CELL("protect",H8:AQ510)</formula>
    </cfRule>
  </conditionalFormatting>
  <conditionalFormatting sqref="I17:N1048080">
    <cfRule type="expression" dxfId="240" priority="824">
      <formula>CELL("protect",I17:BK516)</formula>
    </cfRule>
  </conditionalFormatting>
  <conditionalFormatting sqref="I1048576:N1048576">
    <cfRule type="expression" dxfId="239" priority="2120">
      <formula>CELL("protect",I1:AT496)</formula>
    </cfRule>
  </conditionalFormatting>
  <conditionalFormatting sqref="I1048081:O1048575">
    <cfRule type="expression" dxfId="238" priority="3920">
      <formula>CELL("protect",I1:AY1048081)</formula>
    </cfRule>
  </conditionalFormatting>
  <conditionalFormatting sqref="O1">
    <cfRule type="expression" dxfId="237" priority="2133">
      <formula>CELL("protect",O1:BC510)</formula>
    </cfRule>
  </conditionalFormatting>
  <conditionalFormatting sqref="O8:O9">
    <cfRule type="expression" dxfId="236" priority="3922">
      <formula>CELL("protect",O8:BC513)</formula>
    </cfRule>
  </conditionalFormatting>
  <conditionalFormatting sqref="O10:O12">
    <cfRule type="expression" dxfId="235" priority="3923">
      <formula>CELL("protect",O10:BC512)</formula>
    </cfRule>
  </conditionalFormatting>
  <conditionalFormatting sqref="O13">
    <cfRule type="expression" dxfId="234" priority="3924">
      <formula>CELL("protect",O13:BC513)</formula>
    </cfRule>
  </conditionalFormatting>
  <conditionalFormatting sqref="O14 O17:O1048077">
    <cfRule type="expression" dxfId="233" priority="1339">
      <formula>CELL("protect",O14:BC513)</formula>
    </cfRule>
  </conditionalFormatting>
  <conditionalFormatting sqref="O1048078:O1048080">
    <cfRule type="expression" dxfId="232" priority="3925">
      <formula>CELL("protect",O1:BC1048078)</formula>
    </cfRule>
  </conditionalFormatting>
  <conditionalFormatting sqref="O1048576">
    <cfRule type="expression" dxfId="231" priority="2137">
      <formula>CELL("protect",O1:BE496)</formula>
    </cfRule>
  </conditionalFormatting>
  <conditionalFormatting sqref="O15:Q15">
    <cfRule type="expression" dxfId="230" priority="3">
      <formula>CELL("protect",O15:AG514)</formula>
    </cfRule>
  </conditionalFormatting>
  <conditionalFormatting sqref="P17:P1048077">
    <cfRule type="expression" dxfId="229" priority="1609">
      <formula>CELL("protect",P17:BI516)</formula>
    </cfRule>
  </conditionalFormatting>
  <conditionalFormatting sqref="P1048078:P1048080">
    <cfRule type="expression" dxfId="228" priority="3927">
      <formula>CELL("protect",P1:BI1048078)</formula>
    </cfRule>
  </conditionalFormatting>
  <conditionalFormatting sqref="P1048081:P1048575">
    <cfRule type="expression" dxfId="227" priority="3928">
      <formula>CELL("protect",P1:BK1048081)</formula>
    </cfRule>
  </conditionalFormatting>
  <conditionalFormatting sqref="P1048576">
    <cfRule type="expression" dxfId="226" priority="2142">
      <formula>CELL("protect",P1:BK496)</formula>
    </cfRule>
  </conditionalFormatting>
  <conditionalFormatting sqref="P1:Q1">
    <cfRule type="expression" dxfId="225" priority="2140">
      <formula>CELL("protect",P1:BI510)</formula>
    </cfRule>
  </conditionalFormatting>
  <conditionalFormatting sqref="Q7:XBJ9">
    <cfRule type="expression" dxfId="224" priority="3930">
      <formula>CELL("protect",Q7:BV512)</formula>
    </cfRule>
  </conditionalFormatting>
  <conditionalFormatting sqref="Q10:XBJ12">
    <cfRule type="expression" dxfId="223" priority="3931">
      <formula>CELL("protect",Q10:BV512)</formula>
    </cfRule>
  </conditionalFormatting>
  <conditionalFormatting sqref="Q13:XBJ13">
    <cfRule type="expression" dxfId="222" priority="3932">
      <formula>CELL("protect",Q13:BV513)</formula>
    </cfRule>
  </conditionalFormatting>
  <conditionalFormatting sqref="Q14:XBJ14 R15:XBJ15 Q17:XBJ1048077">
    <cfRule type="expression" dxfId="221" priority="996">
      <formula>CELL("protect",Q14:BV513)</formula>
    </cfRule>
  </conditionalFormatting>
  <conditionalFormatting sqref="Q16:XBJ16">
    <cfRule type="expression" dxfId="220" priority="44">
      <formula>CELL("protect",Q16:BV514)</formula>
    </cfRule>
  </conditionalFormatting>
  <conditionalFormatting sqref="Q1048078:XBJ1048080">
    <cfRule type="expression" dxfId="219" priority="3935">
      <formula>CELL("protect",Q1:BV1048078)</formula>
    </cfRule>
  </conditionalFormatting>
  <conditionalFormatting sqref="Q1048081:XBJ1048575">
    <cfRule type="expression" dxfId="218" priority="3936">
      <formula>CELL("protect",Q1:BX1048081)</formula>
    </cfRule>
  </conditionalFormatting>
  <conditionalFormatting sqref="Q1048576:XBJ1048576">
    <cfRule type="expression" dxfId="217" priority="2126">
      <formula>CELL("protect",Q1:BX496)</formula>
    </cfRule>
  </conditionalFormatting>
  <conditionalFormatting sqref="R1:XBJ1 Q2:XBJ6">
    <cfRule type="expression" dxfId="216" priority="3929">
      <formula>CELL("protect",Q1:BV510)</formula>
    </cfRule>
  </conditionalFormatting>
  <conditionalFormatting sqref="XBK1:XDM6">
    <cfRule type="expression" dxfId="215" priority="3937">
      <formula>CELL("protect",A1:XBK510)</formula>
    </cfRule>
  </conditionalFormatting>
  <conditionalFormatting sqref="XBK7:XDM9">
    <cfRule type="expression" dxfId="214" priority="3938">
      <formula>CELL("protect",A7:XBK512)</formula>
    </cfRule>
  </conditionalFormatting>
  <conditionalFormatting sqref="XBK10:XDM12">
    <cfRule type="expression" dxfId="213" priority="3939">
      <formula>CELL("protect",A10:XBK512)</formula>
    </cfRule>
  </conditionalFormatting>
  <conditionalFormatting sqref="XBK13:XDM13">
    <cfRule type="expression" dxfId="212" priority="3940">
      <formula>CELL("protect",A13:XBK513)</formula>
    </cfRule>
  </conditionalFormatting>
  <conditionalFormatting sqref="XBK14:XDM15 XBK17:XDM1048576">
    <cfRule type="expression" dxfId="211" priority="3885">
      <formula>CELL("protect",A14:XBK513)</formula>
    </cfRule>
  </conditionalFormatting>
  <conditionalFormatting sqref="XBK16:XDM16">
    <cfRule type="expression" dxfId="210" priority="3887">
      <formula>CELL("protect",A16:XBK514)</formula>
    </cfRule>
  </conditionalFormatting>
  <conditionalFormatting sqref="XDN1:XEN6">
    <cfRule type="expression" dxfId="209" priority="3943">
      <formula>CELL("protect",Q1:XDN510)</formula>
    </cfRule>
  </conditionalFormatting>
  <conditionalFormatting sqref="XDN7:XEN9">
    <cfRule type="expression" dxfId="208" priority="3944">
      <formula>CELL("protect",Q7:XDN512)</formula>
    </cfRule>
  </conditionalFormatting>
  <conditionalFormatting sqref="XDN10:XEN12">
    <cfRule type="expression" dxfId="207" priority="3945">
      <formula>CELL("protect",Q10:XDN512)</formula>
    </cfRule>
  </conditionalFormatting>
  <conditionalFormatting sqref="XDN13:XEN13">
    <cfRule type="expression" dxfId="206" priority="2056">
      <formula>CELL("protect",Q13:XDN513)</formula>
    </cfRule>
  </conditionalFormatting>
  <conditionalFormatting sqref="XDN14:XEN15">
    <cfRule type="expression" dxfId="205" priority="3946">
      <formula>CELL("protect",Q14:XDN513)</formula>
    </cfRule>
  </conditionalFormatting>
  <conditionalFormatting sqref="XDN16:XEN16">
    <cfRule type="expression" dxfId="204" priority="2057">
      <formula>CELL("protect",Q16:XDN514)</formula>
    </cfRule>
  </conditionalFormatting>
  <conditionalFormatting sqref="XDN17:XEN1048080">
    <cfRule type="expression" dxfId="203" priority="70">
      <formula>CELL("protect",O17:XDN516)</formula>
    </cfRule>
  </conditionalFormatting>
  <conditionalFormatting sqref="XDN1048081:XEN1048575">
    <cfRule type="expression" dxfId="202" priority="3948">
      <formula>CELL("protect",Q1:XDN1048081)</formula>
    </cfRule>
  </conditionalFormatting>
  <conditionalFormatting sqref="XDN1048576:XEN1048576">
    <cfRule type="expression" dxfId="201" priority="2148">
      <formula>CELL("protect",Q1:XDN496)</formula>
    </cfRule>
  </conditionalFormatting>
  <conditionalFormatting sqref="XEO1:XFD6">
    <cfRule type="expression" dxfId="200" priority="3949">
      <formula>CELL("protect",B1:AP510)</formula>
    </cfRule>
  </conditionalFormatting>
  <conditionalFormatting sqref="XEO7:XFD9">
    <cfRule type="expression" dxfId="199" priority="3950">
      <formula>CELL("protect",B7:AP512)</formula>
    </cfRule>
  </conditionalFormatting>
  <conditionalFormatting sqref="XEO10:XFD12">
    <cfRule type="expression" dxfId="198" priority="3951">
      <formula>CELL("protect",B10:AP512)</formula>
    </cfRule>
  </conditionalFormatting>
  <conditionalFormatting sqref="XEO13:XFD13">
    <cfRule type="expression" dxfId="197" priority="1040">
      <formula>CELL("protect",B13:AP513)</formula>
    </cfRule>
  </conditionalFormatting>
  <conditionalFormatting sqref="XEO14:XFD15">
    <cfRule type="expression" dxfId="196" priority="3952">
      <formula>CELL("protect",B14:AP513)</formula>
    </cfRule>
  </conditionalFormatting>
  <conditionalFormatting sqref="XEO16:XFD16">
    <cfRule type="expression" dxfId="195" priority="886">
      <formula>CELL("protect",B16:AP514)</formula>
    </cfRule>
  </conditionalFormatting>
  <conditionalFormatting sqref="XEO17:XFD1048080">
    <cfRule type="expression" dxfId="194" priority="888">
      <formula>CELL("protect",AP17:XEP516)</formula>
    </cfRule>
  </conditionalFormatting>
  <conditionalFormatting sqref="XEO1048081:XFD1048576">
    <cfRule type="expression" dxfId="193" priority="3954">
      <formula>CELL("protect",B1:AP1048081)</formula>
    </cfRule>
  </conditionalFormatting>
  <dataValidations disablePrompts="1" count="7">
    <dataValidation type="list" showInputMessage="1" showErrorMessage="1" errorTitle="Error" error="Please select either Yes or No from the drop-down list" promptTitle="Ethnicity" prompt="Select Yes if the consumer identifies as Hispanic or Latino and No if they do not" sqref="F17:F2010" xr:uid="{00000000-0002-0000-0300-000004000000}">
      <formula1>"Yes, No"</formula1>
    </dataValidation>
    <dataValidation type="list" showInputMessage="1" showErrorMessage="1" errorTitle="Error" error="Please select either Yes or No from the drop-down list" promptTitle="Hearing Impairment" prompt="Enter Yes if the consumer reports having a hearing impairment and No if not" sqref="I17:I2010" xr:uid="{00000000-0002-0000-0300-000005000000}">
      <formula1>"Yes, No"</formula1>
    </dataValidation>
    <dataValidation type="list" showInputMessage="1" showErrorMessage="1" errorTitle="Error" error="Please select either Yes or No from the drop-down list" promptTitle="Mobility Impairment" prompt="Enter Yes if the consumer reports having a mobility impairment and No if not" sqref="J17:J2010" xr:uid="{FB4BA264-6847-498B-8AEF-270D3B788557}">
      <formula1>"Yes, No"</formula1>
    </dataValidation>
    <dataValidation type="list" showInputMessage="1" showErrorMessage="1" errorTitle="Error" error="Please select either Yes or No from the drop-down list" promptTitle="Communication Impairment" prompt="Enter Yes if the consumer reports having a communication impairment and No if not" sqref="K17:K2010" xr:uid="{6D8AD680-2124-4FB8-8559-3E95C309A2CA}">
      <formula1>"Yes, No"</formula1>
    </dataValidation>
    <dataValidation type="list" showInputMessage="1" showErrorMessage="1" errorTitle="Error" error="Please select either Yes or No from the drop-down list" promptTitle="Cognitive/Intellectual Impairmen" prompt="Enter Yes if the consumer reports having a cognitive or intellectual impairment and No if not" sqref="L17:L2010" xr:uid="{A69FE0A8-C858-41D6-B41C-AAC2C1245298}">
      <formula1>"Yes, No"</formula1>
    </dataValidation>
    <dataValidation type="list" showInputMessage="1" showErrorMessage="1" errorTitle="Error" error="Please select either Yes or No from the drop-down list" promptTitle="Mental Health Impairment" prompt="Enter Yes if the consumer reports having a mental health impairment and No if not" sqref="M17:M2010" xr:uid="{25993826-82A4-459C-8998-430AC8AA2286}">
      <formula1>"Yes, No"</formula1>
    </dataValidation>
    <dataValidation type="list" showInputMessage="1" showErrorMessage="1" errorTitle="Error" error="Please select either Yes or No from the drop-down list" promptTitle="Other Impairment" prompt="Enter Yes if the consumer reports having an impairment other than those listed previously and No if not" sqref="N17:N2010" xr:uid="{D46FDCF7-EBD9-4D93-93FF-4DE8CA9F5750}">
      <formula1>"Yes, No"</formula1>
    </dataValidation>
  </dataValidations>
  <pageMargins left="0.2" right="0.2" top="0.25" bottom="0.25" header="0.3" footer="0.3"/>
  <pageSetup scale="80" orientation="landscape" r:id="rId1"/>
  <extLst>
    <ext xmlns:x14="http://schemas.microsoft.com/office/spreadsheetml/2009/9/main" uri="{CCE6A557-97BC-4b89-ADB6-D9C93CAAB3DF}">
      <x14:dataValidations xmlns:xm="http://schemas.microsoft.com/office/excel/2006/main" disablePrompts="1" count="9">
        <x14:dataValidation type="list" showInputMessage="1" showErrorMessage="1" errorTitle="Error" error="Please select one of the values from the drop-down list" promptTitle="Type of Residence" prompt="Please select the consumer's place of residence" xr:uid="{00000000-0002-0000-0300-00000B000000}">
          <x14:formula1>
            <xm:f>Data!$Q$2:$Q$6</xm:f>
          </x14:formula1>
          <xm:sqref>O17:O2010</xm:sqref>
        </x14:dataValidation>
        <x14:dataValidation type="list" showInputMessage="1" showErrorMessage="1" errorTitle="Error" error="Please select one of the values from the drop-down list" promptTitle="Source of Referral" prompt="Please enter the source of referral as reported by the consumer" xr:uid="{00000000-0002-0000-0300-00000C000000}">
          <x14:formula1>
            <xm:f>Data!$S$2:$S$13</xm:f>
          </x14:formula1>
          <xm:sqref>P17:P2010</xm:sqref>
        </x14:dataValidation>
        <x14:dataValidation type="list" showInputMessage="1" showErrorMessage="1" errorTitle="Error" error="Please select a value from the drop-down list" promptTitle="Race" prompt="Please select the race as identified by the consumer" xr:uid="{00000000-0002-0000-0300-000003000000}">
          <x14:formula1>
            <xm:f>Data!$G$2:$G$8</xm:f>
          </x14:formula1>
          <xm:sqref>E17:E2010</xm:sqref>
        </x14:dataValidation>
        <x14:dataValidation type="list" showInputMessage="1" showErrorMessage="1" errorTitle="Error" error="Please select one of the values from the drop-down list" promptTitle="Degree of Visual Impairment" prompt="Select the degree of visual impairment from the drop-down list" xr:uid="{00000000-0002-0000-0300-00000E000000}">
          <x14:formula1>
            <xm:f>Data!$K$2:$K$4</xm:f>
          </x14:formula1>
          <xm:sqref>G17:G2010</xm:sqref>
        </x14:dataValidation>
        <x14:dataValidation type="list" showInputMessage="1" showErrorMessage="1" errorTitle="Error" error="Please select a value from the drop-down list" promptTitle="Major Cause of Visual Impairment" prompt="Please select the major cause of visual impairment as reported by the consumer" xr:uid="{00000000-0002-0000-0300-00000D000000}">
          <x14:formula1>
            <xm:f>Data!$M$2:$M$6</xm:f>
          </x14:formula1>
          <xm:sqref>H17:H2010</xm:sqref>
        </x14:dataValidation>
        <x14:dataValidation type="list" showInputMessage="1" showErrorMessage="1" errorTitle="Error" error="Please select a value from the drop-down list" promptTitle="Age at Application" prompt="Please select the age of the consumer when the plan for services was developed" xr:uid="{00000000-0002-0000-0300-000000000000}">
          <x14:formula1>
            <xm:f>Data!$C$2:$C$5</xm:f>
          </x14:formula1>
          <xm:sqref>C17:C2010</xm:sqref>
        </x14:dataValidation>
        <x14:dataValidation type="list" showInputMessage="1" showErrorMessage="1" errorTitle="Error" error="Please select one of the values from the drop-down list" promptTitle="Gender" prompt="Please select the gender that the consumer self-identified" xr:uid="{00000000-0002-0000-0300-000002000000}">
          <x14:formula1>
            <xm:f>Data!$E$2:$E$4</xm:f>
          </x14:formula1>
          <xm:sqref>D17:D2010</xm:sqref>
        </x14:dataValidation>
        <x14:dataValidation type="list" showInputMessage="1" showErrorMessage="1" errorTitle="Error" error="Please select a value from the drop-down list" promptTitle="Individuals Served" prompt="Select when the consumer began receiving services" xr:uid="{00000000-0002-0000-0300-000001000000}">
          <x14:formula1>
            <xm:f>Data!$A$2:$A$3</xm:f>
          </x14:formula1>
          <xm:sqref>B17:B2010</xm:sqref>
        </x14:dataValidation>
        <x14:dataValidation type="list" showInputMessage="1" showErrorMessage="1" errorTitle="Error" error="Please select a value from the drop-down list" promptTitle="County of Residence" prompt="Select the County where the consumer resides" xr:uid="{00000000-0002-0000-0300-00000F000000}">
          <x14:formula1>
            <xm:f>Counties!$A$4:$A$61</xm:f>
          </x14:formula1>
          <xm:sqref>Q17:Q2010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39997558519241921"/>
  </sheetPr>
  <dimension ref="A1:AI2010"/>
  <sheetViews>
    <sheetView zoomScale="96" workbookViewId="0">
      <pane ySplit="1" topLeftCell="A2" activePane="bottomLeft" state="frozen"/>
      <selection pane="bottomLeft" activeCell="A2" sqref="A2"/>
      <selection activeCell="K15" sqref="K15"/>
    </sheetView>
  </sheetViews>
  <sheetFormatPr defaultColWidth="9.140625" defaultRowHeight="17.45"/>
  <cols>
    <col min="1" max="1" width="28.28515625" style="25" customWidth="1"/>
    <col min="2" max="2" width="33.7109375" style="25" customWidth="1"/>
    <col min="3" max="3" width="25.28515625" style="25" customWidth="1"/>
    <col min="4" max="4" width="31.85546875" style="25" customWidth="1"/>
    <col min="5" max="5" width="30.7109375" style="20" customWidth="1"/>
    <col min="6" max="6" width="15.28515625" style="25" bestFit="1" customWidth="1"/>
    <col min="7" max="7" width="11.7109375" style="25" customWidth="1"/>
    <col min="8" max="8" width="25.7109375" style="25" customWidth="1"/>
    <col min="9" max="9" width="17.85546875" style="25" customWidth="1"/>
    <col min="10" max="10" width="21" style="25" customWidth="1"/>
    <col min="11" max="11" width="22.28515625" style="25" bestFit="1" customWidth="1"/>
    <col min="12" max="12" width="10.7109375" style="25" customWidth="1"/>
    <col min="13" max="13" width="18.28515625" style="25" customWidth="1"/>
    <col min="14" max="14" width="33.28515625" style="20" customWidth="1"/>
    <col min="15" max="15" width="22.28515625" style="25" bestFit="1" customWidth="1"/>
    <col min="16" max="16" width="17.28515625" style="25" customWidth="1"/>
    <col min="17" max="17" width="57.5703125" style="20" customWidth="1"/>
    <col min="18" max="18" width="52.85546875" style="20" customWidth="1"/>
    <col min="19" max="19" width="31.42578125" style="20" customWidth="1"/>
    <col min="20" max="20" width="25.85546875" style="25" customWidth="1"/>
    <col min="21" max="21" width="28.42578125" style="25" customWidth="1"/>
    <col min="22" max="32" width="9.140625" style="25"/>
    <col min="33" max="33" width="8.7109375" style="25" bestFit="1" customWidth="1"/>
    <col min="34" max="34" width="8.28515625" style="25" bestFit="1" customWidth="1"/>
    <col min="35" max="35" width="8.85546875" style="25" bestFit="1" customWidth="1"/>
    <col min="36" max="37" width="0" style="25" hidden="1" customWidth="1"/>
    <col min="38" max="16384" width="9.140625" style="25"/>
  </cols>
  <sheetData>
    <row r="1" spans="1:35" s="31" customFormat="1" ht="34.9">
      <c r="A1" s="85" t="s">
        <v>236</v>
      </c>
      <c r="B1" s="101" t="s">
        <v>237</v>
      </c>
      <c r="C1" s="104"/>
      <c r="D1" s="67" t="s">
        <v>238</v>
      </c>
      <c r="E1" s="67" t="s">
        <v>239</v>
      </c>
      <c r="F1" s="101" t="s">
        <v>240</v>
      </c>
      <c r="G1" s="102"/>
      <c r="H1" s="102"/>
      <c r="I1" s="102"/>
      <c r="J1" s="102"/>
      <c r="K1" s="102"/>
      <c r="L1" s="102"/>
      <c r="M1" s="103"/>
      <c r="N1" s="67" t="s">
        <v>241</v>
      </c>
      <c r="O1" s="67" t="s">
        <v>242</v>
      </c>
      <c r="P1" s="67" t="s">
        <v>243</v>
      </c>
      <c r="Q1" s="67" t="s">
        <v>244</v>
      </c>
      <c r="R1" s="67" t="s">
        <v>245</v>
      </c>
      <c r="S1" s="67" t="s">
        <v>246</v>
      </c>
      <c r="T1" s="69" t="s">
        <v>247</v>
      </c>
      <c r="U1" s="70" t="s">
        <v>248</v>
      </c>
      <c r="V1" s="66"/>
      <c r="AG1" s="31" t="s">
        <v>249</v>
      </c>
      <c r="AH1" s="31" t="s">
        <v>250</v>
      </c>
      <c r="AI1" s="31" t="s">
        <v>251</v>
      </c>
    </row>
    <row r="2" spans="1:35" s="32" customFormat="1" ht="30">
      <c r="A2" s="86" t="s">
        <v>252</v>
      </c>
      <c r="B2" s="87" t="str">
        <f>CONCATENATE(Data!$U$2,": ",Data!$V$2)</f>
        <v>Vision  Assessment (Screening/ Exam/evaluation: 0</v>
      </c>
      <c r="C2" s="87" t="str">
        <f>CONCATENATE(Data!$U$3,": ",Data!$V$3)</f>
        <v>Surgical or Therapeutic Treatment: 0</v>
      </c>
      <c r="D2" s="87" t="str">
        <f>CONCATENATE(Data!$W$2,": ",Data!$X$2)</f>
        <v>Received AT Devices or Services: 0</v>
      </c>
      <c r="E2" s="87" t="str">
        <f>CONCATENATE(Data!$Y$2,": ",Data!$Z$2)</f>
        <v>Not Assessed: 0</v>
      </c>
      <c r="F2" s="87" t="str">
        <f>CONCATENATE(Data!$AA$2,": ",Data!$AB$2)</f>
        <v>Received IL/A Services: 0</v>
      </c>
      <c r="G2" s="87" t="str">
        <f>CONCATENATE(Data!$AA$3,": ",Data!$AB$3)</f>
        <v>Received O&amp;M: 0</v>
      </c>
      <c r="H2" s="87" t="str">
        <f>CONCATENATE(Data!$AA$4,": ",Data!$AB$4)</f>
        <v>Received Communication Skills: 0</v>
      </c>
      <c r="I2" s="87" t="str">
        <f>CONCATENATE(Data!$AA$5,": ",Data!$AB$5)</f>
        <v>Received Daily Living Skills: 0</v>
      </c>
      <c r="J2" s="87" t="str">
        <f>CONCATENATE(Data!$AA$6,": ",Data!$AB$6)</f>
        <v>Received Advocacy Training: 0</v>
      </c>
      <c r="K2" s="87" t="str">
        <f>CONCATENATE(Data!$AA$7,": ",Data!$AB$7)</f>
        <v>Received Adjustment Counseling: 0</v>
      </c>
      <c r="L2" s="87" t="str">
        <f>CONCATENATE(Data!$AA$8,": ",Data!$AB$8)</f>
        <v>Received I&amp;R: 0</v>
      </c>
      <c r="M2" s="87" t="str">
        <f>CONCATENATE(Data!$AA$9,": ",Data!$AB$9)</f>
        <v>Received Other Services: 0</v>
      </c>
      <c r="N2" s="87" t="str">
        <f>CONCATENATE(Data!$AC2,": ",Data!$AD2)</f>
        <v>Not Assessed: 0</v>
      </c>
      <c r="O2" s="87" t="str">
        <f>CONCATENATE(Data!$AE$2,": ",Data!$AF$2)</f>
        <v>Received Supportive Service: 0</v>
      </c>
      <c r="P2" s="87" t="str">
        <f>CONCATENATE(Data!$AG$2,": ",Data!$AH$2)</f>
        <v># of Cases Assessed: 0</v>
      </c>
      <c r="Q2" s="87" t="str">
        <f>CONCATENATE(Data!$AI2,": ",Data!$AJ2)</f>
        <v>Plan Incomplete-Not Assessed: 0</v>
      </c>
      <c r="R2" s="87" t="str">
        <f>CONCATENATE(Data!$AK2,": ",Data!$AL2)</f>
        <v>Plan Incomplete-Not Assessed: 0</v>
      </c>
      <c r="S2" s="87" t="str">
        <f>CONCATENATE(Data!$AM2,": ",Data!$AN2)</f>
        <v>Plan Incomplete-Not Assessed: 0</v>
      </c>
      <c r="T2" s="88" t="s">
        <v>253</v>
      </c>
      <c r="U2" s="89"/>
      <c r="V2" s="90"/>
      <c r="W2" s="91"/>
      <c r="X2" s="91"/>
      <c r="Y2" s="91"/>
      <c r="Z2" s="91"/>
      <c r="AA2" s="91"/>
      <c r="AB2" s="91"/>
      <c r="AC2" s="91"/>
      <c r="AD2" s="91"/>
      <c r="AE2" s="91"/>
      <c r="AF2" s="91"/>
      <c r="AG2" s="91"/>
      <c r="AH2" s="91"/>
      <c r="AI2" s="91"/>
    </row>
    <row r="3" spans="1:35" s="32" customFormat="1" ht="30">
      <c r="A3" s="86"/>
      <c r="B3" s="87"/>
      <c r="C3" s="87"/>
      <c r="D3" s="87"/>
      <c r="E3" s="87" t="str">
        <f>CONCATENATE(Data!$Y$3,": ",Data!$Z$3)</f>
        <v>Assessed with Increased Independence: 0</v>
      </c>
      <c r="F3" s="87"/>
      <c r="G3" s="87"/>
      <c r="H3" s="87"/>
      <c r="I3" s="87"/>
      <c r="J3" s="87"/>
      <c r="K3" s="87"/>
      <c r="L3" s="87"/>
      <c r="M3" s="87"/>
      <c r="N3" s="87" t="str">
        <f>CONCATENATE(Data!$AC3,": ",Data!$AD3)</f>
        <v>Assessed with Increased Independence: 0</v>
      </c>
      <c r="O3" s="87"/>
      <c r="P3" s="87"/>
      <c r="Q3" s="87" t="str">
        <f>CONCATENATE(Data!$AI3,": ",Data!$AJ3)</f>
        <v>Plan Completed - Reported feeling more confident in ability to maintain living situation: 0</v>
      </c>
      <c r="R3" s="87" t="str">
        <f>CONCATENATE(Data!$AK3,": ",Data!$AL3)</f>
        <v>Plan Completed - Reported an increased ability to engage in customary activities : 0</v>
      </c>
      <c r="S3" s="87" t="str">
        <f>CONCATENATE(Data!$AM3,": ",Data!$AN3)</f>
        <v>Not Interested in Employment: 0</v>
      </c>
      <c r="T3" s="91"/>
      <c r="U3" s="89"/>
      <c r="V3" s="90"/>
      <c r="W3" s="91"/>
      <c r="X3" s="91"/>
      <c r="Y3" s="91"/>
      <c r="Z3" s="91"/>
      <c r="AA3" s="91"/>
      <c r="AB3" s="91"/>
      <c r="AC3" s="91"/>
      <c r="AD3" s="91"/>
      <c r="AE3" s="91"/>
      <c r="AF3" s="91"/>
      <c r="AG3" s="91"/>
      <c r="AH3" s="91"/>
      <c r="AI3" s="91"/>
    </row>
    <row r="4" spans="1:35" s="32" customFormat="1" ht="30">
      <c r="A4" s="86"/>
      <c r="B4" s="87"/>
      <c r="C4" s="87"/>
      <c r="D4" s="87"/>
      <c r="E4" s="87" t="str">
        <f>CONCATENATE(Data!$Y$4,": ",Data!$Z$4)</f>
        <v>Assessed and Maintained Independence: 0</v>
      </c>
      <c r="F4" s="87"/>
      <c r="G4" s="87"/>
      <c r="H4" s="87"/>
      <c r="I4" s="87"/>
      <c r="J4" s="87"/>
      <c r="K4" s="87"/>
      <c r="L4" s="87"/>
      <c r="M4" s="87"/>
      <c r="N4" s="87" t="str">
        <f>CONCATENATE(Data!$AC4,": ",Data!$AD4)</f>
        <v>Assessed and Maintained Independence: 0</v>
      </c>
      <c r="O4" s="87"/>
      <c r="P4" s="87"/>
      <c r="Q4" s="87" t="str">
        <f>CONCATENATE(Data!$AI4,": ",Data!$AJ4)</f>
        <v>Plan Completed - Reported no difference in ability to maintain living situation: 0</v>
      </c>
      <c r="R4" s="87" t="str">
        <f>CONCATENATE(Data!$AK4,": ",Data!$AL4)</f>
        <v>Plan Completed - Reported no difference in ability to engage in customary activities : 0</v>
      </c>
      <c r="S4" s="87" t="str">
        <f>CONCATENATE(Data!$AM4,": ",Data!$AN4)</f>
        <v>Less Likely to Seek Employment: 0</v>
      </c>
      <c r="T4" s="91"/>
      <c r="U4" s="89"/>
      <c r="V4" s="90"/>
      <c r="W4" s="91"/>
      <c r="X4" s="91"/>
      <c r="Y4" s="91"/>
      <c r="Z4" s="91"/>
      <c r="AA4" s="91"/>
      <c r="AB4" s="91"/>
      <c r="AC4" s="91"/>
      <c r="AD4" s="91"/>
      <c r="AE4" s="91"/>
      <c r="AF4" s="91"/>
      <c r="AG4" s="91"/>
      <c r="AH4" s="91"/>
      <c r="AI4" s="91"/>
    </row>
    <row r="5" spans="1:35" s="32" customFormat="1" ht="30">
      <c r="A5" s="86"/>
      <c r="B5" s="87"/>
      <c r="C5" s="87"/>
      <c r="D5" s="87"/>
      <c r="E5" s="87" t="str">
        <f>CONCATENATE(Data!$Y$5,": ",Data!$Z$5)</f>
        <v>Assessed with Decreased Independence: 0</v>
      </c>
      <c r="F5" s="87"/>
      <c r="G5" s="87"/>
      <c r="H5" s="87"/>
      <c r="I5" s="87"/>
      <c r="J5" s="87"/>
      <c r="K5" s="87"/>
      <c r="L5" s="87"/>
      <c r="M5" s="87"/>
      <c r="N5" s="87" t="str">
        <f>CONCATENATE(Data!$AC5,": ",Data!$AD5)</f>
        <v>Assessed with Decreased Independence: 0</v>
      </c>
      <c r="O5" s="87"/>
      <c r="P5" s="87"/>
      <c r="Q5" s="87" t="str">
        <f>CONCATENATE(Data!$AI5,": ",Data!$AJ5)</f>
        <v>Plan Completed - Reported feeling less confident in ability to maintain living situation: 0</v>
      </c>
      <c r="R5" s="87" t="str">
        <f>CONCATENATE(Data!$AK5,": ",Data!$AL5)</f>
        <v>Plan Completed - Reported a decreased ability to engage in customary activities: 0</v>
      </c>
      <c r="S5" s="87" t="str">
        <f>CONCATENATE(Data!$AM5,": ",Data!$AN5)</f>
        <v>Unsure about Seeking Employment: 0</v>
      </c>
      <c r="T5" s="91"/>
      <c r="U5" s="89"/>
      <c r="V5" s="90"/>
      <c r="W5" s="91"/>
      <c r="X5" s="91"/>
      <c r="Y5" s="91"/>
      <c r="Z5" s="91"/>
      <c r="AA5" s="91"/>
      <c r="AB5" s="91"/>
      <c r="AC5" s="91"/>
      <c r="AD5" s="91"/>
      <c r="AE5" s="91"/>
      <c r="AF5" s="91"/>
      <c r="AG5" s="91"/>
      <c r="AH5" s="91"/>
      <c r="AI5" s="91"/>
    </row>
    <row r="6" spans="1:35" s="32" customFormat="1" ht="34.15" customHeight="1" thickBot="1">
      <c r="A6" s="71"/>
      <c r="B6" s="92"/>
      <c r="C6" s="92"/>
      <c r="D6" s="92"/>
      <c r="E6" s="92"/>
      <c r="F6" s="92"/>
      <c r="G6" s="92"/>
      <c r="H6" s="92"/>
      <c r="I6" s="92"/>
      <c r="J6" s="92"/>
      <c r="K6" s="92"/>
      <c r="L6" s="92"/>
      <c r="M6" s="92"/>
      <c r="N6" s="93"/>
      <c r="O6" s="92"/>
      <c r="P6" s="92"/>
      <c r="Q6" s="92"/>
      <c r="R6" s="92"/>
      <c r="S6" s="93" t="str">
        <f>CONCATENATE(Data!$AM6,": ",Data!$AN6)</f>
        <v>More Likely to Seek Employment: 0</v>
      </c>
      <c r="T6" s="94"/>
      <c r="U6" s="95"/>
      <c r="V6" s="90"/>
      <c r="W6" s="91"/>
      <c r="X6" s="91"/>
      <c r="Y6" s="91"/>
      <c r="Z6" s="91"/>
      <c r="AA6" s="91"/>
      <c r="AB6" s="91"/>
      <c r="AC6" s="91"/>
      <c r="AD6" s="91"/>
      <c r="AE6" s="91"/>
      <c r="AF6" s="91"/>
      <c r="AG6" s="91"/>
      <c r="AH6" s="91"/>
      <c r="AI6" s="91"/>
    </row>
    <row r="7" spans="1:35" ht="33.6" customHeight="1">
      <c r="A7" s="33" t="str">
        <f>IF('PART III-DEMOGRAPHICS'!A17="","",'PART III-DEMOGRAPHICS'!A17)</f>
        <v/>
      </c>
      <c r="B7" s="27"/>
      <c r="C7" s="27"/>
      <c r="D7" s="27"/>
      <c r="E7" s="45"/>
      <c r="F7" s="34" t="str">
        <f>IF(OR(G7="Yes",H7="Yes",I7="Yes",J7="Yes",K7="Yes",L7="Yes",M7="Yes"),"Did","Did Not")</f>
        <v>Did Not</v>
      </c>
      <c r="G7" s="27"/>
      <c r="H7" s="27"/>
      <c r="I7" s="27"/>
      <c r="J7" s="27"/>
      <c r="K7" s="27"/>
      <c r="L7" s="27"/>
      <c r="M7" s="27"/>
      <c r="N7" s="45"/>
      <c r="O7" s="27"/>
      <c r="P7" s="35"/>
      <c r="Q7" s="45"/>
      <c r="R7" s="45"/>
      <c r="S7" s="46"/>
      <c r="T7" s="33">
        <f t="shared" ref="T7:T70" si="0">COUNTIF(A7:R7,"Yes")</f>
        <v>0</v>
      </c>
      <c r="U7" s="33" t="str">
        <f>IF('PART III-DEMOGRAPHICS'!Q17="","",'PART III-DEMOGRAPHICS'!Q17)</f>
        <v/>
      </c>
    </row>
    <row r="8" spans="1:35" ht="33.6" customHeight="1">
      <c r="A8" s="25" t="str">
        <f>IF('PART III-DEMOGRAPHICS'!A18="","",'PART III-DEMOGRAPHICS'!A18)</f>
        <v/>
      </c>
      <c r="B8" s="28"/>
      <c r="C8" s="27"/>
      <c r="D8" s="28"/>
      <c r="E8" s="21"/>
      <c r="F8" s="36" t="str">
        <f t="shared" ref="F8:F38" si="1">IF(OR(G8="Yes",H8="Yes",I8="Yes",J8="Yes",K8="Yes",L8="Yes",M8="Yes"),"Did","Did Not")</f>
        <v>Did Not</v>
      </c>
      <c r="G8" s="28"/>
      <c r="H8" s="28"/>
      <c r="I8" s="28"/>
      <c r="J8" s="28"/>
      <c r="K8" s="28"/>
      <c r="L8" s="28"/>
      <c r="M8" s="28"/>
      <c r="N8" s="21"/>
      <c r="O8" s="28"/>
      <c r="P8" s="37"/>
      <c r="Q8" s="21"/>
      <c r="R8" s="21"/>
      <c r="S8" s="47"/>
      <c r="T8" s="25">
        <f t="shared" si="0"/>
        <v>0</v>
      </c>
      <c r="U8" s="25" t="str">
        <f>IF('PART III-DEMOGRAPHICS'!Q18="","",'PART III-DEMOGRAPHICS'!Q18)</f>
        <v/>
      </c>
    </row>
    <row r="9" spans="1:35" ht="33.6" customHeight="1">
      <c r="A9" s="25" t="str">
        <f>IF('PART III-DEMOGRAPHICS'!A19="","",'PART III-DEMOGRAPHICS'!A19)</f>
        <v/>
      </c>
      <c r="B9" s="28"/>
      <c r="C9" s="27"/>
      <c r="D9" s="28"/>
      <c r="E9" s="21"/>
      <c r="F9" s="36" t="str">
        <f t="shared" si="1"/>
        <v>Did Not</v>
      </c>
      <c r="G9" s="28"/>
      <c r="H9" s="28"/>
      <c r="I9" s="28"/>
      <c r="J9" s="28"/>
      <c r="K9" s="28"/>
      <c r="L9" s="28"/>
      <c r="M9" s="28"/>
      <c r="N9" s="21"/>
      <c r="O9" s="28"/>
      <c r="P9" s="37"/>
      <c r="Q9" s="21"/>
      <c r="R9" s="21"/>
      <c r="S9" s="47"/>
      <c r="T9" s="25">
        <f t="shared" si="0"/>
        <v>0</v>
      </c>
      <c r="U9" s="25" t="str">
        <f>IF('PART III-DEMOGRAPHICS'!Q19="","",'PART III-DEMOGRAPHICS'!Q19)</f>
        <v/>
      </c>
    </row>
    <row r="10" spans="1:35" ht="33.6" customHeight="1">
      <c r="A10" s="25" t="str">
        <f>IF('PART III-DEMOGRAPHICS'!A20="","",'PART III-DEMOGRAPHICS'!A20)</f>
        <v/>
      </c>
      <c r="B10" s="28"/>
      <c r="C10" s="27"/>
      <c r="D10" s="28"/>
      <c r="E10" s="21"/>
      <c r="F10" s="36" t="str">
        <f t="shared" si="1"/>
        <v>Did Not</v>
      </c>
      <c r="G10" s="28"/>
      <c r="H10" s="28"/>
      <c r="I10" s="28"/>
      <c r="J10" s="28"/>
      <c r="K10" s="28"/>
      <c r="L10" s="28"/>
      <c r="M10" s="28"/>
      <c r="N10" s="21"/>
      <c r="O10" s="28"/>
      <c r="P10" s="37"/>
      <c r="Q10" s="21"/>
      <c r="R10" s="21"/>
      <c r="S10" s="47"/>
      <c r="T10" s="25">
        <f t="shared" si="0"/>
        <v>0</v>
      </c>
      <c r="U10" s="25" t="str">
        <f>IF('PART III-DEMOGRAPHICS'!Q20="","",'PART III-DEMOGRAPHICS'!Q20)</f>
        <v/>
      </c>
    </row>
    <row r="11" spans="1:35" ht="33.6" customHeight="1">
      <c r="A11" s="25" t="str">
        <f>IF('PART III-DEMOGRAPHICS'!A21="","",'PART III-DEMOGRAPHICS'!A21)</f>
        <v/>
      </c>
      <c r="B11" s="28"/>
      <c r="C11" s="27"/>
      <c r="D11" s="28"/>
      <c r="E11" s="21"/>
      <c r="F11" s="36" t="str">
        <f t="shared" si="1"/>
        <v>Did Not</v>
      </c>
      <c r="G11" s="28"/>
      <c r="H11" s="28"/>
      <c r="I11" s="28"/>
      <c r="J11" s="28"/>
      <c r="K11" s="28"/>
      <c r="L11" s="28"/>
      <c r="M11" s="28"/>
      <c r="N11" s="21"/>
      <c r="O11" s="28"/>
      <c r="P11" s="37"/>
      <c r="Q11" s="21"/>
      <c r="R11" s="21"/>
      <c r="S11" s="47"/>
      <c r="T11" s="25">
        <f t="shared" si="0"/>
        <v>0</v>
      </c>
      <c r="U11" s="25" t="str">
        <f>IF('PART III-DEMOGRAPHICS'!Q21="","",'PART III-DEMOGRAPHICS'!Q21)</f>
        <v/>
      </c>
    </row>
    <row r="12" spans="1:35" ht="33.6" customHeight="1">
      <c r="A12" s="25" t="str">
        <f>IF('PART III-DEMOGRAPHICS'!A22="","",'PART III-DEMOGRAPHICS'!A22)</f>
        <v/>
      </c>
      <c r="B12" s="28"/>
      <c r="C12" s="27"/>
      <c r="D12" s="28"/>
      <c r="E12" s="21"/>
      <c r="F12" s="36" t="str">
        <f t="shared" si="1"/>
        <v>Did Not</v>
      </c>
      <c r="G12" s="28"/>
      <c r="H12" s="28"/>
      <c r="I12" s="28"/>
      <c r="J12" s="28"/>
      <c r="K12" s="28"/>
      <c r="L12" s="28"/>
      <c r="M12" s="28"/>
      <c r="N12" s="21"/>
      <c r="O12" s="28"/>
      <c r="P12" s="37"/>
      <c r="Q12" s="21"/>
      <c r="R12" s="21"/>
      <c r="S12" s="47"/>
      <c r="T12" s="25">
        <f t="shared" si="0"/>
        <v>0</v>
      </c>
      <c r="U12" s="25" t="str">
        <f>IF('PART III-DEMOGRAPHICS'!Q22="","",'PART III-DEMOGRAPHICS'!Q22)</f>
        <v/>
      </c>
    </row>
    <row r="13" spans="1:35" ht="33.6" customHeight="1">
      <c r="A13" s="25" t="str">
        <f>IF('PART III-DEMOGRAPHICS'!A23="","",'PART III-DEMOGRAPHICS'!A23)</f>
        <v/>
      </c>
      <c r="B13" s="28"/>
      <c r="C13" s="27"/>
      <c r="D13" s="28"/>
      <c r="E13" s="21"/>
      <c r="F13" s="36" t="str">
        <f t="shared" si="1"/>
        <v>Did Not</v>
      </c>
      <c r="G13" s="28"/>
      <c r="H13" s="28"/>
      <c r="I13" s="28"/>
      <c r="J13" s="28"/>
      <c r="K13" s="28"/>
      <c r="L13" s="28"/>
      <c r="M13" s="28"/>
      <c r="N13" s="21"/>
      <c r="O13" s="28"/>
      <c r="P13" s="37"/>
      <c r="Q13" s="21"/>
      <c r="R13" s="21"/>
      <c r="S13" s="47"/>
      <c r="T13" s="25">
        <f t="shared" si="0"/>
        <v>0</v>
      </c>
      <c r="U13" s="25" t="str">
        <f>IF('PART III-DEMOGRAPHICS'!Q23="","",'PART III-DEMOGRAPHICS'!Q23)</f>
        <v/>
      </c>
    </row>
    <row r="14" spans="1:35" ht="33.6" customHeight="1">
      <c r="A14" s="25" t="str">
        <f>IF('PART III-DEMOGRAPHICS'!A24="","",'PART III-DEMOGRAPHICS'!A24)</f>
        <v/>
      </c>
      <c r="B14" s="28"/>
      <c r="C14" s="27"/>
      <c r="D14" s="28"/>
      <c r="E14" s="21"/>
      <c r="F14" s="36" t="str">
        <f t="shared" si="1"/>
        <v>Did Not</v>
      </c>
      <c r="G14" s="28"/>
      <c r="H14" s="28"/>
      <c r="I14" s="28"/>
      <c r="J14" s="28"/>
      <c r="K14" s="28"/>
      <c r="L14" s="28"/>
      <c r="M14" s="28"/>
      <c r="N14" s="21"/>
      <c r="O14" s="28"/>
      <c r="P14" s="37"/>
      <c r="Q14" s="21"/>
      <c r="R14" s="21"/>
      <c r="S14" s="47"/>
      <c r="T14" s="25">
        <f t="shared" si="0"/>
        <v>0</v>
      </c>
      <c r="U14" s="25" t="str">
        <f>IF('PART III-DEMOGRAPHICS'!Q24="","",'PART III-DEMOGRAPHICS'!Q24)</f>
        <v/>
      </c>
    </row>
    <row r="15" spans="1:35" ht="33.6" customHeight="1">
      <c r="A15" s="25" t="str">
        <f>IF('PART III-DEMOGRAPHICS'!A25="","",'PART III-DEMOGRAPHICS'!A25)</f>
        <v/>
      </c>
      <c r="B15" s="28"/>
      <c r="C15" s="27"/>
      <c r="D15" s="28"/>
      <c r="E15" s="21"/>
      <c r="F15" s="36" t="str">
        <f t="shared" si="1"/>
        <v>Did Not</v>
      </c>
      <c r="G15" s="28"/>
      <c r="H15" s="28"/>
      <c r="I15" s="28"/>
      <c r="J15" s="28"/>
      <c r="K15" s="28"/>
      <c r="L15" s="28"/>
      <c r="M15" s="28"/>
      <c r="N15" s="21"/>
      <c r="O15" s="28"/>
      <c r="P15" s="37"/>
      <c r="Q15" s="21"/>
      <c r="R15" s="21"/>
      <c r="S15" s="47"/>
      <c r="T15" s="25">
        <f t="shared" si="0"/>
        <v>0</v>
      </c>
      <c r="U15" s="25" t="str">
        <f>IF('PART III-DEMOGRAPHICS'!Q25="","",'PART III-DEMOGRAPHICS'!Q25)</f>
        <v/>
      </c>
    </row>
    <row r="16" spans="1:35" ht="33.6" customHeight="1">
      <c r="A16" s="25" t="str">
        <f>IF('PART III-DEMOGRAPHICS'!A26="","",'PART III-DEMOGRAPHICS'!A26)</f>
        <v/>
      </c>
      <c r="B16" s="28"/>
      <c r="C16" s="27"/>
      <c r="D16" s="28"/>
      <c r="E16" s="21"/>
      <c r="F16" s="36" t="str">
        <f t="shared" si="1"/>
        <v>Did Not</v>
      </c>
      <c r="G16" s="28"/>
      <c r="H16" s="28"/>
      <c r="I16" s="28"/>
      <c r="J16" s="28"/>
      <c r="K16" s="28"/>
      <c r="L16" s="28"/>
      <c r="M16" s="28"/>
      <c r="N16" s="21"/>
      <c r="O16" s="28"/>
      <c r="P16" s="37"/>
      <c r="Q16" s="21"/>
      <c r="R16" s="21"/>
      <c r="S16" s="47"/>
      <c r="T16" s="25">
        <f t="shared" si="0"/>
        <v>0</v>
      </c>
      <c r="U16" s="25" t="str">
        <f>IF('PART III-DEMOGRAPHICS'!Q26="","",'PART III-DEMOGRAPHICS'!Q26)</f>
        <v/>
      </c>
    </row>
    <row r="17" spans="1:21" ht="33.6" customHeight="1">
      <c r="A17" s="25" t="str">
        <f>IF('PART III-DEMOGRAPHICS'!A27="","",'PART III-DEMOGRAPHICS'!A27)</f>
        <v/>
      </c>
      <c r="B17" s="28"/>
      <c r="C17" s="27"/>
      <c r="D17" s="28"/>
      <c r="E17" s="21"/>
      <c r="F17" s="36" t="str">
        <f t="shared" si="1"/>
        <v>Did Not</v>
      </c>
      <c r="G17" s="28"/>
      <c r="H17" s="28"/>
      <c r="I17" s="28"/>
      <c r="J17" s="28"/>
      <c r="K17" s="28"/>
      <c r="L17" s="28"/>
      <c r="M17" s="28"/>
      <c r="N17" s="21"/>
      <c r="O17" s="28"/>
      <c r="P17" s="37"/>
      <c r="Q17" s="21"/>
      <c r="R17" s="21"/>
      <c r="S17" s="47"/>
      <c r="T17" s="25">
        <f t="shared" si="0"/>
        <v>0</v>
      </c>
      <c r="U17" s="25" t="str">
        <f>IF('PART III-DEMOGRAPHICS'!Q27="","",'PART III-DEMOGRAPHICS'!Q27)</f>
        <v/>
      </c>
    </row>
    <row r="18" spans="1:21" ht="33.6" customHeight="1">
      <c r="A18" s="25" t="str">
        <f>IF('PART III-DEMOGRAPHICS'!A28="","",'PART III-DEMOGRAPHICS'!A28)</f>
        <v/>
      </c>
      <c r="B18" s="28"/>
      <c r="C18" s="27"/>
      <c r="D18" s="28"/>
      <c r="E18" s="21"/>
      <c r="F18" s="36" t="str">
        <f t="shared" si="1"/>
        <v>Did Not</v>
      </c>
      <c r="G18" s="28"/>
      <c r="H18" s="28"/>
      <c r="I18" s="28"/>
      <c r="J18" s="28"/>
      <c r="K18" s="28"/>
      <c r="L18" s="28"/>
      <c r="M18" s="28"/>
      <c r="N18" s="21"/>
      <c r="O18" s="28"/>
      <c r="P18" s="37"/>
      <c r="Q18" s="21"/>
      <c r="R18" s="21"/>
      <c r="S18" s="47"/>
      <c r="T18" s="25">
        <f t="shared" si="0"/>
        <v>0</v>
      </c>
      <c r="U18" s="25" t="str">
        <f>IF('PART III-DEMOGRAPHICS'!Q28="","",'PART III-DEMOGRAPHICS'!Q28)</f>
        <v/>
      </c>
    </row>
    <row r="19" spans="1:21" ht="33.6" customHeight="1">
      <c r="A19" s="25" t="str">
        <f>IF('PART III-DEMOGRAPHICS'!A29="","",'PART III-DEMOGRAPHICS'!A29)</f>
        <v/>
      </c>
      <c r="B19" s="28"/>
      <c r="C19" s="27"/>
      <c r="D19" s="28"/>
      <c r="E19" s="21"/>
      <c r="F19" s="36" t="str">
        <f t="shared" si="1"/>
        <v>Did Not</v>
      </c>
      <c r="G19" s="28"/>
      <c r="H19" s="28"/>
      <c r="I19" s="28"/>
      <c r="J19" s="28"/>
      <c r="K19" s="28"/>
      <c r="L19" s="28"/>
      <c r="M19" s="28"/>
      <c r="N19" s="21"/>
      <c r="O19" s="28"/>
      <c r="P19" s="37"/>
      <c r="Q19" s="21"/>
      <c r="R19" s="21"/>
      <c r="S19" s="47"/>
      <c r="T19" s="25">
        <f t="shared" si="0"/>
        <v>0</v>
      </c>
      <c r="U19" s="25" t="str">
        <f>IF('PART III-DEMOGRAPHICS'!Q29="","",'PART III-DEMOGRAPHICS'!Q29)</f>
        <v/>
      </c>
    </row>
    <row r="20" spans="1:21" ht="33.6" customHeight="1">
      <c r="A20" s="25" t="str">
        <f>IF('PART III-DEMOGRAPHICS'!A30="","",'PART III-DEMOGRAPHICS'!A30)</f>
        <v/>
      </c>
      <c r="B20" s="28"/>
      <c r="C20" s="27"/>
      <c r="D20" s="28"/>
      <c r="E20" s="21"/>
      <c r="F20" s="36" t="str">
        <f t="shared" si="1"/>
        <v>Did Not</v>
      </c>
      <c r="G20" s="28"/>
      <c r="H20" s="28"/>
      <c r="I20" s="28"/>
      <c r="J20" s="28"/>
      <c r="K20" s="28"/>
      <c r="L20" s="28"/>
      <c r="M20" s="28"/>
      <c r="N20" s="21"/>
      <c r="O20" s="28"/>
      <c r="P20" s="37"/>
      <c r="Q20" s="21"/>
      <c r="R20" s="21"/>
      <c r="S20" s="47"/>
      <c r="T20" s="25">
        <f t="shared" si="0"/>
        <v>0</v>
      </c>
      <c r="U20" s="25" t="str">
        <f>IF('PART III-DEMOGRAPHICS'!Q30="","",'PART III-DEMOGRAPHICS'!Q30)</f>
        <v/>
      </c>
    </row>
    <row r="21" spans="1:21" ht="33.6" customHeight="1">
      <c r="A21" s="25" t="str">
        <f>IF('PART III-DEMOGRAPHICS'!A31="","",'PART III-DEMOGRAPHICS'!A31)</f>
        <v/>
      </c>
      <c r="B21" s="28"/>
      <c r="C21" s="27"/>
      <c r="D21" s="28"/>
      <c r="E21" s="21"/>
      <c r="F21" s="36" t="str">
        <f t="shared" si="1"/>
        <v>Did Not</v>
      </c>
      <c r="G21" s="28"/>
      <c r="H21" s="28"/>
      <c r="I21" s="28"/>
      <c r="J21" s="28"/>
      <c r="K21" s="28"/>
      <c r="L21" s="28"/>
      <c r="M21" s="28"/>
      <c r="N21" s="21"/>
      <c r="O21" s="28"/>
      <c r="P21" s="37"/>
      <c r="Q21" s="21"/>
      <c r="R21" s="21"/>
      <c r="S21" s="47"/>
      <c r="T21" s="25">
        <f t="shared" si="0"/>
        <v>0</v>
      </c>
      <c r="U21" s="25" t="str">
        <f>IF('PART III-DEMOGRAPHICS'!Q31="","",'PART III-DEMOGRAPHICS'!Q31)</f>
        <v/>
      </c>
    </row>
    <row r="22" spans="1:21" ht="33.6" customHeight="1">
      <c r="A22" s="25" t="str">
        <f>IF('PART III-DEMOGRAPHICS'!A32="","",'PART III-DEMOGRAPHICS'!A32)</f>
        <v/>
      </c>
      <c r="B22" s="28"/>
      <c r="C22" s="27"/>
      <c r="D22" s="28"/>
      <c r="E22" s="21"/>
      <c r="F22" s="36" t="str">
        <f t="shared" si="1"/>
        <v>Did Not</v>
      </c>
      <c r="G22" s="28"/>
      <c r="H22" s="28"/>
      <c r="I22" s="28"/>
      <c r="J22" s="28"/>
      <c r="K22" s="28"/>
      <c r="L22" s="28"/>
      <c r="M22" s="28"/>
      <c r="N22" s="21"/>
      <c r="O22" s="28"/>
      <c r="P22" s="37"/>
      <c r="Q22" s="21"/>
      <c r="R22" s="21"/>
      <c r="S22" s="47"/>
      <c r="T22" s="25">
        <f t="shared" si="0"/>
        <v>0</v>
      </c>
      <c r="U22" s="25" t="str">
        <f>IF('PART III-DEMOGRAPHICS'!Q32="","",'PART III-DEMOGRAPHICS'!Q32)</f>
        <v/>
      </c>
    </row>
    <row r="23" spans="1:21" ht="33.6" customHeight="1">
      <c r="A23" s="25" t="str">
        <f>IF('PART III-DEMOGRAPHICS'!A33="","",'PART III-DEMOGRAPHICS'!A33)</f>
        <v/>
      </c>
      <c r="B23" s="28"/>
      <c r="C23" s="27"/>
      <c r="D23" s="28"/>
      <c r="E23" s="21"/>
      <c r="F23" s="36" t="str">
        <f t="shared" si="1"/>
        <v>Did Not</v>
      </c>
      <c r="G23" s="28"/>
      <c r="H23" s="28"/>
      <c r="I23" s="28"/>
      <c r="J23" s="28"/>
      <c r="K23" s="28"/>
      <c r="L23" s="28"/>
      <c r="M23" s="28"/>
      <c r="N23" s="21"/>
      <c r="O23" s="28"/>
      <c r="P23" s="37"/>
      <c r="Q23" s="21"/>
      <c r="R23" s="21"/>
      <c r="S23" s="47"/>
      <c r="T23" s="25">
        <f t="shared" si="0"/>
        <v>0</v>
      </c>
      <c r="U23" s="25" t="str">
        <f>IF('PART III-DEMOGRAPHICS'!Q33="","",'PART III-DEMOGRAPHICS'!Q33)</f>
        <v/>
      </c>
    </row>
    <row r="24" spans="1:21" ht="33.6" customHeight="1">
      <c r="A24" s="25" t="str">
        <f>IF('PART III-DEMOGRAPHICS'!A34="","",'PART III-DEMOGRAPHICS'!A34)</f>
        <v/>
      </c>
      <c r="B24" s="28"/>
      <c r="C24" s="27"/>
      <c r="D24" s="28"/>
      <c r="E24" s="21"/>
      <c r="F24" s="36" t="str">
        <f t="shared" si="1"/>
        <v>Did Not</v>
      </c>
      <c r="G24" s="28"/>
      <c r="H24" s="28"/>
      <c r="I24" s="28"/>
      <c r="J24" s="28"/>
      <c r="K24" s="28"/>
      <c r="L24" s="28"/>
      <c r="M24" s="28"/>
      <c r="N24" s="21"/>
      <c r="O24" s="28"/>
      <c r="P24" s="37"/>
      <c r="Q24" s="21"/>
      <c r="R24" s="21"/>
      <c r="S24" s="47"/>
      <c r="T24" s="25">
        <f t="shared" si="0"/>
        <v>0</v>
      </c>
      <c r="U24" s="25" t="str">
        <f>IF('PART III-DEMOGRAPHICS'!Q34="","",'PART III-DEMOGRAPHICS'!Q34)</f>
        <v/>
      </c>
    </row>
    <row r="25" spans="1:21" ht="33.6" customHeight="1">
      <c r="A25" s="25" t="str">
        <f>IF('PART III-DEMOGRAPHICS'!A35="","",'PART III-DEMOGRAPHICS'!A35)</f>
        <v/>
      </c>
      <c r="B25" s="28"/>
      <c r="C25" s="27"/>
      <c r="D25" s="28"/>
      <c r="E25" s="21"/>
      <c r="F25" s="36" t="str">
        <f t="shared" si="1"/>
        <v>Did Not</v>
      </c>
      <c r="G25" s="28"/>
      <c r="H25" s="28"/>
      <c r="I25" s="28"/>
      <c r="J25" s="28"/>
      <c r="K25" s="28"/>
      <c r="L25" s="28"/>
      <c r="M25" s="28"/>
      <c r="N25" s="21"/>
      <c r="O25" s="28"/>
      <c r="P25" s="37"/>
      <c r="Q25" s="21"/>
      <c r="R25" s="21"/>
      <c r="S25" s="47"/>
      <c r="T25" s="25">
        <f t="shared" si="0"/>
        <v>0</v>
      </c>
      <c r="U25" s="25" t="str">
        <f>IF('PART III-DEMOGRAPHICS'!Q35="","",'PART III-DEMOGRAPHICS'!Q35)</f>
        <v/>
      </c>
    </row>
    <row r="26" spans="1:21" ht="33.6" customHeight="1">
      <c r="A26" s="25" t="str">
        <f>IF('PART III-DEMOGRAPHICS'!A36="","",'PART III-DEMOGRAPHICS'!A36)</f>
        <v/>
      </c>
      <c r="B26" s="28"/>
      <c r="C26" s="27"/>
      <c r="D26" s="28"/>
      <c r="E26" s="21"/>
      <c r="F26" s="36" t="str">
        <f t="shared" si="1"/>
        <v>Did Not</v>
      </c>
      <c r="G26" s="28"/>
      <c r="H26" s="28"/>
      <c r="I26" s="28"/>
      <c r="J26" s="28"/>
      <c r="K26" s="28"/>
      <c r="L26" s="28"/>
      <c r="M26" s="28"/>
      <c r="N26" s="21"/>
      <c r="O26" s="28"/>
      <c r="P26" s="37"/>
      <c r="Q26" s="21"/>
      <c r="R26" s="21"/>
      <c r="S26" s="47"/>
      <c r="T26" s="25">
        <f t="shared" si="0"/>
        <v>0</v>
      </c>
      <c r="U26" s="25" t="str">
        <f>IF('PART III-DEMOGRAPHICS'!Q36="","",'PART III-DEMOGRAPHICS'!Q36)</f>
        <v/>
      </c>
    </row>
    <row r="27" spans="1:21" ht="33.6" customHeight="1">
      <c r="A27" s="25" t="str">
        <f>IF('PART III-DEMOGRAPHICS'!A37="","",'PART III-DEMOGRAPHICS'!A37)</f>
        <v/>
      </c>
      <c r="B27" s="28"/>
      <c r="C27" s="27"/>
      <c r="D27" s="28"/>
      <c r="E27" s="21"/>
      <c r="F27" s="36" t="str">
        <f t="shared" si="1"/>
        <v>Did Not</v>
      </c>
      <c r="G27" s="28"/>
      <c r="H27" s="28"/>
      <c r="I27" s="28"/>
      <c r="J27" s="28"/>
      <c r="K27" s="28"/>
      <c r="L27" s="28"/>
      <c r="M27" s="28"/>
      <c r="N27" s="21"/>
      <c r="O27" s="28"/>
      <c r="P27" s="37"/>
      <c r="Q27" s="21"/>
      <c r="R27" s="21"/>
      <c r="S27" s="47"/>
      <c r="T27" s="25">
        <f t="shared" si="0"/>
        <v>0</v>
      </c>
      <c r="U27" s="25" t="str">
        <f>IF('PART III-DEMOGRAPHICS'!Q37="","",'PART III-DEMOGRAPHICS'!Q37)</f>
        <v/>
      </c>
    </row>
    <row r="28" spans="1:21" ht="33.6" customHeight="1">
      <c r="A28" s="25" t="str">
        <f>IF('PART III-DEMOGRAPHICS'!A38="","",'PART III-DEMOGRAPHICS'!A38)</f>
        <v/>
      </c>
      <c r="B28" s="28"/>
      <c r="C28" s="27"/>
      <c r="D28" s="28"/>
      <c r="E28" s="21"/>
      <c r="F28" s="36" t="str">
        <f t="shared" si="1"/>
        <v>Did Not</v>
      </c>
      <c r="G28" s="28"/>
      <c r="H28" s="28"/>
      <c r="I28" s="28"/>
      <c r="J28" s="28"/>
      <c r="K28" s="28"/>
      <c r="L28" s="28"/>
      <c r="M28" s="28"/>
      <c r="N28" s="21"/>
      <c r="O28" s="28"/>
      <c r="P28" s="37"/>
      <c r="Q28" s="21"/>
      <c r="R28" s="21"/>
      <c r="S28" s="47"/>
      <c r="T28" s="25">
        <f t="shared" si="0"/>
        <v>0</v>
      </c>
      <c r="U28" s="25" t="str">
        <f>IF('PART III-DEMOGRAPHICS'!Q38="","",'PART III-DEMOGRAPHICS'!Q38)</f>
        <v/>
      </c>
    </row>
    <row r="29" spans="1:21" ht="33.6" customHeight="1">
      <c r="A29" s="25" t="str">
        <f>IF('PART III-DEMOGRAPHICS'!A39="","",'PART III-DEMOGRAPHICS'!A39)</f>
        <v/>
      </c>
      <c r="B29" s="28"/>
      <c r="C29" s="27"/>
      <c r="D29" s="28"/>
      <c r="E29" s="21"/>
      <c r="F29" s="36" t="str">
        <f t="shared" si="1"/>
        <v>Did Not</v>
      </c>
      <c r="G29" s="28"/>
      <c r="H29" s="28"/>
      <c r="I29" s="28"/>
      <c r="J29" s="28"/>
      <c r="K29" s="28"/>
      <c r="L29" s="28"/>
      <c r="M29" s="28"/>
      <c r="N29" s="21"/>
      <c r="O29" s="28"/>
      <c r="P29" s="37"/>
      <c r="Q29" s="21"/>
      <c r="R29" s="21"/>
      <c r="S29" s="47"/>
      <c r="T29" s="25">
        <f t="shared" si="0"/>
        <v>0</v>
      </c>
      <c r="U29" s="25" t="str">
        <f>IF('PART III-DEMOGRAPHICS'!Q39="","",'PART III-DEMOGRAPHICS'!Q39)</f>
        <v/>
      </c>
    </row>
    <row r="30" spans="1:21" ht="33.6" customHeight="1">
      <c r="A30" s="25" t="str">
        <f>IF('PART III-DEMOGRAPHICS'!A40="","",'PART III-DEMOGRAPHICS'!A40)</f>
        <v/>
      </c>
      <c r="B30" s="28"/>
      <c r="C30" s="27"/>
      <c r="D30" s="28"/>
      <c r="E30" s="21"/>
      <c r="F30" s="36" t="str">
        <f t="shared" si="1"/>
        <v>Did Not</v>
      </c>
      <c r="G30" s="28"/>
      <c r="H30" s="28"/>
      <c r="I30" s="28"/>
      <c r="J30" s="28"/>
      <c r="K30" s="28"/>
      <c r="L30" s="28"/>
      <c r="M30" s="28"/>
      <c r="N30" s="21"/>
      <c r="O30" s="28"/>
      <c r="P30" s="37"/>
      <c r="Q30" s="21"/>
      <c r="R30" s="21"/>
      <c r="S30" s="47"/>
      <c r="T30" s="25">
        <f t="shared" si="0"/>
        <v>0</v>
      </c>
      <c r="U30" s="25" t="str">
        <f>IF('PART III-DEMOGRAPHICS'!Q40="","",'PART III-DEMOGRAPHICS'!Q40)</f>
        <v/>
      </c>
    </row>
    <row r="31" spans="1:21" ht="33.6" customHeight="1">
      <c r="A31" s="25" t="str">
        <f>IF('PART III-DEMOGRAPHICS'!A41="","",'PART III-DEMOGRAPHICS'!A41)</f>
        <v/>
      </c>
      <c r="B31" s="28"/>
      <c r="C31" s="27"/>
      <c r="D31" s="28"/>
      <c r="E31" s="21"/>
      <c r="F31" s="36" t="str">
        <f t="shared" si="1"/>
        <v>Did Not</v>
      </c>
      <c r="G31" s="28"/>
      <c r="H31" s="28"/>
      <c r="I31" s="28"/>
      <c r="J31" s="28"/>
      <c r="K31" s="28"/>
      <c r="L31" s="28"/>
      <c r="M31" s="28"/>
      <c r="N31" s="21"/>
      <c r="O31" s="28"/>
      <c r="P31" s="37"/>
      <c r="Q31" s="21"/>
      <c r="R31" s="21"/>
      <c r="S31" s="47"/>
      <c r="T31" s="25">
        <f t="shared" si="0"/>
        <v>0</v>
      </c>
      <c r="U31" s="25" t="str">
        <f>IF('PART III-DEMOGRAPHICS'!Q41="","",'PART III-DEMOGRAPHICS'!Q41)</f>
        <v/>
      </c>
    </row>
    <row r="32" spans="1:21" ht="33.6" customHeight="1">
      <c r="A32" s="25" t="str">
        <f>IF('PART III-DEMOGRAPHICS'!A42="","",'PART III-DEMOGRAPHICS'!A42)</f>
        <v/>
      </c>
      <c r="B32" s="28"/>
      <c r="C32" s="27"/>
      <c r="D32" s="28"/>
      <c r="E32" s="21"/>
      <c r="F32" s="36" t="str">
        <f t="shared" si="1"/>
        <v>Did Not</v>
      </c>
      <c r="G32" s="28"/>
      <c r="H32" s="28"/>
      <c r="I32" s="28"/>
      <c r="J32" s="28"/>
      <c r="K32" s="28"/>
      <c r="L32" s="28"/>
      <c r="M32" s="28"/>
      <c r="N32" s="21"/>
      <c r="O32" s="28"/>
      <c r="P32" s="37"/>
      <c r="Q32" s="21"/>
      <c r="R32" s="21"/>
      <c r="S32" s="47"/>
      <c r="T32" s="25">
        <f t="shared" si="0"/>
        <v>0</v>
      </c>
      <c r="U32" s="25" t="str">
        <f>IF('PART III-DEMOGRAPHICS'!Q42="","",'PART III-DEMOGRAPHICS'!Q42)</f>
        <v/>
      </c>
    </row>
    <row r="33" spans="1:21" ht="33.6" customHeight="1">
      <c r="A33" s="25" t="str">
        <f>IF('PART III-DEMOGRAPHICS'!A43="","",'PART III-DEMOGRAPHICS'!A43)</f>
        <v/>
      </c>
      <c r="B33" s="28"/>
      <c r="C33" s="27"/>
      <c r="D33" s="28"/>
      <c r="E33" s="21"/>
      <c r="F33" s="36" t="str">
        <f t="shared" si="1"/>
        <v>Did Not</v>
      </c>
      <c r="G33" s="28"/>
      <c r="H33" s="28"/>
      <c r="I33" s="28"/>
      <c r="J33" s="28"/>
      <c r="K33" s="28"/>
      <c r="L33" s="28"/>
      <c r="M33" s="28"/>
      <c r="N33" s="21"/>
      <c r="O33" s="28"/>
      <c r="P33" s="37"/>
      <c r="Q33" s="21"/>
      <c r="R33" s="21"/>
      <c r="S33" s="47"/>
      <c r="T33" s="25">
        <f t="shared" si="0"/>
        <v>0</v>
      </c>
      <c r="U33" s="25" t="str">
        <f>IF('PART III-DEMOGRAPHICS'!Q43="","",'PART III-DEMOGRAPHICS'!Q43)</f>
        <v/>
      </c>
    </row>
    <row r="34" spans="1:21" ht="33.6" customHeight="1">
      <c r="A34" s="25" t="str">
        <f>IF('PART III-DEMOGRAPHICS'!A44="","",'PART III-DEMOGRAPHICS'!A44)</f>
        <v/>
      </c>
      <c r="B34" s="28"/>
      <c r="C34" s="27"/>
      <c r="D34" s="28"/>
      <c r="E34" s="21"/>
      <c r="F34" s="36" t="str">
        <f t="shared" si="1"/>
        <v>Did Not</v>
      </c>
      <c r="G34" s="28"/>
      <c r="H34" s="28"/>
      <c r="I34" s="28"/>
      <c r="J34" s="28"/>
      <c r="K34" s="28"/>
      <c r="L34" s="28"/>
      <c r="M34" s="28"/>
      <c r="N34" s="21"/>
      <c r="O34" s="28"/>
      <c r="P34" s="37"/>
      <c r="Q34" s="21"/>
      <c r="R34" s="21"/>
      <c r="S34" s="47"/>
      <c r="T34" s="25">
        <f t="shared" si="0"/>
        <v>0</v>
      </c>
      <c r="U34" s="25" t="str">
        <f>IF('PART III-DEMOGRAPHICS'!Q44="","",'PART III-DEMOGRAPHICS'!Q44)</f>
        <v/>
      </c>
    </row>
    <row r="35" spans="1:21" ht="33.6" customHeight="1">
      <c r="A35" s="25" t="str">
        <f>IF('PART III-DEMOGRAPHICS'!A45="","",'PART III-DEMOGRAPHICS'!A45)</f>
        <v/>
      </c>
      <c r="B35" s="28"/>
      <c r="C35" s="27"/>
      <c r="D35" s="28"/>
      <c r="E35" s="21"/>
      <c r="F35" s="36" t="str">
        <f t="shared" si="1"/>
        <v>Did Not</v>
      </c>
      <c r="G35" s="28"/>
      <c r="H35" s="28"/>
      <c r="I35" s="28"/>
      <c r="J35" s="28"/>
      <c r="K35" s="28"/>
      <c r="L35" s="28"/>
      <c r="M35" s="28"/>
      <c r="N35" s="21"/>
      <c r="O35" s="28"/>
      <c r="P35" s="37"/>
      <c r="Q35" s="21"/>
      <c r="R35" s="21"/>
      <c r="S35" s="47"/>
      <c r="T35" s="25">
        <f t="shared" si="0"/>
        <v>0</v>
      </c>
      <c r="U35" s="25" t="str">
        <f>IF('PART III-DEMOGRAPHICS'!Q45="","",'PART III-DEMOGRAPHICS'!Q45)</f>
        <v/>
      </c>
    </row>
    <row r="36" spans="1:21" ht="33.6" customHeight="1">
      <c r="A36" s="25" t="str">
        <f>IF('PART III-DEMOGRAPHICS'!A46="","",'PART III-DEMOGRAPHICS'!A46)</f>
        <v/>
      </c>
      <c r="B36" s="28"/>
      <c r="C36" s="27"/>
      <c r="D36" s="28"/>
      <c r="E36" s="21"/>
      <c r="F36" s="36" t="str">
        <f t="shared" si="1"/>
        <v>Did Not</v>
      </c>
      <c r="G36" s="28"/>
      <c r="H36" s="28"/>
      <c r="I36" s="28"/>
      <c r="J36" s="28"/>
      <c r="K36" s="28"/>
      <c r="L36" s="28"/>
      <c r="M36" s="28"/>
      <c r="N36" s="21"/>
      <c r="O36" s="28"/>
      <c r="P36" s="37"/>
      <c r="Q36" s="21"/>
      <c r="R36" s="21"/>
      <c r="S36" s="47"/>
      <c r="T36" s="25">
        <f t="shared" si="0"/>
        <v>0</v>
      </c>
      <c r="U36" s="25" t="str">
        <f>IF('PART III-DEMOGRAPHICS'!Q46="","",'PART III-DEMOGRAPHICS'!Q46)</f>
        <v/>
      </c>
    </row>
    <row r="37" spans="1:21" ht="33.6" customHeight="1">
      <c r="A37" s="25" t="str">
        <f>IF('PART III-DEMOGRAPHICS'!A47="","",'PART III-DEMOGRAPHICS'!A47)</f>
        <v/>
      </c>
      <c r="B37" s="28"/>
      <c r="C37" s="27"/>
      <c r="D37" s="28"/>
      <c r="E37" s="21"/>
      <c r="F37" s="36" t="str">
        <f t="shared" si="1"/>
        <v>Did Not</v>
      </c>
      <c r="G37" s="28"/>
      <c r="H37" s="28"/>
      <c r="I37" s="28"/>
      <c r="J37" s="28"/>
      <c r="K37" s="28"/>
      <c r="L37" s="28"/>
      <c r="M37" s="28"/>
      <c r="N37" s="21"/>
      <c r="O37" s="28"/>
      <c r="P37" s="37"/>
      <c r="Q37" s="21"/>
      <c r="R37" s="21"/>
      <c r="S37" s="47"/>
      <c r="T37" s="25">
        <f t="shared" si="0"/>
        <v>0</v>
      </c>
      <c r="U37" s="25" t="str">
        <f>IF('PART III-DEMOGRAPHICS'!Q47="","",'PART III-DEMOGRAPHICS'!Q47)</f>
        <v/>
      </c>
    </row>
    <row r="38" spans="1:21" ht="33.6" customHeight="1">
      <c r="A38" s="25" t="str">
        <f>IF('PART III-DEMOGRAPHICS'!A48="","",'PART III-DEMOGRAPHICS'!A48)</f>
        <v/>
      </c>
      <c r="B38" s="28"/>
      <c r="C38" s="27"/>
      <c r="D38" s="28"/>
      <c r="E38" s="21"/>
      <c r="F38" s="36" t="str">
        <f t="shared" si="1"/>
        <v>Did Not</v>
      </c>
      <c r="G38" s="28"/>
      <c r="H38" s="28"/>
      <c r="I38" s="28"/>
      <c r="J38" s="28"/>
      <c r="K38" s="28"/>
      <c r="L38" s="28"/>
      <c r="M38" s="28"/>
      <c r="N38" s="21"/>
      <c r="O38" s="28"/>
      <c r="P38" s="37"/>
      <c r="Q38" s="21"/>
      <c r="R38" s="21"/>
      <c r="S38" s="47"/>
      <c r="T38" s="25">
        <f t="shared" si="0"/>
        <v>0</v>
      </c>
      <c r="U38" s="25" t="str">
        <f>IF('PART III-DEMOGRAPHICS'!Q48="","",'PART III-DEMOGRAPHICS'!Q48)</f>
        <v/>
      </c>
    </row>
    <row r="39" spans="1:21" ht="33.6" customHeight="1">
      <c r="A39" s="25" t="str">
        <f>IF('PART III-DEMOGRAPHICS'!A49="","",'PART III-DEMOGRAPHICS'!A49)</f>
        <v/>
      </c>
      <c r="B39" s="28"/>
      <c r="C39" s="27"/>
      <c r="D39" s="28"/>
      <c r="E39" s="21"/>
      <c r="F39" s="36" t="str">
        <f t="shared" ref="F39:F70" si="2">IF(OR(G39="Yes",H39="Yes",I39="Yes",J39="Yes",K39="Yes",L39="Yes",M39="Yes"),"Did","Did Not")</f>
        <v>Did Not</v>
      </c>
      <c r="G39" s="28"/>
      <c r="H39" s="28"/>
      <c r="I39" s="28"/>
      <c r="J39" s="28"/>
      <c r="K39" s="28"/>
      <c r="L39" s="28"/>
      <c r="M39" s="28"/>
      <c r="N39" s="21"/>
      <c r="O39" s="28"/>
      <c r="P39" s="37"/>
      <c r="Q39" s="21"/>
      <c r="R39" s="21"/>
      <c r="S39" s="47"/>
      <c r="T39" s="25">
        <f t="shared" si="0"/>
        <v>0</v>
      </c>
      <c r="U39" s="25" t="str">
        <f>IF('PART III-DEMOGRAPHICS'!Q49="","",'PART III-DEMOGRAPHICS'!Q49)</f>
        <v/>
      </c>
    </row>
    <row r="40" spans="1:21" ht="33.6" customHeight="1">
      <c r="A40" s="25" t="str">
        <f>IF('PART III-DEMOGRAPHICS'!A50="","",'PART III-DEMOGRAPHICS'!A50)</f>
        <v/>
      </c>
      <c r="B40" s="28"/>
      <c r="C40" s="27"/>
      <c r="D40" s="28"/>
      <c r="E40" s="21"/>
      <c r="F40" s="36" t="str">
        <f t="shared" si="2"/>
        <v>Did Not</v>
      </c>
      <c r="G40" s="28"/>
      <c r="H40" s="28"/>
      <c r="I40" s="28"/>
      <c r="J40" s="28"/>
      <c r="K40" s="28"/>
      <c r="L40" s="28"/>
      <c r="M40" s="28"/>
      <c r="N40" s="21"/>
      <c r="O40" s="28"/>
      <c r="P40" s="37"/>
      <c r="Q40" s="21"/>
      <c r="R40" s="21"/>
      <c r="S40" s="47"/>
      <c r="T40" s="25">
        <f t="shared" si="0"/>
        <v>0</v>
      </c>
      <c r="U40" s="25" t="str">
        <f>IF('PART III-DEMOGRAPHICS'!Q50="","",'PART III-DEMOGRAPHICS'!Q50)</f>
        <v/>
      </c>
    </row>
    <row r="41" spans="1:21" ht="33.6" customHeight="1">
      <c r="A41" s="25" t="str">
        <f>IF('PART III-DEMOGRAPHICS'!A51="","",'PART III-DEMOGRAPHICS'!A51)</f>
        <v/>
      </c>
      <c r="B41" s="28"/>
      <c r="C41" s="27"/>
      <c r="D41" s="28"/>
      <c r="E41" s="21"/>
      <c r="F41" s="36" t="str">
        <f t="shared" si="2"/>
        <v>Did Not</v>
      </c>
      <c r="G41" s="28"/>
      <c r="H41" s="28"/>
      <c r="I41" s="28"/>
      <c r="J41" s="28"/>
      <c r="K41" s="28"/>
      <c r="L41" s="28"/>
      <c r="M41" s="28"/>
      <c r="N41" s="21"/>
      <c r="O41" s="28"/>
      <c r="P41" s="37"/>
      <c r="Q41" s="21"/>
      <c r="R41" s="21"/>
      <c r="S41" s="47"/>
      <c r="T41" s="25">
        <f t="shared" si="0"/>
        <v>0</v>
      </c>
      <c r="U41" s="25" t="str">
        <f>IF('PART III-DEMOGRAPHICS'!Q51="","",'PART III-DEMOGRAPHICS'!Q51)</f>
        <v/>
      </c>
    </row>
    <row r="42" spans="1:21" ht="33.6" customHeight="1">
      <c r="A42" s="25" t="str">
        <f>IF('PART III-DEMOGRAPHICS'!A52="","",'PART III-DEMOGRAPHICS'!A52)</f>
        <v/>
      </c>
      <c r="B42" s="28"/>
      <c r="C42" s="27"/>
      <c r="D42" s="28"/>
      <c r="E42" s="21"/>
      <c r="F42" s="36" t="str">
        <f t="shared" si="2"/>
        <v>Did Not</v>
      </c>
      <c r="G42" s="28"/>
      <c r="H42" s="28"/>
      <c r="I42" s="28"/>
      <c r="J42" s="28"/>
      <c r="K42" s="28"/>
      <c r="L42" s="28"/>
      <c r="M42" s="28"/>
      <c r="N42" s="21"/>
      <c r="O42" s="28"/>
      <c r="P42" s="37"/>
      <c r="Q42" s="21"/>
      <c r="R42" s="21"/>
      <c r="S42" s="47"/>
      <c r="T42" s="25">
        <f t="shared" si="0"/>
        <v>0</v>
      </c>
      <c r="U42" s="25" t="str">
        <f>IF('PART III-DEMOGRAPHICS'!Q52="","",'PART III-DEMOGRAPHICS'!Q52)</f>
        <v/>
      </c>
    </row>
    <row r="43" spans="1:21" ht="33.6" customHeight="1">
      <c r="A43" s="25" t="str">
        <f>IF('PART III-DEMOGRAPHICS'!A53="","",'PART III-DEMOGRAPHICS'!A53)</f>
        <v/>
      </c>
      <c r="B43" s="28"/>
      <c r="C43" s="27"/>
      <c r="D43" s="28"/>
      <c r="E43" s="21"/>
      <c r="F43" s="36" t="str">
        <f t="shared" si="2"/>
        <v>Did Not</v>
      </c>
      <c r="G43" s="28"/>
      <c r="H43" s="28"/>
      <c r="I43" s="28"/>
      <c r="J43" s="28"/>
      <c r="K43" s="28"/>
      <c r="L43" s="28"/>
      <c r="M43" s="28"/>
      <c r="N43" s="21"/>
      <c r="O43" s="28"/>
      <c r="P43" s="37"/>
      <c r="Q43" s="21"/>
      <c r="R43" s="21"/>
      <c r="S43" s="47"/>
      <c r="T43" s="25">
        <f t="shared" si="0"/>
        <v>0</v>
      </c>
      <c r="U43" s="25" t="str">
        <f>IF('PART III-DEMOGRAPHICS'!Q53="","",'PART III-DEMOGRAPHICS'!Q53)</f>
        <v/>
      </c>
    </row>
    <row r="44" spans="1:21" ht="33.6" customHeight="1">
      <c r="A44" s="25" t="str">
        <f>IF('PART III-DEMOGRAPHICS'!A54="","",'PART III-DEMOGRAPHICS'!A54)</f>
        <v/>
      </c>
      <c r="B44" s="28"/>
      <c r="C44" s="27"/>
      <c r="D44" s="28"/>
      <c r="E44" s="21"/>
      <c r="F44" s="36" t="str">
        <f t="shared" si="2"/>
        <v>Did Not</v>
      </c>
      <c r="G44" s="28"/>
      <c r="H44" s="28"/>
      <c r="I44" s="28"/>
      <c r="J44" s="28"/>
      <c r="K44" s="28"/>
      <c r="L44" s="28"/>
      <c r="M44" s="28"/>
      <c r="N44" s="21"/>
      <c r="O44" s="28"/>
      <c r="P44" s="37"/>
      <c r="Q44" s="21"/>
      <c r="R44" s="21"/>
      <c r="S44" s="47"/>
      <c r="T44" s="25">
        <f t="shared" si="0"/>
        <v>0</v>
      </c>
      <c r="U44" s="25" t="str">
        <f>IF('PART III-DEMOGRAPHICS'!Q54="","",'PART III-DEMOGRAPHICS'!Q54)</f>
        <v/>
      </c>
    </row>
    <row r="45" spans="1:21" ht="33.6" customHeight="1">
      <c r="A45" s="25" t="str">
        <f>IF('PART III-DEMOGRAPHICS'!A55="","",'PART III-DEMOGRAPHICS'!A55)</f>
        <v/>
      </c>
      <c r="B45" s="28"/>
      <c r="C45" s="27"/>
      <c r="D45" s="28"/>
      <c r="E45" s="21"/>
      <c r="F45" s="36" t="str">
        <f t="shared" si="2"/>
        <v>Did Not</v>
      </c>
      <c r="G45" s="28"/>
      <c r="H45" s="28"/>
      <c r="I45" s="28"/>
      <c r="J45" s="28"/>
      <c r="K45" s="28"/>
      <c r="L45" s="28"/>
      <c r="M45" s="28"/>
      <c r="N45" s="21"/>
      <c r="O45" s="28"/>
      <c r="P45" s="37"/>
      <c r="Q45" s="21"/>
      <c r="R45" s="21"/>
      <c r="S45" s="47"/>
      <c r="T45" s="25">
        <f t="shared" si="0"/>
        <v>0</v>
      </c>
      <c r="U45" s="25" t="str">
        <f>IF('PART III-DEMOGRAPHICS'!Q55="","",'PART III-DEMOGRAPHICS'!Q55)</f>
        <v/>
      </c>
    </row>
    <row r="46" spans="1:21" ht="33.6" customHeight="1">
      <c r="A46" s="25" t="str">
        <f>IF('PART III-DEMOGRAPHICS'!A56="","",'PART III-DEMOGRAPHICS'!A56)</f>
        <v/>
      </c>
      <c r="B46" s="28"/>
      <c r="C46" s="27"/>
      <c r="D46" s="28"/>
      <c r="E46" s="21"/>
      <c r="F46" s="36" t="str">
        <f t="shared" si="2"/>
        <v>Did Not</v>
      </c>
      <c r="G46" s="28"/>
      <c r="H46" s="28"/>
      <c r="I46" s="28"/>
      <c r="J46" s="28"/>
      <c r="K46" s="28"/>
      <c r="L46" s="28"/>
      <c r="M46" s="28"/>
      <c r="N46" s="21"/>
      <c r="O46" s="28"/>
      <c r="P46" s="37"/>
      <c r="Q46" s="21"/>
      <c r="R46" s="21"/>
      <c r="S46" s="47"/>
      <c r="T46" s="25">
        <f t="shared" si="0"/>
        <v>0</v>
      </c>
      <c r="U46" s="25" t="str">
        <f>IF('PART III-DEMOGRAPHICS'!Q56="","",'PART III-DEMOGRAPHICS'!Q56)</f>
        <v/>
      </c>
    </row>
    <row r="47" spans="1:21" ht="33.6" customHeight="1">
      <c r="A47" s="25" t="str">
        <f>IF('PART III-DEMOGRAPHICS'!A57="","",'PART III-DEMOGRAPHICS'!A57)</f>
        <v/>
      </c>
      <c r="B47" s="28"/>
      <c r="C47" s="27"/>
      <c r="D47" s="28"/>
      <c r="E47" s="21"/>
      <c r="F47" s="36" t="str">
        <f t="shared" si="2"/>
        <v>Did Not</v>
      </c>
      <c r="G47" s="28"/>
      <c r="H47" s="28"/>
      <c r="I47" s="28"/>
      <c r="J47" s="28"/>
      <c r="K47" s="28"/>
      <c r="L47" s="28"/>
      <c r="M47" s="28"/>
      <c r="N47" s="21"/>
      <c r="O47" s="28"/>
      <c r="P47" s="37"/>
      <c r="Q47" s="21"/>
      <c r="R47" s="21"/>
      <c r="S47" s="47"/>
      <c r="T47" s="25">
        <f t="shared" si="0"/>
        <v>0</v>
      </c>
      <c r="U47" s="25" t="str">
        <f>IF('PART III-DEMOGRAPHICS'!Q57="","",'PART III-DEMOGRAPHICS'!Q57)</f>
        <v/>
      </c>
    </row>
    <row r="48" spans="1:21" ht="33.6" customHeight="1">
      <c r="A48" s="25" t="str">
        <f>IF('PART III-DEMOGRAPHICS'!A58="","",'PART III-DEMOGRAPHICS'!A58)</f>
        <v/>
      </c>
      <c r="B48" s="28"/>
      <c r="C48" s="27"/>
      <c r="D48" s="28"/>
      <c r="E48" s="21"/>
      <c r="F48" s="36" t="str">
        <f t="shared" si="2"/>
        <v>Did Not</v>
      </c>
      <c r="G48" s="28"/>
      <c r="H48" s="28"/>
      <c r="I48" s="28"/>
      <c r="J48" s="28"/>
      <c r="K48" s="28"/>
      <c r="L48" s="28"/>
      <c r="M48" s="28"/>
      <c r="N48" s="21"/>
      <c r="O48" s="28"/>
      <c r="P48" s="37"/>
      <c r="Q48" s="21"/>
      <c r="R48" s="21"/>
      <c r="S48" s="47"/>
      <c r="T48" s="25">
        <f t="shared" si="0"/>
        <v>0</v>
      </c>
      <c r="U48" s="25" t="str">
        <f>IF('PART III-DEMOGRAPHICS'!Q58="","",'PART III-DEMOGRAPHICS'!Q58)</f>
        <v/>
      </c>
    </row>
    <row r="49" spans="1:21" ht="33.6" customHeight="1">
      <c r="A49" s="25" t="str">
        <f>IF('PART III-DEMOGRAPHICS'!A59="","",'PART III-DEMOGRAPHICS'!A59)</f>
        <v/>
      </c>
      <c r="B49" s="28"/>
      <c r="C49" s="27"/>
      <c r="D49" s="28"/>
      <c r="E49" s="21"/>
      <c r="F49" s="36" t="str">
        <f t="shared" si="2"/>
        <v>Did Not</v>
      </c>
      <c r="G49" s="28"/>
      <c r="H49" s="28"/>
      <c r="I49" s="28"/>
      <c r="J49" s="28"/>
      <c r="K49" s="28"/>
      <c r="L49" s="28"/>
      <c r="M49" s="28"/>
      <c r="N49" s="21"/>
      <c r="O49" s="28"/>
      <c r="P49" s="37"/>
      <c r="Q49" s="21"/>
      <c r="R49" s="21"/>
      <c r="S49" s="47"/>
      <c r="T49" s="25">
        <f t="shared" si="0"/>
        <v>0</v>
      </c>
      <c r="U49" s="25" t="str">
        <f>IF('PART III-DEMOGRAPHICS'!Q59="","",'PART III-DEMOGRAPHICS'!Q59)</f>
        <v/>
      </c>
    </row>
    <row r="50" spans="1:21" ht="33.6" customHeight="1">
      <c r="A50" s="25" t="str">
        <f>IF('PART III-DEMOGRAPHICS'!A60="","",'PART III-DEMOGRAPHICS'!A60)</f>
        <v/>
      </c>
      <c r="B50" s="28"/>
      <c r="C50" s="27"/>
      <c r="D50" s="28"/>
      <c r="E50" s="21"/>
      <c r="F50" s="36" t="str">
        <f t="shared" si="2"/>
        <v>Did Not</v>
      </c>
      <c r="G50" s="28"/>
      <c r="H50" s="28"/>
      <c r="I50" s="28"/>
      <c r="J50" s="28"/>
      <c r="K50" s="28"/>
      <c r="L50" s="28"/>
      <c r="M50" s="28"/>
      <c r="N50" s="21"/>
      <c r="O50" s="28"/>
      <c r="P50" s="37"/>
      <c r="Q50" s="21"/>
      <c r="R50" s="21"/>
      <c r="S50" s="47"/>
      <c r="T50" s="25">
        <f t="shared" si="0"/>
        <v>0</v>
      </c>
      <c r="U50" s="25" t="str">
        <f>IF('PART III-DEMOGRAPHICS'!Q60="","",'PART III-DEMOGRAPHICS'!Q60)</f>
        <v/>
      </c>
    </row>
    <row r="51" spans="1:21" ht="33.6" customHeight="1">
      <c r="A51" s="25" t="str">
        <f>IF('PART III-DEMOGRAPHICS'!A61="","",'PART III-DEMOGRAPHICS'!A61)</f>
        <v/>
      </c>
      <c r="B51" s="28"/>
      <c r="C51" s="27"/>
      <c r="D51" s="28"/>
      <c r="E51" s="21"/>
      <c r="F51" s="36" t="str">
        <f t="shared" si="2"/>
        <v>Did Not</v>
      </c>
      <c r="G51" s="28"/>
      <c r="H51" s="28"/>
      <c r="I51" s="28"/>
      <c r="J51" s="28"/>
      <c r="K51" s="28"/>
      <c r="L51" s="28"/>
      <c r="M51" s="28"/>
      <c r="N51" s="21"/>
      <c r="O51" s="28"/>
      <c r="P51" s="37"/>
      <c r="Q51" s="21"/>
      <c r="R51" s="21"/>
      <c r="S51" s="47"/>
      <c r="T51" s="25">
        <f t="shared" si="0"/>
        <v>0</v>
      </c>
      <c r="U51" s="25" t="str">
        <f>IF('PART III-DEMOGRAPHICS'!Q61="","",'PART III-DEMOGRAPHICS'!Q61)</f>
        <v/>
      </c>
    </row>
    <row r="52" spans="1:21" ht="33.6" customHeight="1">
      <c r="A52" s="25" t="str">
        <f>IF('PART III-DEMOGRAPHICS'!A62="","",'PART III-DEMOGRAPHICS'!A62)</f>
        <v/>
      </c>
      <c r="B52" s="28"/>
      <c r="C52" s="27"/>
      <c r="D52" s="28"/>
      <c r="E52" s="21"/>
      <c r="F52" s="36" t="str">
        <f t="shared" si="2"/>
        <v>Did Not</v>
      </c>
      <c r="G52" s="28"/>
      <c r="H52" s="28"/>
      <c r="I52" s="28"/>
      <c r="J52" s="28"/>
      <c r="K52" s="28"/>
      <c r="L52" s="28"/>
      <c r="M52" s="28"/>
      <c r="N52" s="21"/>
      <c r="O52" s="28"/>
      <c r="P52" s="37"/>
      <c r="Q52" s="21"/>
      <c r="R52" s="21"/>
      <c r="S52" s="47"/>
      <c r="T52" s="25">
        <f t="shared" si="0"/>
        <v>0</v>
      </c>
      <c r="U52" s="25" t="str">
        <f>IF('PART III-DEMOGRAPHICS'!Q62="","",'PART III-DEMOGRAPHICS'!Q62)</f>
        <v/>
      </c>
    </row>
    <row r="53" spans="1:21" ht="33.6" customHeight="1">
      <c r="A53" s="25" t="str">
        <f>IF('PART III-DEMOGRAPHICS'!A63="","",'PART III-DEMOGRAPHICS'!A63)</f>
        <v/>
      </c>
      <c r="B53" s="28"/>
      <c r="C53" s="27"/>
      <c r="D53" s="28"/>
      <c r="E53" s="21"/>
      <c r="F53" s="36" t="str">
        <f t="shared" si="2"/>
        <v>Did Not</v>
      </c>
      <c r="G53" s="28"/>
      <c r="H53" s="28"/>
      <c r="I53" s="28"/>
      <c r="J53" s="28"/>
      <c r="K53" s="28"/>
      <c r="L53" s="28"/>
      <c r="M53" s="28"/>
      <c r="N53" s="21"/>
      <c r="O53" s="28"/>
      <c r="P53" s="37"/>
      <c r="Q53" s="21"/>
      <c r="R53" s="21"/>
      <c r="S53" s="47"/>
      <c r="T53" s="25">
        <f t="shared" si="0"/>
        <v>0</v>
      </c>
      <c r="U53" s="25" t="str">
        <f>IF('PART III-DEMOGRAPHICS'!Q63="","",'PART III-DEMOGRAPHICS'!Q63)</f>
        <v/>
      </c>
    </row>
    <row r="54" spans="1:21" ht="33.6" customHeight="1">
      <c r="A54" s="25" t="str">
        <f>IF('PART III-DEMOGRAPHICS'!A64="","",'PART III-DEMOGRAPHICS'!A64)</f>
        <v/>
      </c>
      <c r="B54" s="28"/>
      <c r="C54" s="27"/>
      <c r="D54" s="28"/>
      <c r="E54" s="21"/>
      <c r="F54" s="36" t="str">
        <f t="shared" si="2"/>
        <v>Did Not</v>
      </c>
      <c r="G54" s="28"/>
      <c r="H54" s="28"/>
      <c r="I54" s="28"/>
      <c r="J54" s="28"/>
      <c r="K54" s="28"/>
      <c r="L54" s="28"/>
      <c r="M54" s="28"/>
      <c r="N54" s="21"/>
      <c r="O54" s="28"/>
      <c r="P54" s="37"/>
      <c r="Q54" s="21"/>
      <c r="R54" s="21"/>
      <c r="S54" s="47"/>
      <c r="T54" s="25">
        <f t="shared" si="0"/>
        <v>0</v>
      </c>
      <c r="U54" s="25" t="str">
        <f>IF('PART III-DEMOGRAPHICS'!Q64="","",'PART III-DEMOGRAPHICS'!Q64)</f>
        <v/>
      </c>
    </row>
    <row r="55" spans="1:21" ht="33.6" customHeight="1">
      <c r="A55" s="25" t="str">
        <f>IF('PART III-DEMOGRAPHICS'!A65="","",'PART III-DEMOGRAPHICS'!A65)</f>
        <v/>
      </c>
      <c r="B55" s="28"/>
      <c r="C55" s="27"/>
      <c r="D55" s="28"/>
      <c r="E55" s="21"/>
      <c r="F55" s="36" t="str">
        <f t="shared" si="2"/>
        <v>Did Not</v>
      </c>
      <c r="G55" s="28"/>
      <c r="H55" s="28"/>
      <c r="I55" s="28"/>
      <c r="J55" s="28"/>
      <c r="K55" s="28"/>
      <c r="L55" s="28"/>
      <c r="M55" s="28"/>
      <c r="N55" s="21"/>
      <c r="O55" s="28"/>
      <c r="P55" s="37"/>
      <c r="Q55" s="21"/>
      <c r="R55" s="21"/>
      <c r="S55" s="47"/>
      <c r="T55" s="25">
        <f t="shared" si="0"/>
        <v>0</v>
      </c>
      <c r="U55" s="25" t="str">
        <f>IF('PART III-DEMOGRAPHICS'!Q65="","",'PART III-DEMOGRAPHICS'!Q65)</f>
        <v/>
      </c>
    </row>
    <row r="56" spans="1:21" ht="33.6" customHeight="1">
      <c r="A56" s="25" t="str">
        <f>IF('PART III-DEMOGRAPHICS'!A66="","",'PART III-DEMOGRAPHICS'!A66)</f>
        <v/>
      </c>
      <c r="B56" s="28"/>
      <c r="C56" s="27"/>
      <c r="D56" s="28"/>
      <c r="E56" s="21"/>
      <c r="F56" s="36" t="str">
        <f t="shared" si="2"/>
        <v>Did Not</v>
      </c>
      <c r="G56" s="28"/>
      <c r="H56" s="28"/>
      <c r="I56" s="28"/>
      <c r="J56" s="28"/>
      <c r="K56" s="28"/>
      <c r="L56" s="28"/>
      <c r="M56" s="28"/>
      <c r="N56" s="21"/>
      <c r="O56" s="28"/>
      <c r="P56" s="37"/>
      <c r="Q56" s="21"/>
      <c r="R56" s="21"/>
      <c r="S56" s="47"/>
      <c r="T56" s="25">
        <f t="shared" si="0"/>
        <v>0</v>
      </c>
      <c r="U56" s="25" t="str">
        <f>IF('PART III-DEMOGRAPHICS'!Q66="","",'PART III-DEMOGRAPHICS'!Q66)</f>
        <v/>
      </c>
    </row>
    <row r="57" spans="1:21" ht="33.6" customHeight="1">
      <c r="A57" s="25" t="str">
        <f>IF('PART III-DEMOGRAPHICS'!A67="","",'PART III-DEMOGRAPHICS'!A67)</f>
        <v/>
      </c>
      <c r="B57" s="28"/>
      <c r="C57" s="27"/>
      <c r="D57" s="28"/>
      <c r="E57" s="21"/>
      <c r="F57" s="36" t="str">
        <f t="shared" si="2"/>
        <v>Did Not</v>
      </c>
      <c r="G57" s="28"/>
      <c r="H57" s="28"/>
      <c r="I57" s="28"/>
      <c r="J57" s="28"/>
      <c r="K57" s="28"/>
      <c r="L57" s="28"/>
      <c r="M57" s="28"/>
      <c r="N57" s="21"/>
      <c r="O57" s="28"/>
      <c r="P57" s="37"/>
      <c r="Q57" s="21"/>
      <c r="R57" s="21"/>
      <c r="S57" s="47"/>
      <c r="T57" s="25">
        <f t="shared" si="0"/>
        <v>0</v>
      </c>
      <c r="U57" s="25" t="str">
        <f>IF('PART III-DEMOGRAPHICS'!Q67="","",'PART III-DEMOGRAPHICS'!Q67)</f>
        <v/>
      </c>
    </row>
    <row r="58" spans="1:21" ht="33.6" customHeight="1">
      <c r="A58" s="25" t="str">
        <f>IF('PART III-DEMOGRAPHICS'!A68="","",'PART III-DEMOGRAPHICS'!A68)</f>
        <v/>
      </c>
      <c r="B58" s="28"/>
      <c r="C58" s="27"/>
      <c r="D58" s="28"/>
      <c r="E58" s="21"/>
      <c r="F58" s="36" t="str">
        <f t="shared" si="2"/>
        <v>Did Not</v>
      </c>
      <c r="G58" s="28"/>
      <c r="H58" s="28"/>
      <c r="I58" s="28"/>
      <c r="J58" s="28"/>
      <c r="K58" s="28"/>
      <c r="L58" s="28"/>
      <c r="M58" s="28"/>
      <c r="N58" s="21"/>
      <c r="O58" s="28"/>
      <c r="P58" s="37"/>
      <c r="Q58" s="21"/>
      <c r="R58" s="21"/>
      <c r="S58" s="47"/>
      <c r="T58" s="25">
        <f t="shared" si="0"/>
        <v>0</v>
      </c>
      <c r="U58" s="25" t="str">
        <f>IF('PART III-DEMOGRAPHICS'!Q68="","",'PART III-DEMOGRAPHICS'!Q68)</f>
        <v/>
      </c>
    </row>
    <row r="59" spans="1:21" ht="33.6" customHeight="1">
      <c r="A59" s="25" t="str">
        <f>IF('PART III-DEMOGRAPHICS'!A69="","",'PART III-DEMOGRAPHICS'!A69)</f>
        <v/>
      </c>
      <c r="B59" s="28"/>
      <c r="C59" s="27"/>
      <c r="D59" s="28"/>
      <c r="E59" s="21"/>
      <c r="F59" s="36" t="str">
        <f t="shared" si="2"/>
        <v>Did Not</v>
      </c>
      <c r="G59" s="28"/>
      <c r="H59" s="28"/>
      <c r="I59" s="28"/>
      <c r="J59" s="28"/>
      <c r="K59" s="28"/>
      <c r="L59" s="28"/>
      <c r="M59" s="28"/>
      <c r="N59" s="21"/>
      <c r="O59" s="28"/>
      <c r="P59" s="37"/>
      <c r="Q59" s="21"/>
      <c r="R59" s="21"/>
      <c r="S59" s="47"/>
      <c r="T59" s="25">
        <f t="shared" si="0"/>
        <v>0</v>
      </c>
      <c r="U59" s="25" t="str">
        <f>IF('PART III-DEMOGRAPHICS'!Q69="","",'PART III-DEMOGRAPHICS'!Q69)</f>
        <v/>
      </c>
    </row>
    <row r="60" spans="1:21" ht="33.6" customHeight="1">
      <c r="A60" s="25" t="str">
        <f>IF('PART III-DEMOGRAPHICS'!A70="","",'PART III-DEMOGRAPHICS'!A70)</f>
        <v/>
      </c>
      <c r="B60" s="28"/>
      <c r="C60" s="27"/>
      <c r="D60" s="28"/>
      <c r="E60" s="21"/>
      <c r="F60" s="36" t="str">
        <f t="shared" si="2"/>
        <v>Did Not</v>
      </c>
      <c r="G60" s="28"/>
      <c r="H60" s="28"/>
      <c r="I60" s="28"/>
      <c r="J60" s="28"/>
      <c r="K60" s="28"/>
      <c r="L60" s="28"/>
      <c r="M60" s="28"/>
      <c r="N60" s="21"/>
      <c r="O60" s="28"/>
      <c r="P60" s="37"/>
      <c r="Q60" s="21"/>
      <c r="R60" s="21"/>
      <c r="S60" s="47"/>
      <c r="T60" s="25">
        <f t="shared" si="0"/>
        <v>0</v>
      </c>
      <c r="U60" s="25" t="str">
        <f>IF('PART III-DEMOGRAPHICS'!Q70="","",'PART III-DEMOGRAPHICS'!Q70)</f>
        <v/>
      </c>
    </row>
    <row r="61" spans="1:21" ht="33.6" customHeight="1">
      <c r="A61" s="25" t="str">
        <f>IF('PART III-DEMOGRAPHICS'!A71="","",'PART III-DEMOGRAPHICS'!A71)</f>
        <v/>
      </c>
      <c r="B61" s="28"/>
      <c r="C61" s="27"/>
      <c r="D61" s="28"/>
      <c r="E61" s="21"/>
      <c r="F61" s="36" t="str">
        <f t="shared" si="2"/>
        <v>Did Not</v>
      </c>
      <c r="G61" s="28"/>
      <c r="H61" s="28"/>
      <c r="I61" s="28"/>
      <c r="J61" s="28"/>
      <c r="K61" s="28"/>
      <c r="L61" s="28"/>
      <c r="M61" s="28"/>
      <c r="N61" s="21"/>
      <c r="O61" s="28"/>
      <c r="P61" s="37"/>
      <c r="Q61" s="21"/>
      <c r="R61" s="21"/>
      <c r="S61" s="47"/>
      <c r="T61" s="25">
        <f t="shared" si="0"/>
        <v>0</v>
      </c>
      <c r="U61" s="25" t="str">
        <f>IF('PART III-DEMOGRAPHICS'!Q71="","",'PART III-DEMOGRAPHICS'!Q71)</f>
        <v/>
      </c>
    </row>
    <row r="62" spans="1:21" ht="33.6" customHeight="1">
      <c r="A62" s="25" t="str">
        <f>IF('PART III-DEMOGRAPHICS'!A72="","",'PART III-DEMOGRAPHICS'!A72)</f>
        <v/>
      </c>
      <c r="B62" s="28"/>
      <c r="C62" s="27"/>
      <c r="D62" s="28"/>
      <c r="E62" s="21"/>
      <c r="F62" s="36" t="str">
        <f t="shared" si="2"/>
        <v>Did Not</v>
      </c>
      <c r="G62" s="28"/>
      <c r="H62" s="28"/>
      <c r="I62" s="28"/>
      <c r="J62" s="28"/>
      <c r="K62" s="28"/>
      <c r="L62" s="28"/>
      <c r="M62" s="28"/>
      <c r="N62" s="21"/>
      <c r="O62" s="28"/>
      <c r="P62" s="37"/>
      <c r="Q62" s="21"/>
      <c r="R62" s="21"/>
      <c r="S62" s="47"/>
      <c r="T62" s="25">
        <f t="shared" si="0"/>
        <v>0</v>
      </c>
      <c r="U62" s="25" t="str">
        <f>IF('PART III-DEMOGRAPHICS'!Q72="","",'PART III-DEMOGRAPHICS'!Q72)</f>
        <v/>
      </c>
    </row>
    <row r="63" spans="1:21" ht="33.6" customHeight="1">
      <c r="A63" s="25" t="str">
        <f>IF('PART III-DEMOGRAPHICS'!A73="","",'PART III-DEMOGRAPHICS'!A73)</f>
        <v/>
      </c>
      <c r="B63" s="28"/>
      <c r="C63" s="27"/>
      <c r="D63" s="28"/>
      <c r="E63" s="21"/>
      <c r="F63" s="36" t="str">
        <f t="shared" si="2"/>
        <v>Did Not</v>
      </c>
      <c r="G63" s="28"/>
      <c r="H63" s="28"/>
      <c r="I63" s="28"/>
      <c r="J63" s="28"/>
      <c r="K63" s="28"/>
      <c r="L63" s="28"/>
      <c r="M63" s="28"/>
      <c r="N63" s="21"/>
      <c r="O63" s="28"/>
      <c r="P63" s="37"/>
      <c r="Q63" s="21"/>
      <c r="R63" s="21"/>
      <c r="S63" s="47"/>
      <c r="T63" s="25">
        <f t="shared" si="0"/>
        <v>0</v>
      </c>
      <c r="U63" s="25" t="str">
        <f>IF('PART III-DEMOGRAPHICS'!Q73="","",'PART III-DEMOGRAPHICS'!Q73)</f>
        <v/>
      </c>
    </row>
    <row r="64" spans="1:21" ht="33.6" customHeight="1">
      <c r="A64" s="25" t="str">
        <f>IF('PART III-DEMOGRAPHICS'!A74="","",'PART III-DEMOGRAPHICS'!A74)</f>
        <v/>
      </c>
      <c r="B64" s="28"/>
      <c r="C64" s="27"/>
      <c r="D64" s="28"/>
      <c r="E64" s="21"/>
      <c r="F64" s="36" t="str">
        <f t="shared" si="2"/>
        <v>Did Not</v>
      </c>
      <c r="G64" s="28"/>
      <c r="H64" s="28"/>
      <c r="I64" s="28"/>
      <c r="J64" s="28"/>
      <c r="K64" s="28"/>
      <c r="L64" s="28"/>
      <c r="M64" s="28"/>
      <c r="N64" s="21"/>
      <c r="O64" s="28"/>
      <c r="P64" s="37"/>
      <c r="Q64" s="21"/>
      <c r="R64" s="21"/>
      <c r="S64" s="47"/>
      <c r="T64" s="25">
        <f t="shared" si="0"/>
        <v>0</v>
      </c>
      <c r="U64" s="25" t="str">
        <f>IF('PART III-DEMOGRAPHICS'!Q74="","",'PART III-DEMOGRAPHICS'!Q74)</f>
        <v/>
      </c>
    </row>
    <row r="65" spans="1:21" ht="33.6" customHeight="1">
      <c r="A65" s="25" t="str">
        <f>IF('PART III-DEMOGRAPHICS'!A75="","",'PART III-DEMOGRAPHICS'!A75)</f>
        <v/>
      </c>
      <c r="B65" s="28"/>
      <c r="C65" s="27"/>
      <c r="D65" s="28"/>
      <c r="E65" s="21"/>
      <c r="F65" s="36" t="str">
        <f t="shared" si="2"/>
        <v>Did Not</v>
      </c>
      <c r="G65" s="28"/>
      <c r="H65" s="28"/>
      <c r="I65" s="28"/>
      <c r="J65" s="28"/>
      <c r="K65" s="28"/>
      <c r="L65" s="28"/>
      <c r="M65" s="28"/>
      <c r="N65" s="21"/>
      <c r="O65" s="28"/>
      <c r="P65" s="37"/>
      <c r="Q65" s="21"/>
      <c r="R65" s="21"/>
      <c r="S65" s="47"/>
      <c r="T65" s="25">
        <f t="shared" si="0"/>
        <v>0</v>
      </c>
      <c r="U65" s="25" t="str">
        <f>IF('PART III-DEMOGRAPHICS'!Q75="","",'PART III-DEMOGRAPHICS'!Q75)</f>
        <v/>
      </c>
    </row>
    <row r="66" spans="1:21" ht="33.6" customHeight="1">
      <c r="A66" s="25" t="str">
        <f>IF('PART III-DEMOGRAPHICS'!A76="","",'PART III-DEMOGRAPHICS'!A76)</f>
        <v/>
      </c>
      <c r="B66" s="28"/>
      <c r="C66" s="27"/>
      <c r="D66" s="28"/>
      <c r="E66" s="21"/>
      <c r="F66" s="36" t="str">
        <f t="shared" si="2"/>
        <v>Did Not</v>
      </c>
      <c r="G66" s="28"/>
      <c r="H66" s="28"/>
      <c r="I66" s="28"/>
      <c r="J66" s="28"/>
      <c r="K66" s="28"/>
      <c r="L66" s="28"/>
      <c r="M66" s="28"/>
      <c r="N66" s="21"/>
      <c r="O66" s="28"/>
      <c r="P66" s="37"/>
      <c r="Q66" s="21"/>
      <c r="R66" s="21"/>
      <c r="S66" s="47"/>
      <c r="T66" s="25">
        <f t="shared" si="0"/>
        <v>0</v>
      </c>
      <c r="U66" s="25" t="str">
        <f>IF('PART III-DEMOGRAPHICS'!Q76="","",'PART III-DEMOGRAPHICS'!Q76)</f>
        <v/>
      </c>
    </row>
    <row r="67" spans="1:21" ht="33.6" customHeight="1">
      <c r="A67" s="25" t="str">
        <f>IF('PART III-DEMOGRAPHICS'!A77="","",'PART III-DEMOGRAPHICS'!A77)</f>
        <v/>
      </c>
      <c r="B67" s="28"/>
      <c r="C67" s="27"/>
      <c r="D67" s="28"/>
      <c r="E67" s="21"/>
      <c r="F67" s="36" t="str">
        <f t="shared" si="2"/>
        <v>Did Not</v>
      </c>
      <c r="G67" s="28"/>
      <c r="H67" s="28"/>
      <c r="I67" s="28"/>
      <c r="J67" s="28"/>
      <c r="K67" s="28"/>
      <c r="L67" s="28"/>
      <c r="M67" s="28"/>
      <c r="N67" s="21"/>
      <c r="O67" s="28"/>
      <c r="P67" s="37"/>
      <c r="Q67" s="21"/>
      <c r="R67" s="21"/>
      <c r="S67" s="47"/>
      <c r="T67" s="25">
        <f t="shared" si="0"/>
        <v>0</v>
      </c>
      <c r="U67" s="25" t="str">
        <f>IF('PART III-DEMOGRAPHICS'!Q77="","",'PART III-DEMOGRAPHICS'!Q77)</f>
        <v/>
      </c>
    </row>
    <row r="68" spans="1:21" ht="33.6" customHeight="1">
      <c r="A68" s="25" t="str">
        <f>IF('PART III-DEMOGRAPHICS'!A78="","",'PART III-DEMOGRAPHICS'!A78)</f>
        <v/>
      </c>
      <c r="B68" s="28"/>
      <c r="C68" s="27"/>
      <c r="D68" s="28"/>
      <c r="E68" s="21"/>
      <c r="F68" s="36" t="str">
        <f t="shared" si="2"/>
        <v>Did Not</v>
      </c>
      <c r="G68" s="28"/>
      <c r="H68" s="28"/>
      <c r="I68" s="28"/>
      <c r="J68" s="28"/>
      <c r="K68" s="28"/>
      <c r="L68" s="28"/>
      <c r="M68" s="28"/>
      <c r="N68" s="21"/>
      <c r="O68" s="28"/>
      <c r="P68" s="37"/>
      <c r="Q68" s="21"/>
      <c r="R68" s="21"/>
      <c r="S68" s="47"/>
      <c r="T68" s="25">
        <f t="shared" si="0"/>
        <v>0</v>
      </c>
      <c r="U68" s="25" t="str">
        <f>IF('PART III-DEMOGRAPHICS'!Q78="","",'PART III-DEMOGRAPHICS'!Q78)</f>
        <v/>
      </c>
    </row>
    <row r="69" spans="1:21" ht="33.6" customHeight="1">
      <c r="A69" s="25" t="str">
        <f>IF('PART III-DEMOGRAPHICS'!A79="","",'PART III-DEMOGRAPHICS'!A79)</f>
        <v/>
      </c>
      <c r="B69" s="28"/>
      <c r="C69" s="27"/>
      <c r="D69" s="28"/>
      <c r="E69" s="21"/>
      <c r="F69" s="36" t="str">
        <f t="shared" si="2"/>
        <v>Did Not</v>
      </c>
      <c r="G69" s="28"/>
      <c r="H69" s="28"/>
      <c r="I69" s="28"/>
      <c r="J69" s="28"/>
      <c r="K69" s="28"/>
      <c r="L69" s="28"/>
      <c r="M69" s="28"/>
      <c r="N69" s="21"/>
      <c r="O69" s="28"/>
      <c r="P69" s="37"/>
      <c r="Q69" s="21"/>
      <c r="R69" s="21"/>
      <c r="S69" s="47"/>
      <c r="T69" s="25">
        <f t="shared" si="0"/>
        <v>0</v>
      </c>
      <c r="U69" s="25" t="str">
        <f>IF('PART III-DEMOGRAPHICS'!Q79="","",'PART III-DEMOGRAPHICS'!Q79)</f>
        <v/>
      </c>
    </row>
    <row r="70" spans="1:21" ht="33.6" customHeight="1">
      <c r="A70" s="25" t="str">
        <f>IF('PART III-DEMOGRAPHICS'!A80="","",'PART III-DEMOGRAPHICS'!A80)</f>
        <v/>
      </c>
      <c r="B70" s="28"/>
      <c r="C70" s="27"/>
      <c r="D70" s="28"/>
      <c r="E70" s="21"/>
      <c r="F70" s="36" t="str">
        <f t="shared" si="2"/>
        <v>Did Not</v>
      </c>
      <c r="G70" s="28"/>
      <c r="H70" s="28"/>
      <c r="I70" s="28"/>
      <c r="J70" s="28"/>
      <c r="K70" s="28"/>
      <c r="L70" s="28"/>
      <c r="M70" s="28"/>
      <c r="N70" s="21"/>
      <c r="O70" s="28"/>
      <c r="P70" s="37"/>
      <c r="Q70" s="21"/>
      <c r="R70" s="21"/>
      <c r="S70" s="47"/>
      <c r="T70" s="25">
        <f t="shared" si="0"/>
        <v>0</v>
      </c>
      <c r="U70" s="25" t="str">
        <f>IF('PART III-DEMOGRAPHICS'!Q80="","",'PART III-DEMOGRAPHICS'!Q80)</f>
        <v/>
      </c>
    </row>
    <row r="71" spans="1:21" ht="33.6" customHeight="1">
      <c r="A71" s="25" t="str">
        <f>IF('PART III-DEMOGRAPHICS'!A81="","",'PART III-DEMOGRAPHICS'!A81)</f>
        <v/>
      </c>
      <c r="B71" s="28"/>
      <c r="C71" s="27"/>
      <c r="D71" s="28"/>
      <c r="E71" s="21"/>
      <c r="F71" s="36" t="str">
        <f t="shared" ref="F71:F102" si="3">IF(OR(G71="Yes",H71="Yes",I71="Yes",J71="Yes",K71="Yes",L71="Yes",M71="Yes"),"Did","Did Not")</f>
        <v>Did Not</v>
      </c>
      <c r="G71" s="28"/>
      <c r="H71" s="28"/>
      <c r="I71" s="28"/>
      <c r="J71" s="28"/>
      <c r="K71" s="28"/>
      <c r="L71" s="28"/>
      <c r="M71" s="28"/>
      <c r="N71" s="21"/>
      <c r="O71" s="28"/>
      <c r="P71" s="37"/>
      <c r="Q71" s="21"/>
      <c r="R71" s="21"/>
      <c r="S71" s="47"/>
      <c r="T71" s="25">
        <f t="shared" ref="T71:T134" si="4">COUNTIF(A71:R71,"Yes")</f>
        <v>0</v>
      </c>
      <c r="U71" s="25" t="str">
        <f>IF('PART III-DEMOGRAPHICS'!Q81="","",'PART III-DEMOGRAPHICS'!Q81)</f>
        <v/>
      </c>
    </row>
    <row r="72" spans="1:21" ht="33.6" customHeight="1">
      <c r="A72" s="25" t="str">
        <f>IF('PART III-DEMOGRAPHICS'!A82="","",'PART III-DEMOGRAPHICS'!A82)</f>
        <v/>
      </c>
      <c r="B72" s="28"/>
      <c r="C72" s="27"/>
      <c r="D72" s="28"/>
      <c r="E72" s="21"/>
      <c r="F72" s="36" t="str">
        <f t="shared" si="3"/>
        <v>Did Not</v>
      </c>
      <c r="G72" s="28"/>
      <c r="H72" s="28"/>
      <c r="I72" s="28"/>
      <c r="J72" s="28"/>
      <c r="K72" s="28"/>
      <c r="L72" s="28"/>
      <c r="M72" s="28"/>
      <c r="N72" s="21"/>
      <c r="O72" s="28"/>
      <c r="P72" s="37"/>
      <c r="Q72" s="21"/>
      <c r="R72" s="21"/>
      <c r="S72" s="47"/>
      <c r="T72" s="25">
        <f t="shared" si="4"/>
        <v>0</v>
      </c>
      <c r="U72" s="25" t="str">
        <f>IF('PART III-DEMOGRAPHICS'!Q82="","",'PART III-DEMOGRAPHICS'!Q82)</f>
        <v/>
      </c>
    </row>
    <row r="73" spans="1:21" ht="33.6" customHeight="1">
      <c r="A73" s="25" t="str">
        <f>IF('PART III-DEMOGRAPHICS'!A83="","",'PART III-DEMOGRAPHICS'!A83)</f>
        <v/>
      </c>
      <c r="B73" s="28"/>
      <c r="C73" s="27"/>
      <c r="D73" s="28"/>
      <c r="E73" s="21"/>
      <c r="F73" s="36" t="str">
        <f t="shared" si="3"/>
        <v>Did Not</v>
      </c>
      <c r="G73" s="28"/>
      <c r="H73" s="28"/>
      <c r="I73" s="28"/>
      <c r="J73" s="28"/>
      <c r="K73" s="28"/>
      <c r="L73" s="28"/>
      <c r="M73" s="28"/>
      <c r="N73" s="21"/>
      <c r="O73" s="28"/>
      <c r="P73" s="37"/>
      <c r="Q73" s="21"/>
      <c r="R73" s="21"/>
      <c r="S73" s="47"/>
      <c r="T73" s="25">
        <f t="shared" si="4"/>
        <v>0</v>
      </c>
      <c r="U73" s="25" t="str">
        <f>IF('PART III-DEMOGRAPHICS'!Q83="","",'PART III-DEMOGRAPHICS'!Q83)</f>
        <v/>
      </c>
    </row>
    <row r="74" spans="1:21" ht="33.6" customHeight="1">
      <c r="A74" s="25" t="str">
        <f>IF('PART III-DEMOGRAPHICS'!A84="","",'PART III-DEMOGRAPHICS'!A84)</f>
        <v/>
      </c>
      <c r="B74" s="28"/>
      <c r="C74" s="27"/>
      <c r="D74" s="28"/>
      <c r="E74" s="21"/>
      <c r="F74" s="36" t="str">
        <f t="shared" si="3"/>
        <v>Did Not</v>
      </c>
      <c r="G74" s="28"/>
      <c r="H74" s="28"/>
      <c r="I74" s="28"/>
      <c r="J74" s="28"/>
      <c r="K74" s="28"/>
      <c r="L74" s="28"/>
      <c r="M74" s="28"/>
      <c r="N74" s="21"/>
      <c r="O74" s="28"/>
      <c r="P74" s="37"/>
      <c r="Q74" s="21"/>
      <c r="R74" s="21"/>
      <c r="S74" s="47"/>
      <c r="T74" s="25">
        <f t="shared" si="4"/>
        <v>0</v>
      </c>
      <c r="U74" s="25" t="str">
        <f>IF('PART III-DEMOGRAPHICS'!Q84="","",'PART III-DEMOGRAPHICS'!Q84)</f>
        <v/>
      </c>
    </row>
    <row r="75" spans="1:21" ht="33.6" customHeight="1">
      <c r="A75" s="25" t="str">
        <f>IF('PART III-DEMOGRAPHICS'!A85="","",'PART III-DEMOGRAPHICS'!A85)</f>
        <v/>
      </c>
      <c r="B75" s="28"/>
      <c r="C75" s="27"/>
      <c r="D75" s="28"/>
      <c r="E75" s="21"/>
      <c r="F75" s="36" t="str">
        <f t="shared" si="3"/>
        <v>Did Not</v>
      </c>
      <c r="G75" s="28"/>
      <c r="H75" s="28"/>
      <c r="I75" s="28"/>
      <c r="J75" s="28"/>
      <c r="K75" s="28"/>
      <c r="L75" s="28"/>
      <c r="M75" s="28"/>
      <c r="N75" s="21"/>
      <c r="O75" s="28"/>
      <c r="P75" s="37"/>
      <c r="Q75" s="21"/>
      <c r="R75" s="21"/>
      <c r="S75" s="47"/>
      <c r="T75" s="25">
        <f t="shared" si="4"/>
        <v>0</v>
      </c>
      <c r="U75" s="25" t="str">
        <f>IF('PART III-DEMOGRAPHICS'!Q85="","",'PART III-DEMOGRAPHICS'!Q85)</f>
        <v/>
      </c>
    </row>
    <row r="76" spans="1:21" ht="33.6" customHeight="1">
      <c r="A76" s="25" t="str">
        <f>IF('PART III-DEMOGRAPHICS'!A86="","",'PART III-DEMOGRAPHICS'!A86)</f>
        <v/>
      </c>
      <c r="B76" s="28"/>
      <c r="C76" s="27"/>
      <c r="D76" s="28"/>
      <c r="E76" s="21"/>
      <c r="F76" s="36" t="str">
        <f t="shared" si="3"/>
        <v>Did Not</v>
      </c>
      <c r="G76" s="28"/>
      <c r="H76" s="28"/>
      <c r="I76" s="28"/>
      <c r="J76" s="28"/>
      <c r="K76" s="28"/>
      <c r="L76" s="28"/>
      <c r="M76" s="28"/>
      <c r="N76" s="21"/>
      <c r="O76" s="28"/>
      <c r="P76" s="37"/>
      <c r="Q76" s="21"/>
      <c r="R76" s="21"/>
      <c r="S76" s="47"/>
      <c r="T76" s="25">
        <f t="shared" si="4"/>
        <v>0</v>
      </c>
      <c r="U76" s="25" t="str">
        <f>IF('PART III-DEMOGRAPHICS'!Q86="","",'PART III-DEMOGRAPHICS'!Q86)</f>
        <v/>
      </c>
    </row>
    <row r="77" spans="1:21" ht="33.6" customHeight="1">
      <c r="A77" s="25" t="str">
        <f>IF('PART III-DEMOGRAPHICS'!A87="","",'PART III-DEMOGRAPHICS'!A87)</f>
        <v/>
      </c>
      <c r="B77" s="28"/>
      <c r="C77" s="27"/>
      <c r="D77" s="28"/>
      <c r="E77" s="21"/>
      <c r="F77" s="36" t="str">
        <f t="shared" si="3"/>
        <v>Did Not</v>
      </c>
      <c r="G77" s="28"/>
      <c r="H77" s="28"/>
      <c r="I77" s="28"/>
      <c r="J77" s="28"/>
      <c r="K77" s="28"/>
      <c r="L77" s="28"/>
      <c r="M77" s="28"/>
      <c r="N77" s="21"/>
      <c r="O77" s="28"/>
      <c r="P77" s="37"/>
      <c r="Q77" s="21"/>
      <c r="R77" s="21"/>
      <c r="S77" s="47"/>
      <c r="T77" s="25">
        <f t="shared" si="4"/>
        <v>0</v>
      </c>
      <c r="U77" s="25" t="str">
        <f>IF('PART III-DEMOGRAPHICS'!Q87="","",'PART III-DEMOGRAPHICS'!Q87)</f>
        <v/>
      </c>
    </row>
    <row r="78" spans="1:21" ht="33.6" customHeight="1">
      <c r="A78" s="25" t="str">
        <f>IF('PART III-DEMOGRAPHICS'!A88="","",'PART III-DEMOGRAPHICS'!A88)</f>
        <v/>
      </c>
      <c r="B78" s="28"/>
      <c r="C78" s="27"/>
      <c r="D78" s="28"/>
      <c r="E78" s="21"/>
      <c r="F78" s="36" t="str">
        <f t="shared" si="3"/>
        <v>Did Not</v>
      </c>
      <c r="G78" s="28"/>
      <c r="H78" s="28"/>
      <c r="I78" s="28"/>
      <c r="J78" s="28"/>
      <c r="K78" s="28"/>
      <c r="L78" s="28"/>
      <c r="M78" s="28"/>
      <c r="N78" s="21"/>
      <c r="O78" s="28"/>
      <c r="P78" s="37"/>
      <c r="Q78" s="21"/>
      <c r="R78" s="21"/>
      <c r="S78" s="47"/>
      <c r="T78" s="25">
        <f t="shared" si="4"/>
        <v>0</v>
      </c>
      <c r="U78" s="25" t="str">
        <f>IF('PART III-DEMOGRAPHICS'!Q88="","",'PART III-DEMOGRAPHICS'!Q88)</f>
        <v/>
      </c>
    </row>
    <row r="79" spans="1:21" ht="33.6" customHeight="1">
      <c r="A79" s="25" t="str">
        <f>IF('PART III-DEMOGRAPHICS'!A89="","",'PART III-DEMOGRAPHICS'!A89)</f>
        <v/>
      </c>
      <c r="B79" s="28"/>
      <c r="C79" s="27"/>
      <c r="D79" s="28"/>
      <c r="E79" s="21"/>
      <c r="F79" s="36" t="str">
        <f t="shared" si="3"/>
        <v>Did Not</v>
      </c>
      <c r="G79" s="28"/>
      <c r="H79" s="28"/>
      <c r="I79" s="28"/>
      <c r="J79" s="28"/>
      <c r="K79" s="28"/>
      <c r="L79" s="28"/>
      <c r="M79" s="28"/>
      <c r="N79" s="21"/>
      <c r="O79" s="28"/>
      <c r="P79" s="37"/>
      <c r="Q79" s="21"/>
      <c r="R79" s="21"/>
      <c r="S79" s="47"/>
      <c r="T79" s="25">
        <f t="shared" si="4"/>
        <v>0</v>
      </c>
      <c r="U79" s="25" t="str">
        <f>IF('PART III-DEMOGRAPHICS'!Q89="","",'PART III-DEMOGRAPHICS'!Q89)</f>
        <v/>
      </c>
    </row>
    <row r="80" spans="1:21" ht="33.6" customHeight="1">
      <c r="A80" s="25" t="str">
        <f>IF('PART III-DEMOGRAPHICS'!A90="","",'PART III-DEMOGRAPHICS'!A90)</f>
        <v/>
      </c>
      <c r="B80" s="28"/>
      <c r="C80" s="27"/>
      <c r="D80" s="28"/>
      <c r="E80" s="21"/>
      <c r="F80" s="36" t="str">
        <f t="shared" si="3"/>
        <v>Did Not</v>
      </c>
      <c r="G80" s="28"/>
      <c r="H80" s="28"/>
      <c r="I80" s="28"/>
      <c r="J80" s="28"/>
      <c r="K80" s="28"/>
      <c r="L80" s="28"/>
      <c r="M80" s="28"/>
      <c r="N80" s="21"/>
      <c r="O80" s="28"/>
      <c r="P80" s="37"/>
      <c r="Q80" s="21"/>
      <c r="R80" s="21"/>
      <c r="S80" s="47"/>
      <c r="T80" s="25">
        <f t="shared" si="4"/>
        <v>0</v>
      </c>
      <c r="U80" s="25" t="str">
        <f>IF('PART III-DEMOGRAPHICS'!Q90="","",'PART III-DEMOGRAPHICS'!Q90)</f>
        <v/>
      </c>
    </row>
    <row r="81" spans="1:21" ht="33.6" customHeight="1">
      <c r="A81" s="25" t="str">
        <f>IF('PART III-DEMOGRAPHICS'!A91="","",'PART III-DEMOGRAPHICS'!A91)</f>
        <v/>
      </c>
      <c r="B81" s="28"/>
      <c r="C81" s="27"/>
      <c r="D81" s="28"/>
      <c r="E81" s="21"/>
      <c r="F81" s="36" t="str">
        <f t="shared" si="3"/>
        <v>Did Not</v>
      </c>
      <c r="G81" s="28"/>
      <c r="H81" s="28"/>
      <c r="I81" s="28"/>
      <c r="J81" s="28"/>
      <c r="K81" s="28"/>
      <c r="L81" s="28"/>
      <c r="M81" s="28"/>
      <c r="N81" s="21"/>
      <c r="O81" s="28"/>
      <c r="P81" s="37"/>
      <c r="Q81" s="21"/>
      <c r="R81" s="21"/>
      <c r="S81" s="47"/>
      <c r="T81" s="25">
        <f t="shared" si="4"/>
        <v>0</v>
      </c>
      <c r="U81" s="25" t="str">
        <f>IF('PART III-DEMOGRAPHICS'!Q91="","",'PART III-DEMOGRAPHICS'!Q91)</f>
        <v/>
      </c>
    </row>
    <row r="82" spans="1:21" ht="33.6" customHeight="1">
      <c r="A82" s="25" t="str">
        <f>IF('PART III-DEMOGRAPHICS'!A92="","",'PART III-DEMOGRAPHICS'!A92)</f>
        <v/>
      </c>
      <c r="B82" s="28"/>
      <c r="C82" s="27"/>
      <c r="D82" s="28"/>
      <c r="E82" s="21"/>
      <c r="F82" s="36" t="str">
        <f t="shared" si="3"/>
        <v>Did Not</v>
      </c>
      <c r="G82" s="28"/>
      <c r="H82" s="28"/>
      <c r="I82" s="28"/>
      <c r="J82" s="28"/>
      <c r="K82" s="28"/>
      <c r="L82" s="28"/>
      <c r="M82" s="28"/>
      <c r="N82" s="21"/>
      <c r="O82" s="28"/>
      <c r="P82" s="37"/>
      <c r="Q82" s="21"/>
      <c r="R82" s="21"/>
      <c r="S82" s="47"/>
      <c r="T82" s="25">
        <f t="shared" si="4"/>
        <v>0</v>
      </c>
      <c r="U82" s="25" t="str">
        <f>IF('PART III-DEMOGRAPHICS'!Q92="","",'PART III-DEMOGRAPHICS'!Q92)</f>
        <v/>
      </c>
    </row>
    <row r="83" spans="1:21" ht="33.6" customHeight="1">
      <c r="A83" s="25" t="str">
        <f>IF('PART III-DEMOGRAPHICS'!A93="","",'PART III-DEMOGRAPHICS'!A93)</f>
        <v/>
      </c>
      <c r="B83" s="28"/>
      <c r="C83" s="27"/>
      <c r="D83" s="28"/>
      <c r="E83" s="21"/>
      <c r="F83" s="36" t="str">
        <f t="shared" si="3"/>
        <v>Did Not</v>
      </c>
      <c r="G83" s="28"/>
      <c r="H83" s="28"/>
      <c r="I83" s="28"/>
      <c r="J83" s="28"/>
      <c r="K83" s="28"/>
      <c r="L83" s="28"/>
      <c r="M83" s="28"/>
      <c r="N83" s="21"/>
      <c r="O83" s="28"/>
      <c r="P83" s="37"/>
      <c r="Q83" s="21"/>
      <c r="R83" s="21"/>
      <c r="S83" s="47"/>
      <c r="T83" s="25">
        <f t="shared" si="4"/>
        <v>0</v>
      </c>
      <c r="U83" s="25" t="str">
        <f>IF('PART III-DEMOGRAPHICS'!Q93="","",'PART III-DEMOGRAPHICS'!Q93)</f>
        <v/>
      </c>
    </row>
    <row r="84" spans="1:21" ht="33.6" customHeight="1">
      <c r="A84" s="25" t="str">
        <f>IF('PART III-DEMOGRAPHICS'!A94="","",'PART III-DEMOGRAPHICS'!A94)</f>
        <v/>
      </c>
      <c r="B84" s="28"/>
      <c r="C84" s="27"/>
      <c r="D84" s="28"/>
      <c r="E84" s="21"/>
      <c r="F84" s="36" t="str">
        <f t="shared" si="3"/>
        <v>Did Not</v>
      </c>
      <c r="G84" s="28"/>
      <c r="H84" s="28"/>
      <c r="I84" s="28"/>
      <c r="J84" s="28"/>
      <c r="K84" s="28"/>
      <c r="L84" s="28"/>
      <c r="M84" s="28"/>
      <c r="N84" s="21"/>
      <c r="O84" s="28"/>
      <c r="P84" s="37"/>
      <c r="Q84" s="21"/>
      <c r="R84" s="21"/>
      <c r="S84" s="47"/>
      <c r="T84" s="25">
        <f t="shared" si="4"/>
        <v>0</v>
      </c>
      <c r="U84" s="25" t="str">
        <f>IF('PART III-DEMOGRAPHICS'!Q94="","",'PART III-DEMOGRAPHICS'!Q94)</f>
        <v/>
      </c>
    </row>
    <row r="85" spans="1:21" ht="33.6" customHeight="1">
      <c r="A85" s="25" t="str">
        <f>IF('PART III-DEMOGRAPHICS'!A95="","",'PART III-DEMOGRAPHICS'!A95)</f>
        <v/>
      </c>
      <c r="B85" s="28"/>
      <c r="C85" s="27"/>
      <c r="D85" s="28"/>
      <c r="E85" s="21"/>
      <c r="F85" s="36" t="str">
        <f t="shared" si="3"/>
        <v>Did Not</v>
      </c>
      <c r="G85" s="28"/>
      <c r="H85" s="28"/>
      <c r="I85" s="28"/>
      <c r="J85" s="28"/>
      <c r="K85" s="28"/>
      <c r="L85" s="28"/>
      <c r="M85" s="28"/>
      <c r="N85" s="21"/>
      <c r="O85" s="28"/>
      <c r="P85" s="37"/>
      <c r="Q85" s="21"/>
      <c r="R85" s="21"/>
      <c r="S85" s="47"/>
      <c r="T85" s="25">
        <f t="shared" si="4"/>
        <v>0</v>
      </c>
      <c r="U85" s="25" t="str">
        <f>IF('PART III-DEMOGRAPHICS'!Q95="","",'PART III-DEMOGRAPHICS'!Q95)</f>
        <v/>
      </c>
    </row>
    <row r="86" spans="1:21" ht="33.6" customHeight="1">
      <c r="A86" s="25" t="str">
        <f>IF('PART III-DEMOGRAPHICS'!A96="","",'PART III-DEMOGRAPHICS'!A96)</f>
        <v/>
      </c>
      <c r="B86" s="28"/>
      <c r="C86" s="27"/>
      <c r="D86" s="28"/>
      <c r="E86" s="21"/>
      <c r="F86" s="36" t="str">
        <f t="shared" si="3"/>
        <v>Did Not</v>
      </c>
      <c r="G86" s="28"/>
      <c r="H86" s="28"/>
      <c r="I86" s="28"/>
      <c r="J86" s="28"/>
      <c r="K86" s="28"/>
      <c r="L86" s="28"/>
      <c r="M86" s="28"/>
      <c r="N86" s="21"/>
      <c r="O86" s="28"/>
      <c r="P86" s="37"/>
      <c r="Q86" s="21"/>
      <c r="R86" s="21"/>
      <c r="S86" s="47"/>
      <c r="T86" s="25">
        <f t="shared" si="4"/>
        <v>0</v>
      </c>
      <c r="U86" s="25" t="str">
        <f>IF('PART III-DEMOGRAPHICS'!Q96="","",'PART III-DEMOGRAPHICS'!Q96)</f>
        <v/>
      </c>
    </row>
    <row r="87" spans="1:21" ht="33.6" customHeight="1">
      <c r="A87" s="25" t="str">
        <f>IF('PART III-DEMOGRAPHICS'!A97="","",'PART III-DEMOGRAPHICS'!A97)</f>
        <v/>
      </c>
      <c r="B87" s="28"/>
      <c r="C87" s="27"/>
      <c r="D87" s="28"/>
      <c r="E87" s="21"/>
      <c r="F87" s="36" t="str">
        <f t="shared" si="3"/>
        <v>Did Not</v>
      </c>
      <c r="G87" s="28"/>
      <c r="H87" s="28"/>
      <c r="I87" s="28"/>
      <c r="J87" s="28"/>
      <c r="K87" s="28"/>
      <c r="L87" s="28"/>
      <c r="M87" s="28"/>
      <c r="N87" s="21"/>
      <c r="O87" s="28"/>
      <c r="P87" s="37"/>
      <c r="Q87" s="21"/>
      <c r="R87" s="21"/>
      <c r="S87" s="47"/>
      <c r="T87" s="25">
        <f t="shared" si="4"/>
        <v>0</v>
      </c>
      <c r="U87" s="25" t="str">
        <f>IF('PART III-DEMOGRAPHICS'!Q97="","",'PART III-DEMOGRAPHICS'!Q97)</f>
        <v/>
      </c>
    </row>
    <row r="88" spans="1:21" ht="33.6" customHeight="1">
      <c r="A88" s="25" t="str">
        <f>IF('PART III-DEMOGRAPHICS'!A98="","",'PART III-DEMOGRAPHICS'!A98)</f>
        <v/>
      </c>
      <c r="B88" s="28"/>
      <c r="C88" s="27"/>
      <c r="D88" s="28"/>
      <c r="E88" s="21"/>
      <c r="F88" s="36" t="str">
        <f t="shared" si="3"/>
        <v>Did Not</v>
      </c>
      <c r="G88" s="28"/>
      <c r="H88" s="28"/>
      <c r="I88" s="28"/>
      <c r="J88" s="28"/>
      <c r="K88" s="28"/>
      <c r="L88" s="28"/>
      <c r="M88" s="28"/>
      <c r="N88" s="21"/>
      <c r="O88" s="28"/>
      <c r="P88" s="37"/>
      <c r="Q88" s="21"/>
      <c r="R88" s="21"/>
      <c r="S88" s="47"/>
      <c r="T88" s="25">
        <f t="shared" si="4"/>
        <v>0</v>
      </c>
      <c r="U88" s="25" t="str">
        <f>IF('PART III-DEMOGRAPHICS'!Q98="","",'PART III-DEMOGRAPHICS'!Q98)</f>
        <v/>
      </c>
    </row>
    <row r="89" spans="1:21" ht="33.6" customHeight="1">
      <c r="A89" s="25" t="str">
        <f>IF('PART III-DEMOGRAPHICS'!A99="","",'PART III-DEMOGRAPHICS'!A99)</f>
        <v/>
      </c>
      <c r="B89" s="28"/>
      <c r="C89" s="27"/>
      <c r="D89" s="28"/>
      <c r="E89" s="21"/>
      <c r="F89" s="36" t="str">
        <f t="shared" si="3"/>
        <v>Did Not</v>
      </c>
      <c r="G89" s="28"/>
      <c r="H89" s="28"/>
      <c r="I89" s="28"/>
      <c r="J89" s="28"/>
      <c r="K89" s="28"/>
      <c r="L89" s="28"/>
      <c r="M89" s="28"/>
      <c r="N89" s="21"/>
      <c r="O89" s="28"/>
      <c r="P89" s="37"/>
      <c r="Q89" s="21"/>
      <c r="R89" s="21"/>
      <c r="S89" s="47"/>
      <c r="T89" s="25">
        <f t="shared" si="4"/>
        <v>0</v>
      </c>
      <c r="U89" s="25" t="str">
        <f>IF('PART III-DEMOGRAPHICS'!Q99="","",'PART III-DEMOGRAPHICS'!Q99)</f>
        <v/>
      </c>
    </row>
    <row r="90" spans="1:21" ht="33.6" customHeight="1">
      <c r="A90" s="25" t="str">
        <f>IF('PART III-DEMOGRAPHICS'!A100="","",'PART III-DEMOGRAPHICS'!A100)</f>
        <v/>
      </c>
      <c r="B90" s="28"/>
      <c r="C90" s="27"/>
      <c r="D90" s="28"/>
      <c r="E90" s="21"/>
      <c r="F90" s="36" t="str">
        <f t="shared" si="3"/>
        <v>Did Not</v>
      </c>
      <c r="G90" s="28"/>
      <c r="H90" s="28"/>
      <c r="I90" s="28"/>
      <c r="J90" s="28"/>
      <c r="K90" s="28"/>
      <c r="L90" s="28"/>
      <c r="M90" s="28"/>
      <c r="N90" s="21"/>
      <c r="O90" s="28"/>
      <c r="P90" s="37"/>
      <c r="Q90" s="21"/>
      <c r="R90" s="21"/>
      <c r="S90" s="47"/>
      <c r="T90" s="25">
        <f t="shared" si="4"/>
        <v>0</v>
      </c>
      <c r="U90" s="25" t="str">
        <f>IF('PART III-DEMOGRAPHICS'!Q100="","",'PART III-DEMOGRAPHICS'!Q100)</f>
        <v/>
      </c>
    </row>
    <row r="91" spans="1:21" ht="33.6" customHeight="1">
      <c r="A91" s="25" t="str">
        <f>IF('PART III-DEMOGRAPHICS'!A101="","",'PART III-DEMOGRAPHICS'!A101)</f>
        <v/>
      </c>
      <c r="B91" s="28"/>
      <c r="C91" s="27"/>
      <c r="D91" s="28"/>
      <c r="E91" s="21"/>
      <c r="F91" s="36" t="str">
        <f t="shared" si="3"/>
        <v>Did Not</v>
      </c>
      <c r="G91" s="28"/>
      <c r="H91" s="28"/>
      <c r="I91" s="28"/>
      <c r="J91" s="28"/>
      <c r="K91" s="28"/>
      <c r="L91" s="28"/>
      <c r="M91" s="28"/>
      <c r="N91" s="21"/>
      <c r="O91" s="28"/>
      <c r="P91" s="37"/>
      <c r="Q91" s="21"/>
      <c r="R91" s="21"/>
      <c r="S91" s="47"/>
      <c r="T91" s="25">
        <f t="shared" si="4"/>
        <v>0</v>
      </c>
      <c r="U91" s="25" t="str">
        <f>IF('PART III-DEMOGRAPHICS'!Q101="","",'PART III-DEMOGRAPHICS'!Q101)</f>
        <v/>
      </c>
    </row>
    <row r="92" spans="1:21" ht="33.6" customHeight="1">
      <c r="A92" s="25" t="str">
        <f>IF('PART III-DEMOGRAPHICS'!A102="","",'PART III-DEMOGRAPHICS'!A102)</f>
        <v/>
      </c>
      <c r="B92" s="28"/>
      <c r="C92" s="27"/>
      <c r="D92" s="28"/>
      <c r="E92" s="21"/>
      <c r="F92" s="36" t="str">
        <f t="shared" si="3"/>
        <v>Did Not</v>
      </c>
      <c r="G92" s="28"/>
      <c r="H92" s="28"/>
      <c r="I92" s="28"/>
      <c r="J92" s="28"/>
      <c r="K92" s="28"/>
      <c r="L92" s="28"/>
      <c r="M92" s="28"/>
      <c r="N92" s="21"/>
      <c r="O92" s="28"/>
      <c r="P92" s="37"/>
      <c r="Q92" s="21"/>
      <c r="R92" s="21"/>
      <c r="S92" s="47"/>
      <c r="T92" s="25">
        <f t="shared" si="4"/>
        <v>0</v>
      </c>
      <c r="U92" s="25" t="str">
        <f>IF('PART III-DEMOGRAPHICS'!Q102="","",'PART III-DEMOGRAPHICS'!Q102)</f>
        <v/>
      </c>
    </row>
    <row r="93" spans="1:21" ht="33.6" customHeight="1">
      <c r="A93" s="25" t="str">
        <f>IF('PART III-DEMOGRAPHICS'!A103="","",'PART III-DEMOGRAPHICS'!A103)</f>
        <v/>
      </c>
      <c r="B93" s="28"/>
      <c r="C93" s="27"/>
      <c r="D93" s="28"/>
      <c r="E93" s="21"/>
      <c r="F93" s="36" t="str">
        <f t="shared" si="3"/>
        <v>Did Not</v>
      </c>
      <c r="G93" s="28"/>
      <c r="H93" s="28"/>
      <c r="I93" s="28"/>
      <c r="J93" s="28"/>
      <c r="K93" s="28"/>
      <c r="L93" s="28"/>
      <c r="M93" s="28"/>
      <c r="N93" s="21"/>
      <c r="O93" s="28"/>
      <c r="P93" s="37"/>
      <c r="Q93" s="21"/>
      <c r="R93" s="21"/>
      <c r="S93" s="47"/>
      <c r="T93" s="25">
        <f t="shared" si="4"/>
        <v>0</v>
      </c>
      <c r="U93" s="25" t="str">
        <f>IF('PART III-DEMOGRAPHICS'!Q103="","",'PART III-DEMOGRAPHICS'!Q103)</f>
        <v/>
      </c>
    </row>
    <row r="94" spans="1:21" ht="33.6" customHeight="1">
      <c r="A94" s="25" t="str">
        <f>IF('PART III-DEMOGRAPHICS'!A104="","",'PART III-DEMOGRAPHICS'!A104)</f>
        <v/>
      </c>
      <c r="B94" s="28"/>
      <c r="C94" s="27"/>
      <c r="D94" s="28"/>
      <c r="E94" s="21"/>
      <c r="F94" s="36" t="str">
        <f t="shared" si="3"/>
        <v>Did Not</v>
      </c>
      <c r="G94" s="28"/>
      <c r="H94" s="28"/>
      <c r="I94" s="28"/>
      <c r="J94" s="28"/>
      <c r="K94" s="28"/>
      <c r="L94" s="28"/>
      <c r="M94" s="28"/>
      <c r="N94" s="21"/>
      <c r="O94" s="28"/>
      <c r="P94" s="37"/>
      <c r="Q94" s="21"/>
      <c r="R94" s="21"/>
      <c r="S94" s="47"/>
      <c r="T94" s="25">
        <f t="shared" si="4"/>
        <v>0</v>
      </c>
      <c r="U94" s="25" t="str">
        <f>IF('PART III-DEMOGRAPHICS'!Q104="","",'PART III-DEMOGRAPHICS'!Q104)</f>
        <v/>
      </c>
    </row>
    <row r="95" spans="1:21" ht="33.6" customHeight="1">
      <c r="A95" s="25" t="str">
        <f>IF('PART III-DEMOGRAPHICS'!A105="","",'PART III-DEMOGRAPHICS'!A105)</f>
        <v/>
      </c>
      <c r="B95" s="28"/>
      <c r="C95" s="27"/>
      <c r="D95" s="28"/>
      <c r="E95" s="21"/>
      <c r="F95" s="36" t="str">
        <f t="shared" si="3"/>
        <v>Did Not</v>
      </c>
      <c r="G95" s="28"/>
      <c r="H95" s="28"/>
      <c r="I95" s="28"/>
      <c r="J95" s="28"/>
      <c r="K95" s="28"/>
      <c r="L95" s="28"/>
      <c r="M95" s="28"/>
      <c r="N95" s="21"/>
      <c r="O95" s="28"/>
      <c r="P95" s="37"/>
      <c r="Q95" s="21"/>
      <c r="R95" s="21"/>
      <c r="S95" s="47"/>
      <c r="T95" s="25">
        <f t="shared" si="4"/>
        <v>0</v>
      </c>
      <c r="U95" s="25" t="str">
        <f>IF('PART III-DEMOGRAPHICS'!Q105="","",'PART III-DEMOGRAPHICS'!Q105)</f>
        <v/>
      </c>
    </row>
    <row r="96" spans="1:21" ht="33.6" customHeight="1">
      <c r="A96" s="25" t="str">
        <f>IF('PART III-DEMOGRAPHICS'!A106="","",'PART III-DEMOGRAPHICS'!A106)</f>
        <v/>
      </c>
      <c r="B96" s="28"/>
      <c r="C96" s="27"/>
      <c r="D96" s="28"/>
      <c r="E96" s="21"/>
      <c r="F96" s="36" t="str">
        <f t="shared" si="3"/>
        <v>Did Not</v>
      </c>
      <c r="G96" s="28"/>
      <c r="H96" s="28"/>
      <c r="I96" s="28"/>
      <c r="J96" s="28"/>
      <c r="K96" s="28"/>
      <c r="L96" s="28"/>
      <c r="M96" s="28"/>
      <c r="N96" s="21"/>
      <c r="O96" s="28"/>
      <c r="P96" s="37"/>
      <c r="Q96" s="21"/>
      <c r="R96" s="21"/>
      <c r="S96" s="47"/>
      <c r="T96" s="25">
        <f t="shared" si="4"/>
        <v>0</v>
      </c>
      <c r="U96" s="25" t="str">
        <f>IF('PART III-DEMOGRAPHICS'!Q106="","",'PART III-DEMOGRAPHICS'!Q106)</f>
        <v/>
      </c>
    </row>
    <row r="97" spans="1:21" ht="33.6" customHeight="1">
      <c r="A97" s="25" t="str">
        <f>IF('PART III-DEMOGRAPHICS'!A107="","",'PART III-DEMOGRAPHICS'!A107)</f>
        <v/>
      </c>
      <c r="B97" s="28"/>
      <c r="C97" s="27"/>
      <c r="D97" s="28"/>
      <c r="E97" s="21"/>
      <c r="F97" s="36" t="str">
        <f t="shared" si="3"/>
        <v>Did Not</v>
      </c>
      <c r="G97" s="28"/>
      <c r="H97" s="28"/>
      <c r="I97" s="28"/>
      <c r="J97" s="28"/>
      <c r="K97" s="28"/>
      <c r="L97" s="28"/>
      <c r="M97" s="28"/>
      <c r="N97" s="21"/>
      <c r="O97" s="28"/>
      <c r="P97" s="37"/>
      <c r="Q97" s="21"/>
      <c r="R97" s="21"/>
      <c r="S97" s="47"/>
      <c r="T97" s="25">
        <f t="shared" si="4"/>
        <v>0</v>
      </c>
      <c r="U97" s="25" t="str">
        <f>IF('PART III-DEMOGRAPHICS'!Q107="","",'PART III-DEMOGRAPHICS'!Q107)</f>
        <v/>
      </c>
    </row>
    <row r="98" spans="1:21" ht="33.6" customHeight="1">
      <c r="A98" s="25" t="str">
        <f>IF('PART III-DEMOGRAPHICS'!A108="","",'PART III-DEMOGRAPHICS'!A108)</f>
        <v/>
      </c>
      <c r="B98" s="28"/>
      <c r="C98" s="27"/>
      <c r="D98" s="28"/>
      <c r="E98" s="21"/>
      <c r="F98" s="36" t="str">
        <f t="shared" si="3"/>
        <v>Did Not</v>
      </c>
      <c r="G98" s="28"/>
      <c r="H98" s="28"/>
      <c r="I98" s="28"/>
      <c r="J98" s="28"/>
      <c r="K98" s="28"/>
      <c r="L98" s="28"/>
      <c r="M98" s="28"/>
      <c r="N98" s="21"/>
      <c r="O98" s="28"/>
      <c r="P98" s="37"/>
      <c r="Q98" s="21"/>
      <c r="R98" s="21"/>
      <c r="S98" s="47"/>
      <c r="T98" s="25">
        <f t="shared" si="4"/>
        <v>0</v>
      </c>
      <c r="U98" s="25" t="str">
        <f>IF('PART III-DEMOGRAPHICS'!Q108="","",'PART III-DEMOGRAPHICS'!Q108)</f>
        <v/>
      </c>
    </row>
    <row r="99" spans="1:21" ht="33.6" customHeight="1">
      <c r="A99" s="25" t="str">
        <f>IF('PART III-DEMOGRAPHICS'!A109="","",'PART III-DEMOGRAPHICS'!A109)</f>
        <v/>
      </c>
      <c r="B99" s="28"/>
      <c r="C99" s="27"/>
      <c r="D99" s="28"/>
      <c r="E99" s="21"/>
      <c r="F99" s="36" t="str">
        <f t="shared" si="3"/>
        <v>Did Not</v>
      </c>
      <c r="G99" s="28"/>
      <c r="H99" s="28"/>
      <c r="I99" s="28"/>
      <c r="J99" s="28"/>
      <c r="K99" s="28"/>
      <c r="L99" s="28"/>
      <c r="M99" s="28"/>
      <c r="N99" s="21"/>
      <c r="O99" s="28"/>
      <c r="P99" s="37"/>
      <c r="Q99" s="21"/>
      <c r="R99" s="21"/>
      <c r="S99" s="47"/>
      <c r="T99" s="25">
        <f t="shared" si="4"/>
        <v>0</v>
      </c>
      <c r="U99" s="25" t="str">
        <f>IF('PART III-DEMOGRAPHICS'!Q109="","",'PART III-DEMOGRAPHICS'!Q109)</f>
        <v/>
      </c>
    </row>
    <row r="100" spans="1:21" ht="33.6" customHeight="1">
      <c r="A100" s="25" t="str">
        <f>IF('PART III-DEMOGRAPHICS'!A110="","",'PART III-DEMOGRAPHICS'!A110)</f>
        <v/>
      </c>
      <c r="B100" s="28"/>
      <c r="C100" s="27"/>
      <c r="D100" s="28"/>
      <c r="E100" s="21"/>
      <c r="F100" s="36" t="str">
        <f t="shared" si="3"/>
        <v>Did Not</v>
      </c>
      <c r="G100" s="28"/>
      <c r="H100" s="28"/>
      <c r="I100" s="28"/>
      <c r="J100" s="28"/>
      <c r="K100" s="28"/>
      <c r="L100" s="28"/>
      <c r="M100" s="28"/>
      <c r="N100" s="21"/>
      <c r="O100" s="28"/>
      <c r="P100" s="37"/>
      <c r="Q100" s="21"/>
      <c r="R100" s="21"/>
      <c r="S100" s="47"/>
      <c r="T100" s="25">
        <f t="shared" si="4"/>
        <v>0</v>
      </c>
      <c r="U100" s="25" t="str">
        <f>IF('PART III-DEMOGRAPHICS'!Q110="","",'PART III-DEMOGRAPHICS'!Q110)</f>
        <v/>
      </c>
    </row>
    <row r="101" spans="1:21" ht="33.6" customHeight="1">
      <c r="A101" s="25" t="str">
        <f>IF('PART III-DEMOGRAPHICS'!A111="","",'PART III-DEMOGRAPHICS'!A111)</f>
        <v/>
      </c>
      <c r="B101" s="28"/>
      <c r="C101" s="27"/>
      <c r="D101" s="28"/>
      <c r="E101" s="21"/>
      <c r="F101" s="36" t="str">
        <f t="shared" si="3"/>
        <v>Did Not</v>
      </c>
      <c r="G101" s="28"/>
      <c r="H101" s="28"/>
      <c r="I101" s="28"/>
      <c r="J101" s="28"/>
      <c r="K101" s="28"/>
      <c r="L101" s="28"/>
      <c r="M101" s="28"/>
      <c r="N101" s="21"/>
      <c r="O101" s="28"/>
      <c r="P101" s="37"/>
      <c r="Q101" s="21"/>
      <c r="R101" s="21"/>
      <c r="S101" s="47"/>
      <c r="T101" s="25">
        <f t="shared" si="4"/>
        <v>0</v>
      </c>
      <c r="U101" s="25" t="str">
        <f>IF('PART III-DEMOGRAPHICS'!Q111="","",'PART III-DEMOGRAPHICS'!Q111)</f>
        <v/>
      </c>
    </row>
    <row r="102" spans="1:21" ht="33.6" customHeight="1">
      <c r="A102" s="25" t="str">
        <f>IF('PART III-DEMOGRAPHICS'!A112="","",'PART III-DEMOGRAPHICS'!A112)</f>
        <v/>
      </c>
      <c r="B102" s="28"/>
      <c r="C102" s="27"/>
      <c r="D102" s="28"/>
      <c r="E102" s="21"/>
      <c r="F102" s="36" t="str">
        <f t="shared" si="3"/>
        <v>Did Not</v>
      </c>
      <c r="G102" s="28"/>
      <c r="H102" s="28"/>
      <c r="I102" s="28"/>
      <c r="J102" s="28"/>
      <c r="K102" s="28"/>
      <c r="L102" s="28"/>
      <c r="M102" s="28"/>
      <c r="N102" s="21"/>
      <c r="O102" s="28"/>
      <c r="P102" s="37"/>
      <c r="Q102" s="21"/>
      <c r="R102" s="21"/>
      <c r="S102" s="47"/>
      <c r="T102" s="25">
        <f t="shared" si="4"/>
        <v>0</v>
      </c>
      <c r="U102" s="25" t="str">
        <f>IF('PART III-DEMOGRAPHICS'!Q112="","",'PART III-DEMOGRAPHICS'!Q112)</f>
        <v/>
      </c>
    </row>
    <row r="103" spans="1:21" ht="33.6" customHeight="1">
      <c r="A103" s="25" t="str">
        <f>IF('PART III-DEMOGRAPHICS'!A113="","",'PART III-DEMOGRAPHICS'!A113)</f>
        <v/>
      </c>
      <c r="B103" s="28"/>
      <c r="C103" s="27"/>
      <c r="D103" s="28"/>
      <c r="E103" s="21"/>
      <c r="F103" s="36" t="str">
        <f t="shared" ref="F103:F134" si="5">IF(OR(G103="Yes",H103="Yes",I103="Yes",J103="Yes",K103="Yes",L103="Yes",M103="Yes"),"Did","Did Not")</f>
        <v>Did Not</v>
      </c>
      <c r="G103" s="28"/>
      <c r="H103" s="28"/>
      <c r="I103" s="28"/>
      <c r="J103" s="28"/>
      <c r="K103" s="28"/>
      <c r="L103" s="28"/>
      <c r="M103" s="28"/>
      <c r="N103" s="21"/>
      <c r="O103" s="28"/>
      <c r="P103" s="37"/>
      <c r="Q103" s="21"/>
      <c r="R103" s="21"/>
      <c r="S103" s="47"/>
      <c r="T103" s="25">
        <f t="shared" si="4"/>
        <v>0</v>
      </c>
      <c r="U103" s="25" t="str">
        <f>IF('PART III-DEMOGRAPHICS'!Q113="","",'PART III-DEMOGRAPHICS'!Q113)</f>
        <v/>
      </c>
    </row>
    <row r="104" spans="1:21" ht="33.6" customHeight="1">
      <c r="A104" s="25" t="str">
        <f>IF('PART III-DEMOGRAPHICS'!A114="","",'PART III-DEMOGRAPHICS'!A114)</f>
        <v/>
      </c>
      <c r="B104" s="28"/>
      <c r="C104" s="27"/>
      <c r="D104" s="28"/>
      <c r="E104" s="21"/>
      <c r="F104" s="36" t="str">
        <f t="shared" si="5"/>
        <v>Did Not</v>
      </c>
      <c r="G104" s="28"/>
      <c r="H104" s="28"/>
      <c r="I104" s="28"/>
      <c r="J104" s="28"/>
      <c r="K104" s="28"/>
      <c r="L104" s="28"/>
      <c r="M104" s="28"/>
      <c r="N104" s="21"/>
      <c r="O104" s="28"/>
      <c r="P104" s="37"/>
      <c r="Q104" s="21"/>
      <c r="R104" s="21"/>
      <c r="S104" s="47"/>
      <c r="T104" s="25">
        <f t="shared" si="4"/>
        <v>0</v>
      </c>
      <c r="U104" s="25" t="str">
        <f>IF('PART III-DEMOGRAPHICS'!Q114="","",'PART III-DEMOGRAPHICS'!Q114)</f>
        <v/>
      </c>
    </row>
    <row r="105" spans="1:21" ht="33.6" customHeight="1">
      <c r="A105" s="25" t="str">
        <f>IF('PART III-DEMOGRAPHICS'!A115="","",'PART III-DEMOGRAPHICS'!A115)</f>
        <v/>
      </c>
      <c r="B105" s="28"/>
      <c r="C105" s="27"/>
      <c r="D105" s="28"/>
      <c r="E105" s="21"/>
      <c r="F105" s="36" t="str">
        <f t="shared" si="5"/>
        <v>Did Not</v>
      </c>
      <c r="G105" s="28"/>
      <c r="H105" s="28"/>
      <c r="I105" s="28"/>
      <c r="J105" s="28"/>
      <c r="K105" s="28"/>
      <c r="L105" s="28"/>
      <c r="M105" s="28"/>
      <c r="N105" s="21"/>
      <c r="O105" s="28"/>
      <c r="P105" s="37"/>
      <c r="Q105" s="21"/>
      <c r="R105" s="21"/>
      <c r="S105" s="47"/>
      <c r="T105" s="25">
        <f t="shared" si="4"/>
        <v>0</v>
      </c>
      <c r="U105" s="25" t="str">
        <f>IF('PART III-DEMOGRAPHICS'!Q115="","",'PART III-DEMOGRAPHICS'!Q115)</f>
        <v/>
      </c>
    </row>
    <row r="106" spans="1:21" ht="33.6" customHeight="1">
      <c r="A106" s="25" t="str">
        <f>IF('PART III-DEMOGRAPHICS'!A116="","",'PART III-DEMOGRAPHICS'!A116)</f>
        <v/>
      </c>
      <c r="B106" s="28"/>
      <c r="C106" s="27"/>
      <c r="D106" s="28"/>
      <c r="E106" s="21"/>
      <c r="F106" s="36" t="str">
        <f t="shared" si="5"/>
        <v>Did Not</v>
      </c>
      <c r="G106" s="28"/>
      <c r="H106" s="28"/>
      <c r="I106" s="28"/>
      <c r="J106" s="28"/>
      <c r="K106" s="28"/>
      <c r="L106" s="28"/>
      <c r="M106" s="28"/>
      <c r="N106" s="21"/>
      <c r="O106" s="28"/>
      <c r="P106" s="37"/>
      <c r="Q106" s="21"/>
      <c r="R106" s="21"/>
      <c r="S106" s="47"/>
      <c r="T106" s="25">
        <f t="shared" si="4"/>
        <v>0</v>
      </c>
      <c r="U106" s="25" t="str">
        <f>IF('PART III-DEMOGRAPHICS'!Q116="","",'PART III-DEMOGRAPHICS'!Q116)</f>
        <v/>
      </c>
    </row>
    <row r="107" spans="1:21" ht="33.6" customHeight="1">
      <c r="A107" s="25" t="str">
        <f>IF('PART III-DEMOGRAPHICS'!A117="","",'PART III-DEMOGRAPHICS'!A117)</f>
        <v/>
      </c>
      <c r="B107" s="28"/>
      <c r="C107" s="27"/>
      <c r="D107" s="28"/>
      <c r="E107" s="21"/>
      <c r="F107" s="36" t="str">
        <f t="shared" si="5"/>
        <v>Did Not</v>
      </c>
      <c r="G107" s="28"/>
      <c r="H107" s="28"/>
      <c r="I107" s="28"/>
      <c r="J107" s="28"/>
      <c r="K107" s="28"/>
      <c r="L107" s="28"/>
      <c r="M107" s="28"/>
      <c r="N107" s="21"/>
      <c r="O107" s="28"/>
      <c r="P107" s="37"/>
      <c r="Q107" s="21"/>
      <c r="R107" s="21"/>
      <c r="S107" s="47"/>
      <c r="T107" s="25">
        <f t="shared" si="4"/>
        <v>0</v>
      </c>
      <c r="U107" s="25" t="str">
        <f>IF('PART III-DEMOGRAPHICS'!Q117="","",'PART III-DEMOGRAPHICS'!Q117)</f>
        <v/>
      </c>
    </row>
    <row r="108" spans="1:21" ht="33.6" customHeight="1">
      <c r="A108" s="25" t="str">
        <f>IF('PART III-DEMOGRAPHICS'!A118="","",'PART III-DEMOGRAPHICS'!A118)</f>
        <v/>
      </c>
      <c r="B108" s="28"/>
      <c r="C108" s="27"/>
      <c r="D108" s="28"/>
      <c r="E108" s="21"/>
      <c r="F108" s="36" t="str">
        <f t="shared" si="5"/>
        <v>Did Not</v>
      </c>
      <c r="G108" s="28"/>
      <c r="H108" s="28"/>
      <c r="I108" s="28"/>
      <c r="J108" s="28"/>
      <c r="K108" s="28"/>
      <c r="L108" s="28"/>
      <c r="M108" s="28"/>
      <c r="N108" s="21"/>
      <c r="O108" s="28"/>
      <c r="P108" s="37"/>
      <c r="Q108" s="21"/>
      <c r="R108" s="21"/>
      <c r="S108" s="47"/>
      <c r="T108" s="25">
        <f t="shared" si="4"/>
        <v>0</v>
      </c>
      <c r="U108" s="25" t="str">
        <f>IF('PART III-DEMOGRAPHICS'!Q118="","",'PART III-DEMOGRAPHICS'!Q118)</f>
        <v/>
      </c>
    </row>
    <row r="109" spans="1:21" ht="33.6" customHeight="1">
      <c r="A109" s="25" t="str">
        <f>IF('PART III-DEMOGRAPHICS'!A119="","",'PART III-DEMOGRAPHICS'!A119)</f>
        <v/>
      </c>
      <c r="B109" s="28"/>
      <c r="C109" s="27"/>
      <c r="D109" s="28"/>
      <c r="E109" s="21"/>
      <c r="F109" s="36" t="str">
        <f t="shared" si="5"/>
        <v>Did Not</v>
      </c>
      <c r="G109" s="28"/>
      <c r="H109" s="28"/>
      <c r="I109" s="28"/>
      <c r="J109" s="28"/>
      <c r="K109" s="28"/>
      <c r="L109" s="28"/>
      <c r="M109" s="28"/>
      <c r="N109" s="21"/>
      <c r="O109" s="28"/>
      <c r="P109" s="37"/>
      <c r="Q109" s="21"/>
      <c r="R109" s="21"/>
      <c r="S109" s="47"/>
      <c r="T109" s="25">
        <f t="shared" si="4"/>
        <v>0</v>
      </c>
      <c r="U109" s="25" t="str">
        <f>IF('PART III-DEMOGRAPHICS'!Q119="","",'PART III-DEMOGRAPHICS'!Q119)</f>
        <v/>
      </c>
    </row>
    <row r="110" spans="1:21" ht="33.6" customHeight="1">
      <c r="A110" s="25" t="str">
        <f>IF('PART III-DEMOGRAPHICS'!A120="","",'PART III-DEMOGRAPHICS'!A120)</f>
        <v/>
      </c>
      <c r="B110" s="28"/>
      <c r="C110" s="27"/>
      <c r="D110" s="28"/>
      <c r="E110" s="21"/>
      <c r="F110" s="36" t="str">
        <f t="shared" si="5"/>
        <v>Did Not</v>
      </c>
      <c r="G110" s="28"/>
      <c r="H110" s="28"/>
      <c r="I110" s="28"/>
      <c r="J110" s="28"/>
      <c r="K110" s="28"/>
      <c r="L110" s="28"/>
      <c r="M110" s="28"/>
      <c r="N110" s="21"/>
      <c r="O110" s="28"/>
      <c r="P110" s="37"/>
      <c r="Q110" s="21"/>
      <c r="R110" s="21"/>
      <c r="S110" s="47"/>
      <c r="T110" s="25">
        <f t="shared" si="4"/>
        <v>0</v>
      </c>
      <c r="U110" s="25" t="str">
        <f>IF('PART III-DEMOGRAPHICS'!Q120="","",'PART III-DEMOGRAPHICS'!Q120)</f>
        <v/>
      </c>
    </row>
    <row r="111" spans="1:21" ht="33.6" customHeight="1">
      <c r="A111" s="25" t="str">
        <f>IF('PART III-DEMOGRAPHICS'!A121="","",'PART III-DEMOGRAPHICS'!A121)</f>
        <v/>
      </c>
      <c r="B111" s="28"/>
      <c r="C111" s="27"/>
      <c r="D111" s="28"/>
      <c r="E111" s="21"/>
      <c r="F111" s="36" t="str">
        <f t="shared" si="5"/>
        <v>Did Not</v>
      </c>
      <c r="G111" s="28"/>
      <c r="H111" s="28"/>
      <c r="I111" s="28"/>
      <c r="J111" s="28"/>
      <c r="K111" s="28"/>
      <c r="L111" s="28"/>
      <c r="M111" s="28"/>
      <c r="N111" s="21"/>
      <c r="O111" s="28"/>
      <c r="P111" s="37"/>
      <c r="Q111" s="21"/>
      <c r="R111" s="21"/>
      <c r="S111" s="47"/>
      <c r="T111" s="25">
        <f t="shared" si="4"/>
        <v>0</v>
      </c>
      <c r="U111" s="25" t="str">
        <f>IF('PART III-DEMOGRAPHICS'!Q121="","",'PART III-DEMOGRAPHICS'!Q121)</f>
        <v/>
      </c>
    </row>
    <row r="112" spans="1:21" ht="33.6" customHeight="1">
      <c r="A112" s="25" t="str">
        <f>IF('PART III-DEMOGRAPHICS'!A122="","",'PART III-DEMOGRAPHICS'!A122)</f>
        <v/>
      </c>
      <c r="B112" s="28"/>
      <c r="C112" s="27"/>
      <c r="D112" s="28"/>
      <c r="E112" s="21"/>
      <c r="F112" s="36" t="str">
        <f t="shared" si="5"/>
        <v>Did Not</v>
      </c>
      <c r="G112" s="28"/>
      <c r="H112" s="28"/>
      <c r="I112" s="28"/>
      <c r="J112" s="28"/>
      <c r="K112" s="28"/>
      <c r="L112" s="28"/>
      <c r="M112" s="28"/>
      <c r="N112" s="21"/>
      <c r="O112" s="28"/>
      <c r="P112" s="37"/>
      <c r="Q112" s="21"/>
      <c r="R112" s="21"/>
      <c r="S112" s="47"/>
      <c r="T112" s="25">
        <f t="shared" si="4"/>
        <v>0</v>
      </c>
      <c r="U112" s="25" t="str">
        <f>IF('PART III-DEMOGRAPHICS'!Q122="","",'PART III-DEMOGRAPHICS'!Q122)</f>
        <v/>
      </c>
    </row>
    <row r="113" spans="1:21" ht="33.6" customHeight="1">
      <c r="A113" s="25" t="str">
        <f>IF('PART III-DEMOGRAPHICS'!A123="","",'PART III-DEMOGRAPHICS'!A123)</f>
        <v/>
      </c>
      <c r="B113" s="28"/>
      <c r="C113" s="27"/>
      <c r="D113" s="28"/>
      <c r="E113" s="21"/>
      <c r="F113" s="36" t="str">
        <f t="shared" si="5"/>
        <v>Did Not</v>
      </c>
      <c r="G113" s="28"/>
      <c r="H113" s="28"/>
      <c r="I113" s="28"/>
      <c r="J113" s="28"/>
      <c r="K113" s="28"/>
      <c r="L113" s="28"/>
      <c r="M113" s="28"/>
      <c r="N113" s="21"/>
      <c r="O113" s="28"/>
      <c r="P113" s="37"/>
      <c r="Q113" s="21"/>
      <c r="R113" s="21"/>
      <c r="S113" s="47"/>
      <c r="T113" s="25">
        <f t="shared" si="4"/>
        <v>0</v>
      </c>
      <c r="U113" s="25" t="str">
        <f>IF('PART III-DEMOGRAPHICS'!Q123="","",'PART III-DEMOGRAPHICS'!Q123)</f>
        <v/>
      </c>
    </row>
    <row r="114" spans="1:21" ht="33.6" customHeight="1">
      <c r="A114" s="25" t="str">
        <f>IF('PART III-DEMOGRAPHICS'!A124="","",'PART III-DEMOGRAPHICS'!A124)</f>
        <v/>
      </c>
      <c r="B114" s="28"/>
      <c r="C114" s="27"/>
      <c r="D114" s="28"/>
      <c r="E114" s="21"/>
      <c r="F114" s="36" t="str">
        <f t="shared" si="5"/>
        <v>Did Not</v>
      </c>
      <c r="G114" s="28"/>
      <c r="H114" s="28"/>
      <c r="I114" s="28"/>
      <c r="J114" s="28"/>
      <c r="K114" s="28"/>
      <c r="L114" s="28"/>
      <c r="M114" s="28"/>
      <c r="N114" s="21"/>
      <c r="O114" s="28"/>
      <c r="P114" s="37"/>
      <c r="Q114" s="21"/>
      <c r="R114" s="21"/>
      <c r="S114" s="47"/>
      <c r="T114" s="25">
        <f t="shared" si="4"/>
        <v>0</v>
      </c>
      <c r="U114" s="25" t="str">
        <f>IF('PART III-DEMOGRAPHICS'!Q124="","",'PART III-DEMOGRAPHICS'!Q124)</f>
        <v/>
      </c>
    </row>
    <row r="115" spans="1:21" ht="33.6" customHeight="1">
      <c r="A115" s="25" t="str">
        <f>IF('PART III-DEMOGRAPHICS'!A125="","",'PART III-DEMOGRAPHICS'!A125)</f>
        <v/>
      </c>
      <c r="B115" s="28"/>
      <c r="C115" s="27"/>
      <c r="D115" s="28"/>
      <c r="E115" s="21"/>
      <c r="F115" s="36" t="str">
        <f t="shared" si="5"/>
        <v>Did Not</v>
      </c>
      <c r="G115" s="28"/>
      <c r="H115" s="28"/>
      <c r="I115" s="28"/>
      <c r="J115" s="28"/>
      <c r="K115" s="28"/>
      <c r="L115" s="28"/>
      <c r="M115" s="28"/>
      <c r="N115" s="21"/>
      <c r="O115" s="28"/>
      <c r="P115" s="37"/>
      <c r="Q115" s="21"/>
      <c r="R115" s="21"/>
      <c r="S115" s="47"/>
      <c r="T115" s="25">
        <f t="shared" si="4"/>
        <v>0</v>
      </c>
      <c r="U115" s="25" t="str">
        <f>IF('PART III-DEMOGRAPHICS'!Q125="","",'PART III-DEMOGRAPHICS'!Q125)</f>
        <v/>
      </c>
    </row>
    <row r="116" spans="1:21" ht="33.6" customHeight="1">
      <c r="A116" s="25" t="str">
        <f>IF('PART III-DEMOGRAPHICS'!A126="","",'PART III-DEMOGRAPHICS'!A126)</f>
        <v/>
      </c>
      <c r="B116" s="28"/>
      <c r="C116" s="27"/>
      <c r="D116" s="28"/>
      <c r="E116" s="21"/>
      <c r="F116" s="36" t="str">
        <f t="shared" si="5"/>
        <v>Did Not</v>
      </c>
      <c r="G116" s="28"/>
      <c r="H116" s="28"/>
      <c r="I116" s="28"/>
      <c r="J116" s="28"/>
      <c r="K116" s="28"/>
      <c r="L116" s="28"/>
      <c r="M116" s="28"/>
      <c r="N116" s="21"/>
      <c r="O116" s="28"/>
      <c r="P116" s="37"/>
      <c r="Q116" s="21"/>
      <c r="R116" s="21"/>
      <c r="S116" s="47"/>
      <c r="T116" s="25">
        <f t="shared" si="4"/>
        <v>0</v>
      </c>
      <c r="U116" s="25" t="str">
        <f>IF('PART III-DEMOGRAPHICS'!Q126="","",'PART III-DEMOGRAPHICS'!Q126)</f>
        <v/>
      </c>
    </row>
    <row r="117" spans="1:21" ht="33.6" customHeight="1">
      <c r="A117" s="25" t="str">
        <f>IF('PART III-DEMOGRAPHICS'!A127="","",'PART III-DEMOGRAPHICS'!A127)</f>
        <v/>
      </c>
      <c r="B117" s="28"/>
      <c r="C117" s="27"/>
      <c r="D117" s="28"/>
      <c r="E117" s="21"/>
      <c r="F117" s="36" t="str">
        <f t="shared" si="5"/>
        <v>Did Not</v>
      </c>
      <c r="G117" s="28"/>
      <c r="H117" s="28"/>
      <c r="I117" s="28"/>
      <c r="J117" s="28"/>
      <c r="K117" s="28"/>
      <c r="L117" s="28"/>
      <c r="M117" s="28"/>
      <c r="N117" s="21"/>
      <c r="O117" s="28"/>
      <c r="P117" s="37"/>
      <c r="Q117" s="21"/>
      <c r="R117" s="21"/>
      <c r="S117" s="47"/>
      <c r="T117" s="25">
        <f t="shared" si="4"/>
        <v>0</v>
      </c>
      <c r="U117" s="25" t="str">
        <f>IF('PART III-DEMOGRAPHICS'!Q127="","",'PART III-DEMOGRAPHICS'!Q127)</f>
        <v/>
      </c>
    </row>
    <row r="118" spans="1:21" ht="33.6" customHeight="1">
      <c r="A118" s="25" t="str">
        <f>IF('PART III-DEMOGRAPHICS'!A128="","",'PART III-DEMOGRAPHICS'!A128)</f>
        <v/>
      </c>
      <c r="B118" s="28"/>
      <c r="C118" s="27"/>
      <c r="D118" s="28"/>
      <c r="E118" s="21"/>
      <c r="F118" s="36" t="str">
        <f t="shared" si="5"/>
        <v>Did Not</v>
      </c>
      <c r="G118" s="28"/>
      <c r="H118" s="28"/>
      <c r="I118" s="28"/>
      <c r="J118" s="28"/>
      <c r="K118" s="28"/>
      <c r="L118" s="28"/>
      <c r="M118" s="28"/>
      <c r="N118" s="21"/>
      <c r="O118" s="28"/>
      <c r="P118" s="37"/>
      <c r="Q118" s="21"/>
      <c r="R118" s="21"/>
      <c r="S118" s="47"/>
      <c r="T118" s="25">
        <f t="shared" si="4"/>
        <v>0</v>
      </c>
      <c r="U118" s="25" t="str">
        <f>IF('PART III-DEMOGRAPHICS'!Q128="","",'PART III-DEMOGRAPHICS'!Q128)</f>
        <v/>
      </c>
    </row>
    <row r="119" spans="1:21" ht="33.6" customHeight="1">
      <c r="A119" s="25" t="str">
        <f>IF('PART III-DEMOGRAPHICS'!A129="","",'PART III-DEMOGRAPHICS'!A129)</f>
        <v/>
      </c>
      <c r="B119" s="28"/>
      <c r="C119" s="27"/>
      <c r="D119" s="28"/>
      <c r="E119" s="21"/>
      <c r="F119" s="36" t="str">
        <f t="shared" si="5"/>
        <v>Did Not</v>
      </c>
      <c r="G119" s="28"/>
      <c r="H119" s="28"/>
      <c r="I119" s="28"/>
      <c r="J119" s="28"/>
      <c r="K119" s="28"/>
      <c r="L119" s="28"/>
      <c r="M119" s="28"/>
      <c r="N119" s="21"/>
      <c r="O119" s="28"/>
      <c r="P119" s="37"/>
      <c r="Q119" s="21"/>
      <c r="R119" s="21"/>
      <c r="S119" s="47"/>
      <c r="T119" s="25">
        <f t="shared" si="4"/>
        <v>0</v>
      </c>
      <c r="U119" s="25" t="str">
        <f>IF('PART III-DEMOGRAPHICS'!Q129="","",'PART III-DEMOGRAPHICS'!Q129)</f>
        <v/>
      </c>
    </row>
    <row r="120" spans="1:21" ht="33.6" customHeight="1">
      <c r="A120" s="25" t="str">
        <f>IF('PART III-DEMOGRAPHICS'!A130="","",'PART III-DEMOGRAPHICS'!A130)</f>
        <v/>
      </c>
      <c r="B120" s="28"/>
      <c r="C120" s="27"/>
      <c r="D120" s="28"/>
      <c r="E120" s="21"/>
      <c r="F120" s="36" t="str">
        <f t="shared" si="5"/>
        <v>Did Not</v>
      </c>
      <c r="G120" s="28"/>
      <c r="H120" s="28"/>
      <c r="I120" s="28"/>
      <c r="J120" s="28"/>
      <c r="K120" s="28"/>
      <c r="L120" s="28"/>
      <c r="M120" s="28"/>
      <c r="N120" s="21"/>
      <c r="O120" s="28"/>
      <c r="P120" s="37"/>
      <c r="Q120" s="21"/>
      <c r="R120" s="21"/>
      <c r="S120" s="47"/>
      <c r="T120" s="25">
        <f t="shared" si="4"/>
        <v>0</v>
      </c>
      <c r="U120" s="25" t="str">
        <f>IF('PART III-DEMOGRAPHICS'!Q130="","",'PART III-DEMOGRAPHICS'!Q130)</f>
        <v/>
      </c>
    </row>
    <row r="121" spans="1:21" ht="33.6" customHeight="1">
      <c r="A121" s="25" t="str">
        <f>IF('PART III-DEMOGRAPHICS'!A131="","",'PART III-DEMOGRAPHICS'!A131)</f>
        <v/>
      </c>
      <c r="B121" s="28"/>
      <c r="C121" s="27"/>
      <c r="D121" s="28"/>
      <c r="E121" s="21"/>
      <c r="F121" s="36" t="str">
        <f t="shared" si="5"/>
        <v>Did Not</v>
      </c>
      <c r="G121" s="28"/>
      <c r="H121" s="28"/>
      <c r="I121" s="28"/>
      <c r="J121" s="28"/>
      <c r="K121" s="28"/>
      <c r="L121" s="28"/>
      <c r="M121" s="28"/>
      <c r="N121" s="21"/>
      <c r="O121" s="28"/>
      <c r="P121" s="37"/>
      <c r="Q121" s="21"/>
      <c r="R121" s="21"/>
      <c r="S121" s="47"/>
      <c r="T121" s="25">
        <f t="shared" si="4"/>
        <v>0</v>
      </c>
      <c r="U121" s="25" t="str">
        <f>IF('PART III-DEMOGRAPHICS'!Q131="","",'PART III-DEMOGRAPHICS'!Q131)</f>
        <v/>
      </c>
    </row>
    <row r="122" spans="1:21" ht="33.6" customHeight="1">
      <c r="A122" s="25" t="str">
        <f>IF('PART III-DEMOGRAPHICS'!A132="","",'PART III-DEMOGRAPHICS'!A132)</f>
        <v/>
      </c>
      <c r="B122" s="28"/>
      <c r="C122" s="27"/>
      <c r="D122" s="28"/>
      <c r="E122" s="21"/>
      <c r="F122" s="36" t="str">
        <f t="shared" si="5"/>
        <v>Did Not</v>
      </c>
      <c r="G122" s="28"/>
      <c r="H122" s="28"/>
      <c r="I122" s="28"/>
      <c r="J122" s="28"/>
      <c r="K122" s="28"/>
      <c r="L122" s="28"/>
      <c r="M122" s="28"/>
      <c r="N122" s="21"/>
      <c r="O122" s="28"/>
      <c r="P122" s="37"/>
      <c r="Q122" s="21"/>
      <c r="R122" s="21"/>
      <c r="S122" s="47"/>
      <c r="T122" s="25">
        <f t="shared" si="4"/>
        <v>0</v>
      </c>
      <c r="U122" s="25" t="str">
        <f>IF('PART III-DEMOGRAPHICS'!Q132="","",'PART III-DEMOGRAPHICS'!Q132)</f>
        <v/>
      </c>
    </row>
    <row r="123" spans="1:21" ht="33.6" customHeight="1">
      <c r="A123" s="25" t="str">
        <f>IF('PART III-DEMOGRAPHICS'!A133="","",'PART III-DEMOGRAPHICS'!A133)</f>
        <v/>
      </c>
      <c r="B123" s="28"/>
      <c r="C123" s="27"/>
      <c r="D123" s="28"/>
      <c r="E123" s="21"/>
      <c r="F123" s="36" t="str">
        <f t="shared" si="5"/>
        <v>Did Not</v>
      </c>
      <c r="G123" s="28"/>
      <c r="H123" s="28"/>
      <c r="I123" s="28"/>
      <c r="J123" s="28"/>
      <c r="K123" s="28"/>
      <c r="L123" s="28"/>
      <c r="M123" s="28"/>
      <c r="N123" s="21"/>
      <c r="O123" s="28"/>
      <c r="P123" s="37"/>
      <c r="Q123" s="21"/>
      <c r="R123" s="21"/>
      <c r="S123" s="47"/>
      <c r="T123" s="25">
        <f t="shared" si="4"/>
        <v>0</v>
      </c>
      <c r="U123" s="25" t="str">
        <f>IF('PART III-DEMOGRAPHICS'!Q133="","",'PART III-DEMOGRAPHICS'!Q133)</f>
        <v/>
      </c>
    </row>
    <row r="124" spans="1:21" ht="33.6" customHeight="1">
      <c r="A124" s="25" t="str">
        <f>IF('PART III-DEMOGRAPHICS'!A134="","",'PART III-DEMOGRAPHICS'!A134)</f>
        <v/>
      </c>
      <c r="B124" s="28"/>
      <c r="C124" s="27"/>
      <c r="D124" s="28"/>
      <c r="E124" s="21"/>
      <c r="F124" s="36" t="str">
        <f t="shared" si="5"/>
        <v>Did Not</v>
      </c>
      <c r="G124" s="28"/>
      <c r="H124" s="28"/>
      <c r="I124" s="28"/>
      <c r="J124" s="28"/>
      <c r="K124" s="28"/>
      <c r="L124" s="28"/>
      <c r="M124" s="28"/>
      <c r="N124" s="21"/>
      <c r="O124" s="28"/>
      <c r="P124" s="37"/>
      <c r="Q124" s="21"/>
      <c r="R124" s="21"/>
      <c r="S124" s="47"/>
      <c r="T124" s="25">
        <f t="shared" si="4"/>
        <v>0</v>
      </c>
      <c r="U124" s="25" t="str">
        <f>IF('PART III-DEMOGRAPHICS'!Q134="","",'PART III-DEMOGRAPHICS'!Q134)</f>
        <v/>
      </c>
    </row>
    <row r="125" spans="1:21" ht="33.6" customHeight="1">
      <c r="A125" s="25" t="str">
        <f>IF('PART III-DEMOGRAPHICS'!A135="","",'PART III-DEMOGRAPHICS'!A135)</f>
        <v/>
      </c>
      <c r="B125" s="28"/>
      <c r="C125" s="27"/>
      <c r="D125" s="28"/>
      <c r="E125" s="21"/>
      <c r="F125" s="36" t="str">
        <f t="shared" si="5"/>
        <v>Did Not</v>
      </c>
      <c r="G125" s="28"/>
      <c r="H125" s="28"/>
      <c r="I125" s="28"/>
      <c r="J125" s="28"/>
      <c r="K125" s="28"/>
      <c r="L125" s="28"/>
      <c r="M125" s="28"/>
      <c r="N125" s="21"/>
      <c r="O125" s="28"/>
      <c r="P125" s="37"/>
      <c r="Q125" s="21"/>
      <c r="R125" s="21"/>
      <c r="S125" s="47"/>
      <c r="T125" s="25">
        <f t="shared" si="4"/>
        <v>0</v>
      </c>
      <c r="U125" s="25" t="str">
        <f>IF('PART III-DEMOGRAPHICS'!Q135="","",'PART III-DEMOGRAPHICS'!Q135)</f>
        <v/>
      </c>
    </row>
    <row r="126" spans="1:21" ht="33.6" customHeight="1">
      <c r="A126" s="25" t="str">
        <f>IF('PART III-DEMOGRAPHICS'!A136="","",'PART III-DEMOGRAPHICS'!A136)</f>
        <v/>
      </c>
      <c r="B126" s="28"/>
      <c r="C126" s="27"/>
      <c r="D126" s="28"/>
      <c r="E126" s="21"/>
      <c r="F126" s="36" t="str">
        <f t="shared" si="5"/>
        <v>Did Not</v>
      </c>
      <c r="G126" s="28"/>
      <c r="H126" s="28"/>
      <c r="I126" s="28"/>
      <c r="J126" s="28"/>
      <c r="K126" s="28"/>
      <c r="L126" s="28"/>
      <c r="M126" s="28"/>
      <c r="N126" s="21"/>
      <c r="O126" s="28"/>
      <c r="P126" s="37"/>
      <c r="Q126" s="21"/>
      <c r="R126" s="21"/>
      <c r="S126" s="47"/>
      <c r="T126" s="25">
        <f t="shared" si="4"/>
        <v>0</v>
      </c>
      <c r="U126" s="25" t="str">
        <f>IF('PART III-DEMOGRAPHICS'!Q136="","",'PART III-DEMOGRAPHICS'!Q136)</f>
        <v/>
      </c>
    </row>
    <row r="127" spans="1:21" ht="33.6" customHeight="1">
      <c r="A127" s="25" t="str">
        <f>IF('PART III-DEMOGRAPHICS'!A137="","",'PART III-DEMOGRAPHICS'!A137)</f>
        <v/>
      </c>
      <c r="B127" s="28"/>
      <c r="C127" s="27"/>
      <c r="D127" s="28"/>
      <c r="E127" s="21"/>
      <c r="F127" s="36" t="str">
        <f t="shared" si="5"/>
        <v>Did Not</v>
      </c>
      <c r="G127" s="28"/>
      <c r="H127" s="28"/>
      <c r="I127" s="28"/>
      <c r="J127" s="28"/>
      <c r="K127" s="28"/>
      <c r="L127" s="28"/>
      <c r="M127" s="28"/>
      <c r="N127" s="21"/>
      <c r="O127" s="28"/>
      <c r="P127" s="37"/>
      <c r="Q127" s="21"/>
      <c r="R127" s="21"/>
      <c r="S127" s="47"/>
      <c r="T127" s="25">
        <f t="shared" si="4"/>
        <v>0</v>
      </c>
      <c r="U127" s="25" t="str">
        <f>IF('PART III-DEMOGRAPHICS'!Q137="","",'PART III-DEMOGRAPHICS'!Q137)</f>
        <v/>
      </c>
    </row>
    <row r="128" spans="1:21" ht="33.6" customHeight="1">
      <c r="A128" s="25" t="str">
        <f>IF('PART III-DEMOGRAPHICS'!A138="","",'PART III-DEMOGRAPHICS'!A138)</f>
        <v/>
      </c>
      <c r="B128" s="28"/>
      <c r="C128" s="27"/>
      <c r="D128" s="28"/>
      <c r="E128" s="21"/>
      <c r="F128" s="36" t="str">
        <f t="shared" si="5"/>
        <v>Did Not</v>
      </c>
      <c r="G128" s="28"/>
      <c r="H128" s="28"/>
      <c r="I128" s="28"/>
      <c r="J128" s="28"/>
      <c r="K128" s="28"/>
      <c r="L128" s="28"/>
      <c r="M128" s="28"/>
      <c r="N128" s="21"/>
      <c r="O128" s="28"/>
      <c r="P128" s="37"/>
      <c r="Q128" s="21"/>
      <c r="R128" s="21"/>
      <c r="S128" s="47"/>
      <c r="T128" s="25">
        <f t="shared" si="4"/>
        <v>0</v>
      </c>
      <c r="U128" s="25" t="str">
        <f>IF('PART III-DEMOGRAPHICS'!Q138="","",'PART III-DEMOGRAPHICS'!Q138)</f>
        <v/>
      </c>
    </row>
    <row r="129" spans="1:21" ht="33.6" customHeight="1">
      <c r="A129" s="25" t="str">
        <f>IF('PART III-DEMOGRAPHICS'!A139="","",'PART III-DEMOGRAPHICS'!A139)</f>
        <v/>
      </c>
      <c r="B129" s="28"/>
      <c r="C129" s="27"/>
      <c r="D129" s="28"/>
      <c r="E129" s="21"/>
      <c r="F129" s="36" t="str">
        <f t="shared" si="5"/>
        <v>Did Not</v>
      </c>
      <c r="G129" s="28"/>
      <c r="H129" s="28"/>
      <c r="I129" s="28"/>
      <c r="J129" s="28"/>
      <c r="K129" s="28"/>
      <c r="L129" s="28"/>
      <c r="M129" s="28"/>
      <c r="N129" s="21"/>
      <c r="O129" s="28"/>
      <c r="P129" s="37"/>
      <c r="Q129" s="21"/>
      <c r="R129" s="21"/>
      <c r="S129" s="47"/>
      <c r="T129" s="25">
        <f t="shared" si="4"/>
        <v>0</v>
      </c>
      <c r="U129" s="25" t="str">
        <f>IF('PART III-DEMOGRAPHICS'!Q139="","",'PART III-DEMOGRAPHICS'!Q139)</f>
        <v/>
      </c>
    </row>
    <row r="130" spans="1:21" ht="33.6" customHeight="1">
      <c r="A130" s="25" t="str">
        <f>IF('PART III-DEMOGRAPHICS'!A140="","",'PART III-DEMOGRAPHICS'!A140)</f>
        <v/>
      </c>
      <c r="B130" s="28"/>
      <c r="C130" s="27"/>
      <c r="D130" s="28"/>
      <c r="E130" s="21"/>
      <c r="F130" s="36" t="str">
        <f t="shared" si="5"/>
        <v>Did Not</v>
      </c>
      <c r="G130" s="28"/>
      <c r="H130" s="28"/>
      <c r="I130" s="28"/>
      <c r="J130" s="28"/>
      <c r="K130" s="28"/>
      <c r="L130" s="28"/>
      <c r="M130" s="28"/>
      <c r="N130" s="21"/>
      <c r="O130" s="28"/>
      <c r="P130" s="37"/>
      <c r="Q130" s="21"/>
      <c r="R130" s="21"/>
      <c r="S130" s="47"/>
      <c r="T130" s="25">
        <f t="shared" si="4"/>
        <v>0</v>
      </c>
      <c r="U130" s="25" t="str">
        <f>IF('PART III-DEMOGRAPHICS'!Q140="","",'PART III-DEMOGRAPHICS'!Q140)</f>
        <v/>
      </c>
    </row>
    <row r="131" spans="1:21" ht="33.6" customHeight="1">
      <c r="A131" s="25" t="str">
        <f>IF('PART III-DEMOGRAPHICS'!A141="","",'PART III-DEMOGRAPHICS'!A141)</f>
        <v/>
      </c>
      <c r="B131" s="28"/>
      <c r="C131" s="27"/>
      <c r="D131" s="28"/>
      <c r="E131" s="21"/>
      <c r="F131" s="36" t="str">
        <f t="shared" si="5"/>
        <v>Did Not</v>
      </c>
      <c r="G131" s="28"/>
      <c r="H131" s="28"/>
      <c r="I131" s="28"/>
      <c r="J131" s="28"/>
      <c r="K131" s="28"/>
      <c r="L131" s="28"/>
      <c r="M131" s="28"/>
      <c r="N131" s="21"/>
      <c r="O131" s="28"/>
      <c r="P131" s="37"/>
      <c r="Q131" s="21"/>
      <c r="R131" s="21"/>
      <c r="S131" s="47"/>
      <c r="T131" s="25">
        <f t="shared" si="4"/>
        <v>0</v>
      </c>
      <c r="U131" s="25" t="str">
        <f>IF('PART III-DEMOGRAPHICS'!Q141="","",'PART III-DEMOGRAPHICS'!Q141)</f>
        <v/>
      </c>
    </row>
    <row r="132" spans="1:21" ht="33.6" customHeight="1">
      <c r="A132" s="25" t="str">
        <f>IF('PART III-DEMOGRAPHICS'!A142="","",'PART III-DEMOGRAPHICS'!A142)</f>
        <v/>
      </c>
      <c r="B132" s="28"/>
      <c r="C132" s="27"/>
      <c r="D132" s="28"/>
      <c r="E132" s="21"/>
      <c r="F132" s="36" t="str">
        <f t="shared" si="5"/>
        <v>Did Not</v>
      </c>
      <c r="G132" s="28"/>
      <c r="H132" s="28"/>
      <c r="I132" s="28"/>
      <c r="J132" s="28"/>
      <c r="K132" s="28"/>
      <c r="L132" s="28"/>
      <c r="M132" s="28"/>
      <c r="N132" s="21"/>
      <c r="O132" s="28"/>
      <c r="P132" s="37"/>
      <c r="Q132" s="21"/>
      <c r="R132" s="21"/>
      <c r="S132" s="47"/>
      <c r="T132" s="25">
        <f t="shared" si="4"/>
        <v>0</v>
      </c>
      <c r="U132" s="25" t="str">
        <f>IF('PART III-DEMOGRAPHICS'!Q142="","",'PART III-DEMOGRAPHICS'!Q142)</f>
        <v/>
      </c>
    </row>
    <row r="133" spans="1:21" ht="33.6" customHeight="1">
      <c r="A133" s="25" t="str">
        <f>IF('PART III-DEMOGRAPHICS'!A143="","",'PART III-DEMOGRAPHICS'!A143)</f>
        <v/>
      </c>
      <c r="B133" s="28"/>
      <c r="C133" s="27"/>
      <c r="D133" s="28"/>
      <c r="E133" s="21"/>
      <c r="F133" s="36" t="str">
        <f t="shared" si="5"/>
        <v>Did Not</v>
      </c>
      <c r="G133" s="28"/>
      <c r="H133" s="28"/>
      <c r="I133" s="28"/>
      <c r="J133" s="28"/>
      <c r="K133" s="28"/>
      <c r="L133" s="28"/>
      <c r="M133" s="28"/>
      <c r="N133" s="21"/>
      <c r="O133" s="28"/>
      <c r="P133" s="37"/>
      <c r="Q133" s="21"/>
      <c r="R133" s="21"/>
      <c r="S133" s="47"/>
      <c r="T133" s="25">
        <f t="shared" si="4"/>
        <v>0</v>
      </c>
      <c r="U133" s="25" t="str">
        <f>IF('PART III-DEMOGRAPHICS'!Q143="","",'PART III-DEMOGRAPHICS'!Q143)</f>
        <v/>
      </c>
    </row>
    <row r="134" spans="1:21" ht="33.6" customHeight="1">
      <c r="A134" s="25" t="str">
        <f>IF('PART III-DEMOGRAPHICS'!A144="","",'PART III-DEMOGRAPHICS'!A144)</f>
        <v/>
      </c>
      <c r="B134" s="28"/>
      <c r="C134" s="27"/>
      <c r="D134" s="28"/>
      <c r="E134" s="21"/>
      <c r="F134" s="36" t="str">
        <f t="shared" si="5"/>
        <v>Did Not</v>
      </c>
      <c r="G134" s="28"/>
      <c r="H134" s="28"/>
      <c r="I134" s="28"/>
      <c r="J134" s="28"/>
      <c r="K134" s="28"/>
      <c r="L134" s="28"/>
      <c r="M134" s="28"/>
      <c r="N134" s="21"/>
      <c r="O134" s="28"/>
      <c r="P134" s="37"/>
      <c r="Q134" s="21"/>
      <c r="R134" s="21"/>
      <c r="S134" s="47"/>
      <c r="T134" s="25">
        <f t="shared" si="4"/>
        <v>0</v>
      </c>
      <c r="U134" s="25" t="str">
        <f>IF('PART III-DEMOGRAPHICS'!Q144="","",'PART III-DEMOGRAPHICS'!Q144)</f>
        <v/>
      </c>
    </row>
    <row r="135" spans="1:21" ht="33.6" customHeight="1">
      <c r="A135" s="25" t="str">
        <f>IF('PART III-DEMOGRAPHICS'!A145="","",'PART III-DEMOGRAPHICS'!A145)</f>
        <v/>
      </c>
      <c r="B135" s="28"/>
      <c r="C135" s="27"/>
      <c r="D135" s="28"/>
      <c r="E135" s="21"/>
      <c r="F135" s="36" t="str">
        <f t="shared" ref="F135:F141" si="6">IF(OR(G135="Yes",H135="Yes",I135="Yes",J135="Yes",K135="Yes",L135="Yes",M135="Yes"),"Did","Did Not")</f>
        <v>Did Not</v>
      </c>
      <c r="G135" s="28"/>
      <c r="H135" s="28"/>
      <c r="I135" s="28"/>
      <c r="J135" s="28"/>
      <c r="K135" s="28"/>
      <c r="L135" s="28"/>
      <c r="M135" s="28"/>
      <c r="N135" s="21"/>
      <c r="O135" s="28"/>
      <c r="P135" s="37"/>
      <c r="Q135" s="21"/>
      <c r="R135" s="21"/>
      <c r="S135" s="47"/>
      <c r="T135" s="25">
        <f t="shared" ref="T135:T198" si="7">COUNTIF(A135:R135,"Yes")</f>
        <v>0</v>
      </c>
      <c r="U135" s="25" t="str">
        <f>IF('PART III-DEMOGRAPHICS'!Q145="","",'PART III-DEMOGRAPHICS'!Q145)</f>
        <v/>
      </c>
    </row>
    <row r="136" spans="1:21" ht="33.6" customHeight="1">
      <c r="A136" s="25" t="str">
        <f>IF('PART III-DEMOGRAPHICS'!A146="","",'PART III-DEMOGRAPHICS'!A146)</f>
        <v/>
      </c>
      <c r="B136" s="28"/>
      <c r="C136" s="27"/>
      <c r="D136" s="28"/>
      <c r="E136" s="21"/>
      <c r="F136" s="36" t="str">
        <f t="shared" si="6"/>
        <v>Did Not</v>
      </c>
      <c r="G136" s="28"/>
      <c r="H136" s="28"/>
      <c r="I136" s="28"/>
      <c r="J136" s="28"/>
      <c r="K136" s="28"/>
      <c r="L136" s="28"/>
      <c r="M136" s="28"/>
      <c r="N136" s="21"/>
      <c r="O136" s="28"/>
      <c r="P136" s="37"/>
      <c r="Q136" s="21"/>
      <c r="R136" s="21"/>
      <c r="S136" s="47"/>
      <c r="T136" s="25">
        <f t="shared" si="7"/>
        <v>0</v>
      </c>
      <c r="U136" s="25" t="str">
        <f>IF('PART III-DEMOGRAPHICS'!Q146="","",'PART III-DEMOGRAPHICS'!Q146)</f>
        <v/>
      </c>
    </row>
    <row r="137" spans="1:21" ht="33.6" customHeight="1">
      <c r="A137" s="25" t="str">
        <f>IF('PART III-DEMOGRAPHICS'!A147="","",'PART III-DEMOGRAPHICS'!A147)</f>
        <v/>
      </c>
      <c r="B137" s="28"/>
      <c r="C137" s="27"/>
      <c r="D137" s="28"/>
      <c r="E137" s="21"/>
      <c r="F137" s="36" t="str">
        <f t="shared" si="6"/>
        <v>Did Not</v>
      </c>
      <c r="G137" s="28"/>
      <c r="H137" s="28"/>
      <c r="I137" s="28"/>
      <c r="J137" s="28"/>
      <c r="K137" s="28"/>
      <c r="L137" s="28"/>
      <c r="M137" s="28"/>
      <c r="N137" s="21"/>
      <c r="O137" s="28"/>
      <c r="P137" s="37"/>
      <c r="Q137" s="21"/>
      <c r="R137" s="21"/>
      <c r="S137" s="47"/>
      <c r="T137" s="25">
        <f t="shared" si="7"/>
        <v>0</v>
      </c>
      <c r="U137" s="25" t="str">
        <f>IF('PART III-DEMOGRAPHICS'!Q147="","",'PART III-DEMOGRAPHICS'!Q147)</f>
        <v/>
      </c>
    </row>
    <row r="138" spans="1:21" ht="33.6" customHeight="1">
      <c r="A138" s="25" t="str">
        <f>IF('PART III-DEMOGRAPHICS'!A148="","",'PART III-DEMOGRAPHICS'!A148)</f>
        <v/>
      </c>
      <c r="B138" s="28"/>
      <c r="C138" s="27"/>
      <c r="D138" s="28"/>
      <c r="E138" s="21"/>
      <c r="F138" s="36" t="str">
        <f t="shared" si="6"/>
        <v>Did Not</v>
      </c>
      <c r="G138" s="28"/>
      <c r="H138" s="28"/>
      <c r="I138" s="28"/>
      <c r="J138" s="28"/>
      <c r="K138" s="28"/>
      <c r="L138" s="28"/>
      <c r="M138" s="28"/>
      <c r="N138" s="21"/>
      <c r="O138" s="28"/>
      <c r="P138" s="37"/>
      <c r="Q138" s="21"/>
      <c r="R138" s="21"/>
      <c r="S138" s="47"/>
      <c r="T138" s="25">
        <f t="shared" si="7"/>
        <v>0</v>
      </c>
      <c r="U138" s="25" t="str">
        <f>IF('PART III-DEMOGRAPHICS'!Q148="","",'PART III-DEMOGRAPHICS'!Q148)</f>
        <v/>
      </c>
    </row>
    <row r="139" spans="1:21" ht="33.6" customHeight="1">
      <c r="A139" s="25" t="str">
        <f>IF('PART III-DEMOGRAPHICS'!A149="","",'PART III-DEMOGRAPHICS'!A149)</f>
        <v/>
      </c>
      <c r="B139" s="28"/>
      <c r="C139" s="27"/>
      <c r="D139" s="28"/>
      <c r="E139" s="21"/>
      <c r="F139" s="36" t="str">
        <f t="shared" si="6"/>
        <v>Did Not</v>
      </c>
      <c r="G139" s="28"/>
      <c r="H139" s="28"/>
      <c r="I139" s="28"/>
      <c r="J139" s="28"/>
      <c r="K139" s="28"/>
      <c r="L139" s="28"/>
      <c r="M139" s="28"/>
      <c r="N139" s="21"/>
      <c r="O139" s="28"/>
      <c r="P139" s="37"/>
      <c r="Q139" s="21"/>
      <c r="R139" s="21"/>
      <c r="S139" s="47"/>
      <c r="T139" s="25">
        <f t="shared" si="7"/>
        <v>0</v>
      </c>
      <c r="U139" s="25" t="str">
        <f>IF('PART III-DEMOGRAPHICS'!Q149="","",'PART III-DEMOGRAPHICS'!Q149)</f>
        <v/>
      </c>
    </row>
    <row r="140" spans="1:21" ht="33.6" customHeight="1">
      <c r="A140" s="25" t="str">
        <f>IF('PART III-DEMOGRAPHICS'!A150="","",'PART III-DEMOGRAPHICS'!A150)</f>
        <v/>
      </c>
      <c r="B140" s="28"/>
      <c r="C140" s="27"/>
      <c r="D140" s="28"/>
      <c r="E140" s="21"/>
      <c r="F140" s="36" t="str">
        <f t="shared" si="6"/>
        <v>Did Not</v>
      </c>
      <c r="G140" s="28"/>
      <c r="H140" s="28"/>
      <c r="I140" s="28"/>
      <c r="J140" s="28"/>
      <c r="K140" s="28"/>
      <c r="L140" s="28"/>
      <c r="M140" s="28"/>
      <c r="N140" s="21"/>
      <c r="O140" s="28"/>
      <c r="P140" s="37"/>
      <c r="Q140" s="21"/>
      <c r="R140" s="21"/>
      <c r="S140" s="47"/>
      <c r="T140" s="25">
        <f t="shared" si="7"/>
        <v>0</v>
      </c>
      <c r="U140" s="25" t="str">
        <f>IF('PART III-DEMOGRAPHICS'!Q150="","",'PART III-DEMOGRAPHICS'!Q150)</f>
        <v/>
      </c>
    </row>
    <row r="141" spans="1:21" ht="33.6" customHeight="1">
      <c r="A141" s="25" t="str">
        <f>IF('PART III-DEMOGRAPHICS'!A151="","",'PART III-DEMOGRAPHICS'!A151)</f>
        <v/>
      </c>
      <c r="B141" s="28"/>
      <c r="C141" s="27"/>
      <c r="D141" s="28"/>
      <c r="E141" s="21"/>
      <c r="F141" s="36" t="str">
        <f t="shared" si="6"/>
        <v>Did Not</v>
      </c>
      <c r="G141" s="28"/>
      <c r="H141" s="28"/>
      <c r="I141" s="28"/>
      <c r="J141" s="28"/>
      <c r="K141" s="28"/>
      <c r="L141" s="28"/>
      <c r="M141" s="28"/>
      <c r="N141" s="21"/>
      <c r="O141" s="28"/>
      <c r="P141" s="37"/>
      <c r="Q141" s="21"/>
      <c r="R141" s="21"/>
      <c r="S141" s="47"/>
      <c r="T141" s="25">
        <f t="shared" si="7"/>
        <v>0</v>
      </c>
      <c r="U141" s="25" t="str">
        <f>IF('PART III-DEMOGRAPHICS'!Q151="","",'PART III-DEMOGRAPHICS'!Q151)</f>
        <v/>
      </c>
    </row>
    <row r="142" spans="1:21" ht="33.6" customHeight="1">
      <c r="A142" s="25" t="str">
        <f>IF('PART III-DEMOGRAPHICS'!A152="","",'PART III-DEMOGRAPHICS'!A152)</f>
        <v/>
      </c>
      <c r="B142" s="28"/>
      <c r="C142" s="27"/>
      <c r="D142" s="28"/>
      <c r="E142" s="21"/>
      <c r="F142" s="36" t="str">
        <f t="shared" ref="F142:F205" si="8">IF(OR(G142="Yes",H142="Yes",I142="Yes",J142="Yes",K142="Yes",L142="Yes",M142="Yes"),"Did","Did Not")</f>
        <v>Did Not</v>
      </c>
      <c r="G142" s="28"/>
      <c r="H142" s="28"/>
      <c r="I142" s="28"/>
      <c r="J142" s="28"/>
      <c r="K142" s="28"/>
      <c r="L142" s="28"/>
      <c r="M142" s="28"/>
      <c r="N142" s="21"/>
      <c r="O142" s="28"/>
      <c r="P142" s="37"/>
      <c r="Q142" s="21"/>
      <c r="R142" s="21"/>
      <c r="S142" s="47"/>
      <c r="T142" s="25">
        <f t="shared" si="7"/>
        <v>0</v>
      </c>
      <c r="U142" s="25" t="str">
        <f>IF('PART III-DEMOGRAPHICS'!Q152="","",'PART III-DEMOGRAPHICS'!Q152)</f>
        <v/>
      </c>
    </row>
    <row r="143" spans="1:21" ht="33.6" customHeight="1">
      <c r="A143" s="25" t="str">
        <f>IF('PART III-DEMOGRAPHICS'!A153="","",'PART III-DEMOGRAPHICS'!A153)</f>
        <v/>
      </c>
      <c r="B143" s="28"/>
      <c r="C143" s="27"/>
      <c r="D143" s="28"/>
      <c r="E143" s="21"/>
      <c r="F143" s="36" t="str">
        <f t="shared" si="8"/>
        <v>Did Not</v>
      </c>
      <c r="G143" s="28"/>
      <c r="H143" s="28"/>
      <c r="I143" s="28"/>
      <c r="J143" s="28"/>
      <c r="K143" s="28"/>
      <c r="L143" s="28"/>
      <c r="M143" s="28"/>
      <c r="N143" s="21"/>
      <c r="O143" s="28"/>
      <c r="P143" s="37"/>
      <c r="Q143" s="21"/>
      <c r="R143" s="21"/>
      <c r="S143" s="47"/>
      <c r="T143" s="25">
        <f t="shared" si="7"/>
        <v>0</v>
      </c>
      <c r="U143" s="25" t="str">
        <f>IF('PART III-DEMOGRAPHICS'!Q153="","",'PART III-DEMOGRAPHICS'!Q153)</f>
        <v/>
      </c>
    </row>
    <row r="144" spans="1:21" ht="33.6" customHeight="1">
      <c r="A144" s="25" t="str">
        <f>IF('PART III-DEMOGRAPHICS'!A154="","",'PART III-DEMOGRAPHICS'!A154)</f>
        <v/>
      </c>
      <c r="B144" s="28"/>
      <c r="C144" s="27"/>
      <c r="D144" s="28"/>
      <c r="E144" s="21"/>
      <c r="F144" s="36" t="str">
        <f t="shared" si="8"/>
        <v>Did Not</v>
      </c>
      <c r="G144" s="28"/>
      <c r="H144" s="28"/>
      <c r="I144" s="28"/>
      <c r="J144" s="28"/>
      <c r="K144" s="28"/>
      <c r="L144" s="28"/>
      <c r="M144" s="28"/>
      <c r="N144" s="21"/>
      <c r="O144" s="28"/>
      <c r="P144" s="37"/>
      <c r="Q144" s="21"/>
      <c r="R144" s="21"/>
      <c r="S144" s="47"/>
      <c r="T144" s="25">
        <f t="shared" si="7"/>
        <v>0</v>
      </c>
      <c r="U144" s="25" t="str">
        <f>IF('PART III-DEMOGRAPHICS'!Q154="","",'PART III-DEMOGRAPHICS'!Q154)</f>
        <v/>
      </c>
    </row>
    <row r="145" spans="1:21" ht="33.6" customHeight="1">
      <c r="A145" s="25" t="str">
        <f>IF('PART III-DEMOGRAPHICS'!A155="","",'PART III-DEMOGRAPHICS'!A155)</f>
        <v/>
      </c>
      <c r="B145" s="28"/>
      <c r="C145" s="27"/>
      <c r="D145" s="28"/>
      <c r="E145" s="21"/>
      <c r="F145" s="36" t="str">
        <f t="shared" si="8"/>
        <v>Did Not</v>
      </c>
      <c r="G145" s="28"/>
      <c r="H145" s="28"/>
      <c r="I145" s="28"/>
      <c r="J145" s="28"/>
      <c r="K145" s="28"/>
      <c r="L145" s="28"/>
      <c r="M145" s="28"/>
      <c r="N145" s="21"/>
      <c r="O145" s="28"/>
      <c r="P145" s="37"/>
      <c r="Q145" s="21"/>
      <c r="R145" s="21"/>
      <c r="S145" s="47"/>
      <c r="T145" s="25">
        <f t="shared" si="7"/>
        <v>0</v>
      </c>
      <c r="U145" s="25" t="str">
        <f>IF('PART III-DEMOGRAPHICS'!Q155="","",'PART III-DEMOGRAPHICS'!Q155)</f>
        <v/>
      </c>
    </row>
    <row r="146" spans="1:21" ht="33.6" customHeight="1">
      <c r="A146" s="25" t="str">
        <f>IF('PART III-DEMOGRAPHICS'!A156="","",'PART III-DEMOGRAPHICS'!A156)</f>
        <v/>
      </c>
      <c r="B146" s="28"/>
      <c r="C146" s="27"/>
      <c r="D146" s="28"/>
      <c r="E146" s="21"/>
      <c r="F146" s="36" t="str">
        <f t="shared" si="8"/>
        <v>Did Not</v>
      </c>
      <c r="G146" s="28"/>
      <c r="H146" s="28"/>
      <c r="I146" s="28"/>
      <c r="J146" s="28"/>
      <c r="K146" s="28"/>
      <c r="L146" s="28"/>
      <c r="M146" s="28"/>
      <c r="N146" s="21"/>
      <c r="O146" s="28"/>
      <c r="P146" s="37"/>
      <c r="Q146" s="21"/>
      <c r="R146" s="21"/>
      <c r="S146" s="47"/>
      <c r="T146" s="25">
        <f t="shared" si="7"/>
        <v>0</v>
      </c>
      <c r="U146" s="25" t="str">
        <f>IF('PART III-DEMOGRAPHICS'!Q156="","",'PART III-DEMOGRAPHICS'!Q156)</f>
        <v/>
      </c>
    </row>
    <row r="147" spans="1:21" ht="33.6" customHeight="1">
      <c r="A147" s="25" t="str">
        <f>IF('PART III-DEMOGRAPHICS'!A157="","",'PART III-DEMOGRAPHICS'!A157)</f>
        <v/>
      </c>
      <c r="B147" s="28"/>
      <c r="C147" s="27"/>
      <c r="D147" s="28"/>
      <c r="E147" s="21"/>
      <c r="F147" s="36" t="str">
        <f t="shared" si="8"/>
        <v>Did Not</v>
      </c>
      <c r="G147" s="28"/>
      <c r="H147" s="28"/>
      <c r="I147" s="28"/>
      <c r="J147" s="28"/>
      <c r="K147" s="28"/>
      <c r="L147" s="28"/>
      <c r="M147" s="28"/>
      <c r="N147" s="21"/>
      <c r="O147" s="28"/>
      <c r="P147" s="37"/>
      <c r="Q147" s="21"/>
      <c r="R147" s="21"/>
      <c r="S147" s="47"/>
      <c r="T147" s="25">
        <f t="shared" si="7"/>
        <v>0</v>
      </c>
      <c r="U147" s="25" t="str">
        <f>IF('PART III-DEMOGRAPHICS'!Q157="","",'PART III-DEMOGRAPHICS'!Q157)</f>
        <v/>
      </c>
    </row>
    <row r="148" spans="1:21" ht="33.6" customHeight="1">
      <c r="A148" s="25" t="str">
        <f>IF('PART III-DEMOGRAPHICS'!A158="","",'PART III-DEMOGRAPHICS'!A158)</f>
        <v/>
      </c>
      <c r="B148" s="28"/>
      <c r="C148" s="27"/>
      <c r="D148" s="28"/>
      <c r="E148" s="21"/>
      <c r="F148" s="36" t="str">
        <f t="shared" si="8"/>
        <v>Did Not</v>
      </c>
      <c r="G148" s="28"/>
      <c r="H148" s="28"/>
      <c r="I148" s="28"/>
      <c r="J148" s="28"/>
      <c r="K148" s="28"/>
      <c r="L148" s="28"/>
      <c r="M148" s="28"/>
      <c r="N148" s="21"/>
      <c r="O148" s="28"/>
      <c r="P148" s="37"/>
      <c r="Q148" s="21"/>
      <c r="R148" s="21"/>
      <c r="S148" s="47"/>
      <c r="T148" s="25">
        <f t="shared" si="7"/>
        <v>0</v>
      </c>
      <c r="U148" s="25" t="str">
        <f>IF('PART III-DEMOGRAPHICS'!Q158="","",'PART III-DEMOGRAPHICS'!Q158)</f>
        <v/>
      </c>
    </row>
    <row r="149" spans="1:21" ht="33.6" customHeight="1">
      <c r="A149" s="25" t="str">
        <f>IF('PART III-DEMOGRAPHICS'!A159="","",'PART III-DEMOGRAPHICS'!A159)</f>
        <v/>
      </c>
      <c r="B149" s="28"/>
      <c r="C149" s="27"/>
      <c r="D149" s="28"/>
      <c r="E149" s="21"/>
      <c r="F149" s="36" t="str">
        <f t="shared" si="8"/>
        <v>Did Not</v>
      </c>
      <c r="G149" s="28"/>
      <c r="H149" s="28"/>
      <c r="I149" s="28"/>
      <c r="J149" s="28"/>
      <c r="K149" s="28"/>
      <c r="L149" s="28"/>
      <c r="M149" s="28"/>
      <c r="N149" s="21"/>
      <c r="O149" s="28"/>
      <c r="P149" s="37"/>
      <c r="Q149" s="21"/>
      <c r="R149" s="21"/>
      <c r="S149" s="47"/>
      <c r="T149" s="25">
        <f t="shared" si="7"/>
        <v>0</v>
      </c>
      <c r="U149" s="25" t="str">
        <f>IF('PART III-DEMOGRAPHICS'!Q159="","",'PART III-DEMOGRAPHICS'!Q159)</f>
        <v/>
      </c>
    </row>
    <row r="150" spans="1:21" ht="33.6" customHeight="1">
      <c r="A150" s="25" t="str">
        <f>IF('PART III-DEMOGRAPHICS'!A160="","",'PART III-DEMOGRAPHICS'!A160)</f>
        <v/>
      </c>
      <c r="B150" s="28"/>
      <c r="C150" s="27"/>
      <c r="D150" s="28"/>
      <c r="E150" s="21"/>
      <c r="F150" s="36" t="str">
        <f t="shared" si="8"/>
        <v>Did Not</v>
      </c>
      <c r="G150" s="28"/>
      <c r="H150" s="28"/>
      <c r="I150" s="28"/>
      <c r="J150" s="28"/>
      <c r="K150" s="28"/>
      <c r="L150" s="28"/>
      <c r="M150" s="28"/>
      <c r="N150" s="21"/>
      <c r="O150" s="28"/>
      <c r="P150" s="37"/>
      <c r="Q150" s="21"/>
      <c r="R150" s="21"/>
      <c r="S150" s="47"/>
      <c r="T150" s="25">
        <f t="shared" si="7"/>
        <v>0</v>
      </c>
      <c r="U150" s="25" t="str">
        <f>IF('PART III-DEMOGRAPHICS'!Q160="","",'PART III-DEMOGRAPHICS'!Q160)</f>
        <v/>
      </c>
    </row>
    <row r="151" spans="1:21" ht="33.6" customHeight="1">
      <c r="A151" s="25" t="str">
        <f>IF('PART III-DEMOGRAPHICS'!A161="","",'PART III-DEMOGRAPHICS'!A161)</f>
        <v/>
      </c>
      <c r="B151" s="28"/>
      <c r="C151" s="27"/>
      <c r="D151" s="28"/>
      <c r="E151" s="21"/>
      <c r="F151" s="36" t="str">
        <f t="shared" si="8"/>
        <v>Did Not</v>
      </c>
      <c r="G151" s="28"/>
      <c r="H151" s="28"/>
      <c r="I151" s="28"/>
      <c r="J151" s="28"/>
      <c r="K151" s="28"/>
      <c r="L151" s="28"/>
      <c r="M151" s="28"/>
      <c r="N151" s="21"/>
      <c r="O151" s="28"/>
      <c r="P151" s="37"/>
      <c r="Q151" s="21"/>
      <c r="R151" s="21"/>
      <c r="S151" s="47"/>
      <c r="T151" s="25">
        <f t="shared" si="7"/>
        <v>0</v>
      </c>
      <c r="U151" s="25" t="str">
        <f>IF('PART III-DEMOGRAPHICS'!Q161="","",'PART III-DEMOGRAPHICS'!Q161)</f>
        <v/>
      </c>
    </row>
    <row r="152" spans="1:21" ht="33.6" customHeight="1">
      <c r="A152" s="25" t="str">
        <f>IF('PART III-DEMOGRAPHICS'!A162="","",'PART III-DEMOGRAPHICS'!A162)</f>
        <v/>
      </c>
      <c r="B152" s="28"/>
      <c r="C152" s="27"/>
      <c r="D152" s="28"/>
      <c r="E152" s="21"/>
      <c r="F152" s="36" t="str">
        <f t="shared" si="8"/>
        <v>Did Not</v>
      </c>
      <c r="G152" s="28"/>
      <c r="H152" s="28"/>
      <c r="I152" s="28"/>
      <c r="J152" s="28"/>
      <c r="K152" s="28"/>
      <c r="L152" s="28"/>
      <c r="M152" s="28"/>
      <c r="N152" s="21"/>
      <c r="O152" s="28"/>
      <c r="P152" s="37"/>
      <c r="Q152" s="21"/>
      <c r="R152" s="21"/>
      <c r="S152" s="47"/>
      <c r="T152" s="25">
        <f t="shared" si="7"/>
        <v>0</v>
      </c>
      <c r="U152" s="25" t="str">
        <f>IF('PART III-DEMOGRAPHICS'!Q162="","",'PART III-DEMOGRAPHICS'!Q162)</f>
        <v/>
      </c>
    </row>
    <row r="153" spans="1:21" ht="33.6" customHeight="1">
      <c r="A153" s="25" t="str">
        <f>IF('PART III-DEMOGRAPHICS'!A163="","",'PART III-DEMOGRAPHICS'!A163)</f>
        <v/>
      </c>
      <c r="B153" s="28"/>
      <c r="C153" s="27"/>
      <c r="D153" s="28"/>
      <c r="E153" s="21"/>
      <c r="F153" s="36" t="str">
        <f t="shared" si="8"/>
        <v>Did Not</v>
      </c>
      <c r="G153" s="28"/>
      <c r="H153" s="28"/>
      <c r="I153" s="28"/>
      <c r="J153" s="28"/>
      <c r="K153" s="28"/>
      <c r="L153" s="28"/>
      <c r="M153" s="28"/>
      <c r="N153" s="21"/>
      <c r="O153" s="28"/>
      <c r="P153" s="37"/>
      <c r="Q153" s="21"/>
      <c r="R153" s="21"/>
      <c r="S153" s="47"/>
      <c r="T153" s="25">
        <f t="shared" si="7"/>
        <v>0</v>
      </c>
      <c r="U153" s="25" t="str">
        <f>IF('PART III-DEMOGRAPHICS'!Q163="","",'PART III-DEMOGRAPHICS'!Q163)</f>
        <v/>
      </c>
    </row>
    <row r="154" spans="1:21" ht="33.6" customHeight="1">
      <c r="A154" s="25" t="str">
        <f>IF('PART III-DEMOGRAPHICS'!A164="","",'PART III-DEMOGRAPHICS'!A164)</f>
        <v/>
      </c>
      <c r="B154" s="28"/>
      <c r="C154" s="27"/>
      <c r="D154" s="28"/>
      <c r="E154" s="21"/>
      <c r="F154" s="36" t="str">
        <f t="shared" si="8"/>
        <v>Did Not</v>
      </c>
      <c r="G154" s="28"/>
      <c r="H154" s="28"/>
      <c r="I154" s="28"/>
      <c r="J154" s="28"/>
      <c r="K154" s="28"/>
      <c r="L154" s="28"/>
      <c r="M154" s="28"/>
      <c r="N154" s="21"/>
      <c r="O154" s="28"/>
      <c r="P154" s="37"/>
      <c r="Q154" s="21"/>
      <c r="R154" s="21"/>
      <c r="S154" s="47"/>
      <c r="T154" s="25">
        <f t="shared" si="7"/>
        <v>0</v>
      </c>
      <c r="U154" s="25" t="str">
        <f>IF('PART III-DEMOGRAPHICS'!Q164="","",'PART III-DEMOGRAPHICS'!Q164)</f>
        <v/>
      </c>
    </row>
    <row r="155" spans="1:21" ht="33.6" customHeight="1">
      <c r="A155" s="25" t="str">
        <f>IF('PART III-DEMOGRAPHICS'!A165="","",'PART III-DEMOGRAPHICS'!A165)</f>
        <v/>
      </c>
      <c r="B155" s="28"/>
      <c r="C155" s="27"/>
      <c r="D155" s="28"/>
      <c r="E155" s="21"/>
      <c r="F155" s="36" t="str">
        <f t="shared" si="8"/>
        <v>Did Not</v>
      </c>
      <c r="G155" s="28"/>
      <c r="H155" s="28"/>
      <c r="I155" s="28"/>
      <c r="J155" s="28"/>
      <c r="K155" s="28"/>
      <c r="L155" s="28"/>
      <c r="M155" s="28"/>
      <c r="N155" s="21"/>
      <c r="O155" s="28"/>
      <c r="P155" s="37"/>
      <c r="Q155" s="21"/>
      <c r="R155" s="21"/>
      <c r="S155" s="47"/>
      <c r="T155" s="25">
        <f t="shared" si="7"/>
        <v>0</v>
      </c>
      <c r="U155" s="25" t="str">
        <f>IF('PART III-DEMOGRAPHICS'!Q165="","",'PART III-DEMOGRAPHICS'!Q165)</f>
        <v/>
      </c>
    </row>
    <row r="156" spans="1:21" ht="33.6" customHeight="1">
      <c r="A156" s="25" t="str">
        <f>IF('PART III-DEMOGRAPHICS'!A166="","",'PART III-DEMOGRAPHICS'!A166)</f>
        <v/>
      </c>
      <c r="B156" s="28"/>
      <c r="C156" s="27"/>
      <c r="D156" s="28"/>
      <c r="E156" s="21"/>
      <c r="F156" s="36" t="str">
        <f t="shared" si="8"/>
        <v>Did Not</v>
      </c>
      <c r="G156" s="28"/>
      <c r="H156" s="28"/>
      <c r="I156" s="28"/>
      <c r="J156" s="28"/>
      <c r="K156" s="28"/>
      <c r="L156" s="28"/>
      <c r="M156" s="28"/>
      <c r="N156" s="21"/>
      <c r="O156" s="28"/>
      <c r="P156" s="37"/>
      <c r="Q156" s="21"/>
      <c r="R156" s="21"/>
      <c r="S156" s="47"/>
      <c r="T156" s="25">
        <f t="shared" si="7"/>
        <v>0</v>
      </c>
      <c r="U156" s="25" t="str">
        <f>IF('PART III-DEMOGRAPHICS'!Q166="","",'PART III-DEMOGRAPHICS'!Q166)</f>
        <v/>
      </c>
    </row>
    <row r="157" spans="1:21" ht="33.6" customHeight="1">
      <c r="A157" s="25" t="str">
        <f>IF('PART III-DEMOGRAPHICS'!A167="","",'PART III-DEMOGRAPHICS'!A167)</f>
        <v/>
      </c>
      <c r="B157" s="28"/>
      <c r="C157" s="27"/>
      <c r="D157" s="28"/>
      <c r="E157" s="21"/>
      <c r="F157" s="36" t="str">
        <f t="shared" si="8"/>
        <v>Did Not</v>
      </c>
      <c r="G157" s="28"/>
      <c r="H157" s="28"/>
      <c r="I157" s="28"/>
      <c r="J157" s="28"/>
      <c r="K157" s="28"/>
      <c r="L157" s="28"/>
      <c r="M157" s="28"/>
      <c r="N157" s="21"/>
      <c r="O157" s="28"/>
      <c r="P157" s="37"/>
      <c r="Q157" s="21"/>
      <c r="R157" s="21"/>
      <c r="S157" s="47"/>
      <c r="T157" s="25">
        <f t="shared" si="7"/>
        <v>0</v>
      </c>
      <c r="U157" s="25" t="str">
        <f>IF('PART III-DEMOGRAPHICS'!Q167="","",'PART III-DEMOGRAPHICS'!Q167)</f>
        <v/>
      </c>
    </row>
    <row r="158" spans="1:21" ht="33.6" customHeight="1">
      <c r="A158" s="25" t="str">
        <f>IF('PART III-DEMOGRAPHICS'!A168="","",'PART III-DEMOGRAPHICS'!A168)</f>
        <v/>
      </c>
      <c r="B158" s="28"/>
      <c r="C158" s="27"/>
      <c r="D158" s="28"/>
      <c r="E158" s="21"/>
      <c r="F158" s="36" t="str">
        <f t="shared" si="8"/>
        <v>Did Not</v>
      </c>
      <c r="G158" s="28"/>
      <c r="H158" s="28"/>
      <c r="I158" s="28"/>
      <c r="J158" s="28"/>
      <c r="K158" s="28"/>
      <c r="L158" s="28"/>
      <c r="M158" s="28"/>
      <c r="N158" s="21"/>
      <c r="O158" s="28"/>
      <c r="P158" s="37"/>
      <c r="Q158" s="21"/>
      <c r="R158" s="21"/>
      <c r="S158" s="47"/>
      <c r="T158" s="25">
        <f t="shared" si="7"/>
        <v>0</v>
      </c>
      <c r="U158" s="25" t="str">
        <f>IF('PART III-DEMOGRAPHICS'!Q168="","",'PART III-DEMOGRAPHICS'!Q168)</f>
        <v/>
      </c>
    </row>
    <row r="159" spans="1:21" ht="33.6" customHeight="1">
      <c r="A159" s="25" t="str">
        <f>IF('PART III-DEMOGRAPHICS'!A169="","",'PART III-DEMOGRAPHICS'!A169)</f>
        <v/>
      </c>
      <c r="B159" s="28"/>
      <c r="C159" s="27"/>
      <c r="D159" s="28"/>
      <c r="E159" s="21"/>
      <c r="F159" s="36" t="str">
        <f t="shared" si="8"/>
        <v>Did Not</v>
      </c>
      <c r="G159" s="28"/>
      <c r="H159" s="28"/>
      <c r="I159" s="28"/>
      <c r="J159" s="28"/>
      <c r="K159" s="28"/>
      <c r="L159" s="28"/>
      <c r="M159" s="28"/>
      <c r="N159" s="21"/>
      <c r="O159" s="28"/>
      <c r="P159" s="37"/>
      <c r="Q159" s="21"/>
      <c r="R159" s="21"/>
      <c r="S159" s="47"/>
      <c r="T159" s="25">
        <f t="shared" si="7"/>
        <v>0</v>
      </c>
      <c r="U159" s="25" t="str">
        <f>IF('PART III-DEMOGRAPHICS'!Q169="","",'PART III-DEMOGRAPHICS'!Q169)</f>
        <v/>
      </c>
    </row>
    <row r="160" spans="1:21" ht="33.6" customHeight="1">
      <c r="A160" s="25" t="str">
        <f>IF('PART III-DEMOGRAPHICS'!A170="","",'PART III-DEMOGRAPHICS'!A170)</f>
        <v/>
      </c>
      <c r="B160" s="28"/>
      <c r="C160" s="27"/>
      <c r="D160" s="28"/>
      <c r="E160" s="21"/>
      <c r="F160" s="36" t="str">
        <f t="shared" si="8"/>
        <v>Did Not</v>
      </c>
      <c r="G160" s="28"/>
      <c r="H160" s="28"/>
      <c r="I160" s="28"/>
      <c r="J160" s="28"/>
      <c r="K160" s="28"/>
      <c r="L160" s="28"/>
      <c r="M160" s="28"/>
      <c r="N160" s="21"/>
      <c r="O160" s="28"/>
      <c r="P160" s="37"/>
      <c r="Q160" s="21"/>
      <c r="R160" s="21"/>
      <c r="S160" s="47"/>
      <c r="T160" s="25">
        <f t="shared" si="7"/>
        <v>0</v>
      </c>
      <c r="U160" s="25" t="str">
        <f>IF('PART III-DEMOGRAPHICS'!Q170="","",'PART III-DEMOGRAPHICS'!Q170)</f>
        <v/>
      </c>
    </row>
    <row r="161" spans="1:21" ht="33.6" customHeight="1">
      <c r="A161" s="25" t="str">
        <f>IF('PART III-DEMOGRAPHICS'!A171="","",'PART III-DEMOGRAPHICS'!A171)</f>
        <v/>
      </c>
      <c r="B161" s="28"/>
      <c r="C161" s="27"/>
      <c r="D161" s="28"/>
      <c r="E161" s="21"/>
      <c r="F161" s="36" t="str">
        <f t="shared" si="8"/>
        <v>Did Not</v>
      </c>
      <c r="G161" s="28"/>
      <c r="H161" s="28"/>
      <c r="I161" s="28"/>
      <c r="J161" s="28"/>
      <c r="K161" s="28"/>
      <c r="L161" s="28"/>
      <c r="M161" s="28"/>
      <c r="N161" s="21"/>
      <c r="O161" s="28"/>
      <c r="P161" s="37"/>
      <c r="Q161" s="21"/>
      <c r="R161" s="21"/>
      <c r="S161" s="47"/>
      <c r="T161" s="25">
        <f t="shared" si="7"/>
        <v>0</v>
      </c>
      <c r="U161" s="25" t="str">
        <f>IF('PART III-DEMOGRAPHICS'!Q171="","",'PART III-DEMOGRAPHICS'!Q171)</f>
        <v/>
      </c>
    </row>
    <row r="162" spans="1:21" ht="33.6" customHeight="1">
      <c r="A162" s="25" t="str">
        <f>IF('PART III-DEMOGRAPHICS'!A172="","",'PART III-DEMOGRAPHICS'!A172)</f>
        <v/>
      </c>
      <c r="B162" s="28"/>
      <c r="C162" s="27"/>
      <c r="D162" s="28"/>
      <c r="E162" s="21"/>
      <c r="F162" s="36" t="str">
        <f t="shared" si="8"/>
        <v>Did Not</v>
      </c>
      <c r="G162" s="28"/>
      <c r="H162" s="28"/>
      <c r="I162" s="28"/>
      <c r="J162" s="28"/>
      <c r="K162" s="28"/>
      <c r="L162" s="28"/>
      <c r="M162" s="28"/>
      <c r="N162" s="21"/>
      <c r="O162" s="28"/>
      <c r="P162" s="37"/>
      <c r="Q162" s="21"/>
      <c r="R162" s="21"/>
      <c r="S162" s="47"/>
      <c r="T162" s="25">
        <f t="shared" si="7"/>
        <v>0</v>
      </c>
      <c r="U162" s="25" t="str">
        <f>IF('PART III-DEMOGRAPHICS'!Q172="","",'PART III-DEMOGRAPHICS'!Q172)</f>
        <v/>
      </c>
    </row>
    <row r="163" spans="1:21" ht="33.6" customHeight="1">
      <c r="A163" s="25" t="str">
        <f>IF('PART III-DEMOGRAPHICS'!A173="","",'PART III-DEMOGRAPHICS'!A173)</f>
        <v/>
      </c>
      <c r="B163" s="28"/>
      <c r="C163" s="27"/>
      <c r="D163" s="28"/>
      <c r="E163" s="21"/>
      <c r="F163" s="36" t="str">
        <f t="shared" si="8"/>
        <v>Did Not</v>
      </c>
      <c r="G163" s="28"/>
      <c r="H163" s="28"/>
      <c r="I163" s="28"/>
      <c r="J163" s="28"/>
      <c r="K163" s="28"/>
      <c r="L163" s="28"/>
      <c r="M163" s="28"/>
      <c r="N163" s="21"/>
      <c r="O163" s="28"/>
      <c r="P163" s="37"/>
      <c r="Q163" s="21"/>
      <c r="R163" s="21"/>
      <c r="S163" s="47"/>
      <c r="T163" s="25">
        <f t="shared" si="7"/>
        <v>0</v>
      </c>
      <c r="U163" s="25" t="str">
        <f>IF('PART III-DEMOGRAPHICS'!Q173="","",'PART III-DEMOGRAPHICS'!Q173)</f>
        <v/>
      </c>
    </row>
    <row r="164" spans="1:21" ht="33.6" customHeight="1">
      <c r="A164" s="25" t="str">
        <f>IF('PART III-DEMOGRAPHICS'!A174="","",'PART III-DEMOGRAPHICS'!A174)</f>
        <v/>
      </c>
      <c r="B164" s="28"/>
      <c r="C164" s="27"/>
      <c r="D164" s="28"/>
      <c r="E164" s="21"/>
      <c r="F164" s="36" t="str">
        <f t="shared" si="8"/>
        <v>Did Not</v>
      </c>
      <c r="G164" s="28"/>
      <c r="H164" s="28"/>
      <c r="I164" s="28"/>
      <c r="J164" s="28"/>
      <c r="K164" s="28"/>
      <c r="L164" s="28"/>
      <c r="M164" s="28"/>
      <c r="N164" s="21"/>
      <c r="O164" s="28"/>
      <c r="P164" s="37"/>
      <c r="Q164" s="21"/>
      <c r="R164" s="21"/>
      <c r="S164" s="47"/>
      <c r="T164" s="25">
        <f t="shared" si="7"/>
        <v>0</v>
      </c>
      <c r="U164" s="25" t="str">
        <f>IF('PART III-DEMOGRAPHICS'!Q174="","",'PART III-DEMOGRAPHICS'!Q174)</f>
        <v/>
      </c>
    </row>
    <row r="165" spans="1:21" ht="33.6" customHeight="1">
      <c r="A165" s="25" t="str">
        <f>IF('PART III-DEMOGRAPHICS'!A175="","",'PART III-DEMOGRAPHICS'!A175)</f>
        <v/>
      </c>
      <c r="B165" s="28"/>
      <c r="C165" s="27"/>
      <c r="D165" s="28"/>
      <c r="E165" s="21"/>
      <c r="F165" s="36" t="str">
        <f t="shared" si="8"/>
        <v>Did Not</v>
      </c>
      <c r="G165" s="28"/>
      <c r="H165" s="28"/>
      <c r="I165" s="28"/>
      <c r="J165" s="28"/>
      <c r="K165" s="28"/>
      <c r="L165" s="28"/>
      <c r="M165" s="28"/>
      <c r="N165" s="21"/>
      <c r="O165" s="28"/>
      <c r="P165" s="37"/>
      <c r="Q165" s="21"/>
      <c r="R165" s="21"/>
      <c r="S165" s="47"/>
      <c r="T165" s="25">
        <f t="shared" si="7"/>
        <v>0</v>
      </c>
      <c r="U165" s="25" t="str">
        <f>IF('PART III-DEMOGRAPHICS'!Q175="","",'PART III-DEMOGRAPHICS'!Q175)</f>
        <v/>
      </c>
    </row>
    <row r="166" spans="1:21" ht="33.6" customHeight="1">
      <c r="A166" s="25" t="str">
        <f>IF('PART III-DEMOGRAPHICS'!A176="","",'PART III-DEMOGRAPHICS'!A176)</f>
        <v/>
      </c>
      <c r="B166" s="28"/>
      <c r="C166" s="27"/>
      <c r="D166" s="28"/>
      <c r="E166" s="21"/>
      <c r="F166" s="36" t="str">
        <f t="shared" si="8"/>
        <v>Did Not</v>
      </c>
      <c r="G166" s="28"/>
      <c r="H166" s="28"/>
      <c r="I166" s="28"/>
      <c r="J166" s="28"/>
      <c r="K166" s="28"/>
      <c r="L166" s="28"/>
      <c r="M166" s="28"/>
      <c r="N166" s="21"/>
      <c r="O166" s="28"/>
      <c r="P166" s="37"/>
      <c r="Q166" s="21"/>
      <c r="R166" s="21"/>
      <c r="S166" s="47"/>
      <c r="T166" s="25">
        <f t="shared" si="7"/>
        <v>0</v>
      </c>
      <c r="U166" s="25" t="str">
        <f>IF('PART III-DEMOGRAPHICS'!Q176="","",'PART III-DEMOGRAPHICS'!Q176)</f>
        <v/>
      </c>
    </row>
    <row r="167" spans="1:21" ht="33.6" customHeight="1">
      <c r="A167" s="25" t="str">
        <f>IF('PART III-DEMOGRAPHICS'!A177="","",'PART III-DEMOGRAPHICS'!A177)</f>
        <v/>
      </c>
      <c r="B167" s="28"/>
      <c r="C167" s="27"/>
      <c r="D167" s="28"/>
      <c r="E167" s="21"/>
      <c r="F167" s="36" t="str">
        <f t="shared" si="8"/>
        <v>Did Not</v>
      </c>
      <c r="G167" s="28"/>
      <c r="H167" s="28"/>
      <c r="I167" s="28"/>
      <c r="J167" s="28"/>
      <c r="K167" s="28"/>
      <c r="L167" s="28"/>
      <c r="M167" s="28"/>
      <c r="N167" s="21"/>
      <c r="O167" s="28"/>
      <c r="P167" s="37"/>
      <c r="Q167" s="21"/>
      <c r="R167" s="21"/>
      <c r="S167" s="47"/>
      <c r="T167" s="25">
        <f t="shared" si="7"/>
        <v>0</v>
      </c>
      <c r="U167" s="25" t="str">
        <f>IF('PART III-DEMOGRAPHICS'!Q177="","",'PART III-DEMOGRAPHICS'!Q177)</f>
        <v/>
      </c>
    </row>
    <row r="168" spans="1:21" ht="33.6" customHeight="1">
      <c r="A168" s="25" t="str">
        <f>IF('PART III-DEMOGRAPHICS'!A178="","",'PART III-DEMOGRAPHICS'!A178)</f>
        <v/>
      </c>
      <c r="B168" s="28"/>
      <c r="C168" s="27"/>
      <c r="D168" s="28"/>
      <c r="E168" s="21"/>
      <c r="F168" s="36" t="str">
        <f t="shared" si="8"/>
        <v>Did Not</v>
      </c>
      <c r="G168" s="28"/>
      <c r="H168" s="28"/>
      <c r="I168" s="28"/>
      <c r="J168" s="28"/>
      <c r="K168" s="28"/>
      <c r="L168" s="28"/>
      <c r="M168" s="28"/>
      <c r="N168" s="21"/>
      <c r="O168" s="28"/>
      <c r="P168" s="37"/>
      <c r="Q168" s="21"/>
      <c r="R168" s="21"/>
      <c r="S168" s="47"/>
      <c r="T168" s="25">
        <f t="shared" si="7"/>
        <v>0</v>
      </c>
      <c r="U168" s="25" t="str">
        <f>IF('PART III-DEMOGRAPHICS'!Q178="","",'PART III-DEMOGRAPHICS'!Q178)</f>
        <v/>
      </c>
    </row>
    <row r="169" spans="1:21" ht="33.6" customHeight="1">
      <c r="A169" s="25" t="str">
        <f>IF('PART III-DEMOGRAPHICS'!A179="","",'PART III-DEMOGRAPHICS'!A179)</f>
        <v/>
      </c>
      <c r="B169" s="28"/>
      <c r="C169" s="27"/>
      <c r="D169" s="28"/>
      <c r="E169" s="21"/>
      <c r="F169" s="36" t="str">
        <f t="shared" si="8"/>
        <v>Did Not</v>
      </c>
      <c r="G169" s="28"/>
      <c r="H169" s="28"/>
      <c r="I169" s="28"/>
      <c r="J169" s="28"/>
      <c r="K169" s="28"/>
      <c r="L169" s="28"/>
      <c r="M169" s="28"/>
      <c r="N169" s="21"/>
      <c r="O169" s="28"/>
      <c r="P169" s="37"/>
      <c r="Q169" s="21"/>
      <c r="R169" s="21"/>
      <c r="S169" s="47"/>
      <c r="T169" s="25">
        <f t="shared" si="7"/>
        <v>0</v>
      </c>
      <c r="U169" s="25" t="str">
        <f>IF('PART III-DEMOGRAPHICS'!Q179="","",'PART III-DEMOGRAPHICS'!Q179)</f>
        <v/>
      </c>
    </row>
    <row r="170" spans="1:21" ht="33.6" customHeight="1">
      <c r="A170" s="25" t="str">
        <f>IF('PART III-DEMOGRAPHICS'!A180="","",'PART III-DEMOGRAPHICS'!A180)</f>
        <v/>
      </c>
      <c r="B170" s="28"/>
      <c r="C170" s="27"/>
      <c r="D170" s="28"/>
      <c r="E170" s="21"/>
      <c r="F170" s="36" t="str">
        <f t="shared" si="8"/>
        <v>Did Not</v>
      </c>
      <c r="G170" s="28"/>
      <c r="H170" s="28"/>
      <c r="I170" s="28"/>
      <c r="J170" s="28"/>
      <c r="K170" s="28"/>
      <c r="L170" s="28"/>
      <c r="M170" s="28"/>
      <c r="N170" s="21"/>
      <c r="O170" s="28"/>
      <c r="P170" s="37"/>
      <c r="Q170" s="21"/>
      <c r="R170" s="21"/>
      <c r="S170" s="47"/>
      <c r="T170" s="25">
        <f t="shared" si="7"/>
        <v>0</v>
      </c>
      <c r="U170" s="25" t="str">
        <f>IF('PART III-DEMOGRAPHICS'!Q180="","",'PART III-DEMOGRAPHICS'!Q180)</f>
        <v/>
      </c>
    </row>
    <row r="171" spans="1:21" ht="33.6" customHeight="1">
      <c r="A171" s="25" t="str">
        <f>IF('PART III-DEMOGRAPHICS'!A181="","",'PART III-DEMOGRAPHICS'!A181)</f>
        <v/>
      </c>
      <c r="B171" s="28"/>
      <c r="C171" s="27"/>
      <c r="D171" s="28"/>
      <c r="E171" s="21"/>
      <c r="F171" s="36" t="str">
        <f t="shared" si="8"/>
        <v>Did Not</v>
      </c>
      <c r="G171" s="28"/>
      <c r="H171" s="28"/>
      <c r="I171" s="28"/>
      <c r="J171" s="28"/>
      <c r="K171" s="28"/>
      <c r="L171" s="28"/>
      <c r="M171" s="28"/>
      <c r="N171" s="21"/>
      <c r="O171" s="28"/>
      <c r="P171" s="37"/>
      <c r="Q171" s="21"/>
      <c r="R171" s="21"/>
      <c r="S171" s="47"/>
      <c r="T171" s="25">
        <f t="shared" si="7"/>
        <v>0</v>
      </c>
      <c r="U171" s="25" t="str">
        <f>IF('PART III-DEMOGRAPHICS'!Q181="","",'PART III-DEMOGRAPHICS'!Q181)</f>
        <v/>
      </c>
    </row>
    <row r="172" spans="1:21" ht="33.6" customHeight="1">
      <c r="A172" s="25" t="str">
        <f>IF('PART III-DEMOGRAPHICS'!A182="","",'PART III-DEMOGRAPHICS'!A182)</f>
        <v/>
      </c>
      <c r="B172" s="28"/>
      <c r="C172" s="27"/>
      <c r="D172" s="28"/>
      <c r="E172" s="21"/>
      <c r="F172" s="36" t="str">
        <f t="shared" si="8"/>
        <v>Did Not</v>
      </c>
      <c r="G172" s="28"/>
      <c r="H172" s="28"/>
      <c r="I172" s="28"/>
      <c r="J172" s="28"/>
      <c r="K172" s="28"/>
      <c r="L172" s="28"/>
      <c r="M172" s="28"/>
      <c r="N172" s="21"/>
      <c r="O172" s="28"/>
      <c r="P172" s="37"/>
      <c r="Q172" s="21"/>
      <c r="R172" s="21"/>
      <c r="S172" s="47"/>
      <c r="T172" s="25">
        <f t="shared" si="7"/>
        <v>0</v>
      </c>
      <c r="U172" s="25" t="str">
        <f>IF('PART III-DEMOGRAPHICS'!Q182="","",'PART III-DEMOGRAPHICS'!Q182)</f>
        <v/>
      </c>
    </row>
    <row r="173" spans="1:21" ht="33.6" customHeight="1">
      <c r="A173" s="25" t="str">
        <f>IF('PART III-DEMOGRAPHICS'!A183="","",'PART III-DEMOGRAPHICS'!A183)</f>
        <v/>
      </c>
      <c r="B173" s="28"/>
      <c r="C173" s="27"/>
      <c r="D173" s="28"/>
      <c r="E173" s="21"/>
      <c r="F173" s="36" t="str">
        <f t="shared" si="8"/>
        <v>Did Not</v>
      </c>
      <c r="G173" s="28"/>
      <c r="H173" s="28"/>
      <c r="I173" s="28"/>
      <c r="J173" s="28"/>
      <c r="K173" s="28"/>
      <c r="L173" s="28"/>
      <c r="M173" s="28"/>
      <c r="N173" s="21"/>
      <c r="O173" s="28"/>
      <c r="P173" s="37"/>
      <c r="Q173" s="21"/>
      <c r="R173" s="21"/>
      <c r="S173" s="47"/>
      <c r="T173" s="25">
        <f t="shared" si="7"/>
        <v>0</v>
      </c>
      <c r="U173" s="25" t="str">
        <f>IF('PART III-DEMOGRAPHICS'!Q183="","",'PART III-DEMOGRAPHICS'!Q183)</f>
        <v/>
      </c>
    </row>
    <row r="174" spans="1:21" ht="33.6" customHeight="1">
      <c r="A174" s="25" t="str">
        <f>IF('PART III-DEMOGRAPHICS'!A184="","",'PART III-DEMOGRAPHICS'!A184)</f>
        <v/>
      </c>
      <c r="B174" s="28"/>
      <c r="C174" s="27"/>
      <c r="D174" s="28"/>
      <c r="E174" s="21"/>
      <c r="F174" s="36" t="str">
        <f t="shared" si="8"/>
        <v>Did Not</v>
      </c>
      <c r="G174" s="28"/>
      <c r="H174" s="28"/>
      <c r="I174" s="28"/>
      <c r="J174" s="28"/>
      <c r="K174" s="28"/>
      <c r="L174" s="28"/>
      <c r="M174" s="28"/>
      <c r="N174" s="21"/>
      <c r="O174" s="28"/>
      <c r="P174" s="37"/>
      <c r="Q174" s="21"/>
      <c r="R174" s="21"/>
      <c r="S174" s="47"/>
      <c r="T174" s="25">
        <f t="shared" si="7"/>
        <v>0</v>
      </c>
      <c r="U174" s="25" t="str">
        <f>IF('PART III-DEMOGRAPHICS'!Q184="","",'PART III-DEMOGRAPHICS'!Q184)</f>
        <v/>
      </c>
    </row>
    <row r="175" spans="1:21" ht="33.6" customHeight="1">
      <c r="A175" s="25" t="str">
        <f>IF('PART III-DEMOGRAPHICS'!A185="","",'PART III-DEMOGRAPHICS'!A185)</f>
        <v/>
      </c>
      <c r="B175" s="28"/>
      <c r="C175" s="27"/>
      <c r="D175" s="28"/>
      <c r="E175" s="21"/>
      <c r="F175" s="36" t="str">
        <f t="shared" si="8"/>
        <v>Did Not</v>
      </c>
      <c r="G175" s="28"/>
      <c r="H175" s="28"/>
      <c r="I175" s="28"/>
      <c r="J175" s="28"/>
      <c r="K175" s="28"/>
      <c r="L175" s="28"/>
      <c r="M175" s="28"/>
      <c r="N175" s="21"/>
      <c r="O175" s="28"/>
      <c r="P175" s="37"/>
      <c r="Q175" s="21"/>
      <c r="R175" s="21"/>
      <c r="S175" s="47"/>
      <c r="T175" s="25">
        <f t="shared" si="7"/>
        <v>0</v>
      </c>
      <c r="U175" s="25" t="str">
        <f>IF('PART III-DEMOGRAPHICS'!Q185="","",'PART III-DEMOGRAPHICS'!Q185)</f>
        <v/>
      </c>
    </row>
    <row r="176" spans="1:21" ht="33.6" customHeight="1">
      <c r="A176" s="25" t="str">
        <f>IF('PART III-DEMOGRAPHICS'!A186="","",'PART III-DEMOGRAPHICS'!A186)</f>
        <v/>
      </c>
      <c r="B176" s="28"/>
      <c r="C176" s="27"/>
      <c r="D176" s="28"/>
      <c r="E176" s="21"/>
      <c r="F176" s="36" t="str">
        <f t="shared" si="8"/>
        <v>Did Not</v>
      </c>
      <c r="G176" s="28"/>
      <c r="H176" s="28"/>
      <c r="I176" s="28"/>
      <c r="J176" s="28"/>
      <c r="K176" s="28"/>
      <c r="L176" s="28"/>
      <c r="M176" s="28"/>
      <c r="N176" s="21"/>
      <c r="O176" s="28"/>
      <c r="P176" s="37"/>
      <c r="Q176" s="21"/>
      <c r="R176" s="21"/>
      <c r="S176" s="47"/>
      <c r="T176" s="25">
        <f t="shared" si="7"/>
        <v>0</v>
      </c>
      <c r="U176" s="25" t="str">
        <f>IF('PART III-DEMOGRAPHICS'!Q186="","",'PART III-DEMOGRAPHICS'!Q186)</f>
        <v/>
      </c>
    </row>
    <row r="177" spans="1:21" ht="33.6" customHeight="1">
      <c r="A177" s="25" t="str">
        <f>IF('PART III-DEMOGRAPHICS'!A187="","",'PART III-DEMOGRAPHICS'!A187)</f>
        <v/>
      </c>
      <c r="B177" s="28"/>
      <c r="C177" s="27"/>
      <c r="D177" s="28"/>
      <c r="E177" s="21"/>
      <c r="F177" s="36" t="str">
        <f t="shared" si="8"/>
        <v>Did Not</v>
      </c>
      <c r="G177" s="28"/>
      <c r="H177" s="28"/>
      <c r="I177" s="28"/>
      <c r="J177" s="28"/>
      <c r="K177" s="28"/>
      <c r="L177" s="28"/>
      <c r="M177" s="28"/>
      <c r="N177" s="21"/>
      <c r="O177" s="28"/>
      <c r="P177" s="37"/>
      <c r="Q177" s="21"/>
      <c r="R177" s="21"/>
      <c r="S177" s="47"/>
      <c r="T177" s="25">
        <f t="shared" si="7"/>
        <v>0</v>
      </c>
      <c r="U177" s="25" t="str">
        <f>IF('PART III-DEMOGRAPHICS'!Q187="","",'PART III-DEMOGRAPHICS'!Q187)</f>
        <v/>
      </c>
    </row>
    <row r="178" spans="1:21" ht="33.6" customHeight="1">
      <c r="A178" s="25" t="str">
        <f>IF('PART III-DEMOGRAPHICS'!A188="","",'PART III-DEMOGRAPHICS'!A188)</f>
        <v/>
      </c>
      <c r="B178" s="28"/>
      <c r="C178" s="27"/>
      <c r="D178" s="28"/>
      <c r="E178" s="21"/>
      <c r="F178" s="36" t="str">
        <f t="shared" si="8"/>
        <v>Did Not</v>
      </c>
      <c r="G178" s="28"/>
      <c r="H178" s="28"/>
      <c r="I178" s="28"/>
      <c r="J178" s="28"/>
      <c r="K178" s="28"/>
      <c r="L178" s="28"/>
      <c r="M178" s="28"/>
      <c r="N178" s="21"/>
      <c r="O178" s="28"/>
      <c r="P178" s="37"/>
      <c r="Q178" s="21"/>
      <c r="R178" s="21"/>
      <c r="S178" s="47"/>
      <c r="T178" s="25">
        <f t="shared" si="7"/>
        <v>0</v>
      </c>
      <c r="U178" s="25" t="str">
        <f>IF('PART III-DEMOGRAPHICS'!Q188="","",'PART III-DEMOGRAPHICS'!Q188)</f>
        <v/>
      </c>
    </row>
    <row r="179" spans="1:21" ht="33.6" customHeight="1">
      <c r="A179" s="25" t="str">
        <f>IF('PART III-DEMOGRAPHICS'!A189="","",'PART III-DEMOGRAPHICS'!A189)</f>
        <v/>
      </c>
      <c r="B179" s="28"/>
      <c r="C179" s="27"/>
      <c r="D179" s="28"/>
      <c r="E179" s="21"/>
      <c r="F179" s="36" t="str">
        <f t="shared" si="8"/>
        <v>Did Not</v>
      </c>
      <c r="G179" s="28"/>
      <c r="H179" s="28"/>
      <c r="I179" s="28"/>
      <c r="J179" s="28"/>
      <c r="K179" s="28"/>
      <c r="L179" s="28"/>
      <c r="M179" s="28"/>
      <c r="N179" s="21"/>
      <c r="O179" s="28"/>
      <c r="P179" s="37"/>
      <c r="Q179" s="21"/>
      <c r="R179" s="21"/>
      <c r="S179" s="47"/>
      <c r="T179" s="25">
        <f t="shared" si="7"/>
        <v>0</v>
      </c>
      <c r="U179" s="25" t="str">
        <f>IF('PART III-DEMOGRAPHICS'!Q189="","",'PART III-DEMOGRAPHICS'!Q189)</f>
        <v/>
      </c>
    </row>
    <row r="180" spans="1:21" ht="33.6" customHeight="1">
      <c r="A180" s="25" t="str">
        <f>IF('PART III-DEMOGRAPHICS'!A190="","",'PART III-DEMOGRAPHICS'!A190)</f>
        <v/>
      </c>
      <c r="B180" s="28"/>
      <c r="C180" s="27"/>
      <c r="D180" s="28"/>
      <c r="E180" s="21"/>
      <c r="F180" s="36" t="str">
        <f t="shared" si="8"/>
        <v>Did Not</v>
      </c>
      <c r="G180" s="28"/>
      <c r="H180" s="28"/>
      <c r="I180" s="28"/>
      <c r="J180" s="28"/>
      <c r="K180" s="28"/>
      <c r="L180" s="28"/>
      <c r="M180" s="28"/>
      <c r="N180" s="21"/>
      <c r="O180" s="28"/>
      <c r="P180" s="37"/>
      <c r="Q180" s="21"/>
      <c r="R180" s="21"/>
      <c r="S180" s="47"/>
      <c r="T180" s="25">
        <f t="shared" si="7"/>
        <v>0</v>
      </c>
      <c r="U180" s="25" t="str">
        <f>IF('PART III-DEMOGRAPHICS'!Q190="","",'PART III-DEMOGRAPHICS'!Q190)</f>
        <v/>
      </c>
    </row>
    <row r="181" spans="1:21" ht="33.6" customHeight="1">
      <c r="A181" s="25" t="str">
        <f>IF('PART III-DEMOGRAPHICS'!A191="","",'PART III-DEMOGRAPHICS'!A191)</f>
        <v/>
      </c>
      <c r="B181" s="28"/>
      <c r="C181" s="27"/>
      <c r="D181" s="28"/>
      <c r="E181" s="21"/>
      <c r="F181" s="36" t="str">
        <f t="shared" si="8"/>
        <v>Did Not</v>
      </c>
      <c r="G181" s="28"/>
      <c r="H181" s="28"/>
      <c r="I181" s="28"/>
      <c r="J181" s="28"/>
      <c r="K181" s="28"/>
      <c r="L181" s="28"/>
      <c r="M181" s="28"/>
      <c r="N181" s="21"/>
      <c r="O181" s="28"/>
      <c r="P181" s="37"/>
      <c r="Q181" s="21"/>
      <c r="R181" s="21"/>
      <c r="S181" s="47"/>
      <c r="T181" s="25">
        <f t="shared" si="7"/>
        <v>0</v>
      </c>
      <c r="U181" s="25" t="str">
        <f>IF('PART III-DEMOGRAPHICS'!Q191="","",'PART III-DEMOGRAPHICS'!Q191)</f>
        <v/>
      </c>
    </row>
    <row r="182" spans="1:21" ht="33.6" customHeight="1">
      <c r="A182" s="25" t="str">
        <f>IF('PART III-DEMOGRAPHICS'!A192="","",'PART III-DEMOGRAPHICS'!A192)</f>
        <v/>
      </c>
      <c r="B182" s="28"/>
      <c r="C182" s="27"/>
      <c r="D182" s="28"/>
      <c r="E182" s="21"/>
      <c r="F182" s="36" t="str">
        <f t="shared" si="8"/>
        <v>Did Not</v>
      </c>
      <c r="G182" s="28"/>
      <c r="H182" s="28"/>
      <c r="I182" s="28"/>
      <c r="J182" s="28"/>
      <c r="K182" s="28"/>
      <c r="L182" s="28"/>
      <c r="M182" s="28"/>
      <c r="N182" s="21"/>
      <c r="O182" s="28"/>
      <c r="P182" s="37"/>
      <c r="Q182" s="21"/>
      <c r="R182" s="21"/>
      <c r="S182" s="47"/>
      <c r="T182" s="25">
        <f t="shared" si="7"/>
        <v>0</v>
      </c>
      <c r="U182" s="25" t="str">
        <f>IF('PART III-DEMOGRAPHICS'!Q192="","",'PART III-DEMOGRAPHICS'!Q192)</f>
        <v/>
      </c>
    </row>
    <row r="183" spans="1:21" ht="33.6" customHeight="1">
      <c r="A183" s="25" t="str">
        <f>IF('PART III-DEMOGRAPHICS'!A193="","",'PART III-DEMOGRAPHICS'!A193)</f>
        <v/>
      </c>
      <c r="B183" s="28"/>
      <c r="C183" s="27"/>
      <c r="D183" s="28"/>
      <c r="E183" s="21"/>
      <c r="F183" s="36" t="str">
        <f t="shared" si="8"/>
        <v>Did Not</v>
      </c>
      <c r="G183" s="28"/>
      <c r="H183" s="28"/>
      <c r="I183" s="28"/>
      <c r="J183" s="28"/>
      <c r="K183" s="28"/>
      <c r="L183" s="28"/>
      <c r="M183" s="28"/>
      <c r="N183" s="21"/>
      <c r="O183" s="28"/>
      <c r="P183" s="37"/>
      <c r="Q183" s="21"/>
      <c r="R183" s="21"/>
      <c r="S183" s="47"/>
      <c r="T183" s="25">
        <f t="shared" si="7"/>
        <v>0</v>
      </c>
      <c r="U183" s="25" t="str">
        <f>IF('PART III-DEMOGRAPHICS'!Q193="","",'PART III-DEMOGRAPHICS'!Q193)</f>
        <v/>
      </c>
    </row>
    <row r="184" spans="1:21" ht="33.6" customHeight="1">
      <c r="A184" s="25" t="str">
        <f>IF('PART III-DEMOGRAPHICS'!A194="","",'PART III-DEMOGRAPHICS'!A194)</f>
        <v/>
      </c>
      <c r="B184" s="28"/>
      <c r="C184" s="27"/>
      <c r="D184" s="28"/>
      <c r="E184" s="21"/>
      <c r="F184" s="36" t="str">
        <f t="shared" si="8"/>
        <v>Did Not</v>
      </c>
      <c r="G184" s="28"/>
      <c r="H184" s="28"/>
      <c r="I184" s="28"/>
      <c r="J184" s="28"/>
      <c r="K184" s="28"/>
      <c r="L184" s="28"/>
      <c r="M184" s="28"/>
      <c r="N184" s="21"/>
      <c r="O184" s="28"/>
      <c r="P184" s="37"/>
      <c r="Q184" s="21"/>
      <c r="R184" s="21"/>
      <c r="S184" s="47"/>
      <c r="T184" s="25">
        <f t="shared" si="7"/>
        <v>0</v>
      </c>
      <c r="U184" s="25" t="str">
        <f>IF('PART III-DEMOGRAPHICS'!Q194="","",'PART III-DEMOGRAPHICS'!Q194)</f>
        <v/>
      </c>
    </row>
    <row r="185" spans="1:21" ht="33.6" customHeight="1">
      <c r="A185" s="25" t="str">
        <f>IF('PART III-DEMOGRAPHICS'!A195="","",'PART III-DEMOGRAPHICS'!A195)</f>
        <v/>
      </c>
      <c r="B185" s="28"/>
      <c r="C185" s="27"/>
      <c r="D185" s="28"/>
      <c r="E185" s="21"/>
      <c r="F185" s="36" t="str">
        <f t="shared" si="8"/>
        <v>Did Not</v>
      </c>
      <c r="G185" s="28"/>
      <c r="H185" s="28"/>
      <c r="I185" s="28"/>
      <c r="J185" s="28"/>
      <c r="K185" s="28"/>
      <c r="L185" s="28"/>
      <c r="M185" s="28"/>
      <c r="N185" s="21"/>
      <c r="O185" s="28"/>
      <c r="P185" s="37"/>
      <c r="Q185" s="21"/>
      <c r="R185" s="21"/>
      <c r="S185" s="47"/>
      <c r="T185" s="25">
        <f t="shared" si="7"/>
        <v>0</v>
      </c>
      <c r="U185" s="25" t="str">
        <f>IF('PART III-DEMOGRAPHICS'!Q195="","",'PART III-DEMOGRAPHICS'!Q195)</f>
        <v/>
      </c>
    </row>
    <row r="186" spans="1:21" ht="33.6" customHeight="1">
      <c r="A186" s="25" t="str">
        <f>IF('PART III-DEMOGRAPHICS'!A196="","",'PART III-DEMOGRAPHICS'!A196)</f>
        <v/>
      </c>
      <c r="B186" s="28"/>
      <c r="C186" s="27"/>
      <c r="D186" s="28"/>
      <c r="E186" s="21"/>
      <c r="F186" s="36" t="str">
        <f t="shared" si="8"/>
        <v>Did Not</v>
      </c>
      <c r="G186" s="28"/>
      <c r="H186" s="28"/>
      <c r="I186" s="28"/>
      <c r="J186" s="28"/>
      <c r="K186" s="28"/>
      <c r="L186" s="28"/>
      <c r="M186" s="28"/>
      <c r="N186" s="21"/>
      <c r="O186" s="28"/>
      <c r="P186" s="37"/>
      <c r="Q186" s="21"/>
      <c r="R186" s="21"/>
      <c r="S186" s="47"/>
      <c r="T186" s="25">
        <f t="shared" si="7"/>
        <v>0</v>
      </c>
      <c r="U186" s="25" t="str">
        <f>IF('PART III-DEMOGRAPHICS'!Q196="","",'PART III-DEMOGRAPHICS'!Q196)</f>
        <v/>
      </c>
    </row>
    <row r="187" spans="1:21" ht="33.6" customHeight="1">
      <c r="A187" s="25" t="str">
        <f>IF('PART III-DEMOGRAPHICS'!A197="","",'PART III-DEMOGRAPHICS'!A197)</f>
        <v/>
      </c>
      <c r="B187" s="28"/>
      <c r="C187" s="27"/>
      <c r="D187" s="28"/>
      <c r="E187" s="21"/>
      <c r="F187" s="36" t="str">
        <f t="shared" si="8"/>
        <v>Did Not</v>
      </c>
      <c r="G187" s="28"/>
      <c r="H187" s="28"/>
      <c r="I187" s="28"/>
      <c r="J187" s="28"/>
      <c r="K187" s="28"/>
      <c r="L187" s="28"/>
      <c r="M187" s="28"/>
      <c r="N187" s="21"/>
      <c r="O187" s="28"/>
      <c r="P187" s="37"/>
      <c r="Q187" s="21"/>
      <c r="R187" s="21"/>
      <c r="S187" s="47"/>
      <c r="T187" s="25">
        <f t="shared" si="7"/>
        <v>0</v>
      </c>
      <c r="U187" s="25" t="str">
        <f>IF('PART III-DEMOGRAPHICS'!Q197="","",'PART III-DEMOGRAPHICS'!Q197)</f>
        <v/>
      </c>
    </row>
    <row r="188" spans="1:21" ht="33.6" customHeight="1">
      <c r="A188" s="25" t="str">
        <f>IF('PART III-DEMOGRAPHICS'!A198="","",'PART III-DEMOGRAPHICS'!A198)</f>
        <v/>
      </c>
      <c r="B188" s="28"/>
      <c r="C188" s="27"/>
      <c r="D188" s="28"/>
      <c r="E188" s="21"/>
      <c r="F188" s="36" t="str">
        <f t="shared" si="8"/>
        <v>Did Not</v>
      </c>
      <c r="G188" s="28"/>
      <c r="H188" s="28"/>
      <c r="I188" s="28"/>
      <c r="J188" s="28"/>
      <c r="K188" s="28"/>
      <c r="L188" s="28"/>
      <c r="M188" s="28"/>
      <c r="N188" s="21"/>
      <c r="O188" s="28"/>
      <c r="P188" s="37"/>
      <c r="Q188" s="21"/>
      <c r="R188" s="21"/>
      <c r="S188" s="47"/>
      <c r="T188" s="25">
        <f t="shared" si="7"/>
        <v>0</v>
      </c>
      <c r="U188" s="25" t="str">
        <f>IF('PART III-DEMOGRAPHICS'!Q198="","",'PART III-DEMOGRAPHICS'!Q198)</f>
        <v/>
      </c>
    </row>
    <row r="189" spans="1:21" ht="33.6" customHeight="1">
      <c r="A189" s="25" t="str">
        <f>IF('PART III-DEMOGRAPHICS'!A199="","",'PART III-DEMOGRAPHICS'!A199)</f>
        <v/>
      </c>
      <c r="B189" s="28"/>
      <c r="C189" s="27"/>
      <c r="D189" s="28"/>
      <c r="E189" s="21"/>
      <c r="F189" s="36" t="str">
        <f t="shared" si="8"/>
        <v>Did Not</v>
      </c>
      <c r="G189" s="28"/>
      <c r="H189" s="28"/>
      <c r="I189" s="28"/>
      <c r="J189" s="28"/>
      <c r="K189" s="28"/>
      <c r="L189" s="28"/>
      <c r="M189" s="28"/>
      <c r="N189" s="21"/>
      <c r="O189" s="28"/>
      <c r="P189" s="37"/>
      <c r="Q189" s="21"/>
      <c r="R189" s="21"/>
      <c r="S189" s="47"/>
      <c r="T189" s="25">
        <f t="shared" si="7"/>
        <v>0</v>
      </c>
      <c r="U189" s="25" t="str">
        <f>IF('PART III-DEMOGRAPHICS'!Q199="","",'PART III-DEMOGRAPHICS'!Q199)</f>
        <v/>
      </c>
    </row>
    <row r="190" spans="1:21" ht="33.6" customHeight="1">
      <c r="A190" s="25" t="str">
        <f>IF('PART III-DEMOGRAPHICS'!A200="","",'PART III-DEMOGRAPHICS'!A200)</f>
        <v/>
      </c>
      <c r="B190" s="28"/>
      <c r="C190" s="27"/>
      <c r="D190" s="28"/>
      <c r="E190" s="21"/>
      <c r="F190" s="36" t="str">
        <f t="shared" si="8"/>
        <v>Did Not</v>
      </c>
      <c r="G190" s="28"/>
      <c r="H190" s="28"/>
      <c r="I190" s="28"/>
      <c r="J190" s="28"/>
      <c r="K190" s="28"/>
      <c r="L190" s="28"/>
      <c r="M190" s="28"/>
      <c r="N190" s="21"/>
      <c r="O190" s="28"/>
      <c r="P190" s="37"/>
      <c r="Q190" s="21"/>
      <c r="R190" s="21"/>
      <c r="S190" s="47"/>
      <c r="T190" s="25">
        <f t="shared" si="7"/>
        <v>0</v>
      </c>
      <c r="U190" s="25" t="str">
        <f>IF('PART III-DEMOGRAPHICS'!Q200="","",'PART III-DEMOGRAPHICS'!Q200)</f>
        <v/>
      </c>
    </row>
    <row r="191" spans="1:21" ht="33.6" customHeight="1">
      <c r="A191" s="25" t="str">
        <f>IF('PART III-DEMOGRAPHICS'!A201="","",'PART III-DEMOGRAPHICS'!A201)</f>
        <v/>
      </c>
      <c r="B191" s="28"/>
      <c r="C191" s="27"/>
      <c r="D191" s="28"/>
      <c r="E191" s="21"/>
      <c r="F191" s="36" t="str">
        <f t="shared" si="8"/>
        <v>Did Not</v>
      </c>
      <c r="G191" s="28"/>
      <c r="H191" s="28"/>
      <c r="I191" s="28"/>
      <c r="J191" s="28"/>
      <c r="K191" s="28"/>
      <c r="L191" s="28"/>
      <c r="M191" s="28"/>
      <c r="N191" s="21"/>
      <c r="O191" s="28"/>
      <c r="P191" s="37"/>
      <c r="Q191" s="21"/>
      <c r="R191" s="21"/>
      <c r="S191" s="47"/>
      <c r="T191" s="25">
        <f t="shared" si="7"/>
        <v>0</v>
      </c>
      <c r="U191" s="25" t="str">
        <f>IF('PART III-DEMOGRAPHICS'!Q201="","",'PART III-DEMOGRAPHICS'!Q201)</f>
        <v/>
      </c>
    </row>
    <row r="192" spans="1:21" ht="33.6" customHeight="1">
      <c r="A192" s="25" t="str">
        <f>IF('PART III-DEMOGRAPHICS'!A202="","",'PART III-DEMOGRAPHICS'!A202)</f>
        <v/>
      </c>
      <c r="B192" s="28"/>
      <c r="C192" s="27"/>
      <c r="D192" s="28"/>
      <c r="E192" s="21"/>
      <c r="F192" s="36" t="str">
        <f t="shared" si="8"/>
        <v>Did Not</v>
      </c>
      <c r="G192" s="28"/>
      <c r="H192" s="28"/>
      <c r="I192" s="28"/>
      <c r="J192" s="28"/>
      <c r="K192" s="28"/>
      <c r="L192" s="28"/>
      <c r="M192" s="28"/>
      <c r="N192" s="21"/>
      <c r="O192" s="28"/>
      <c r="P192" s="37"/>
      <c r="Q192" s="21"/>
      <c r="R192" s="21"/>
      <c r="S192" s="47"/>
      <c r="T192" s="25">
        <f t="shared" si="7"/>
        <v>0</v>
      </c>
      <c r="U192" s="25" t="str">
        <f>IF('PART III-DEMOGRAPHICS'!Q202="","",'PART III-DEMOGRAPHICS'!Q202)</f>
        <v/>
      </c>
    </row>
    <row r="193" spans="1:21" ht="33.6" customHeight="1">
      <c r="A193" s="25" t="str">
        <f>IF('PART III-DEMOGRAPHICS'!A203="","",'PART III-DEMOGRAPHICS'!A203)</f>
        <v/>
      </c>
      <c r="B193" s="28"/>
      <c r="C193" s="27"/>
      <c r="D193" s="28"/>
      <c r="E193" s="21"/>
      <c r="F193" s="36" t="str">
        <f t="shared" si="8"/>
        <v>Did Not</v>
      </c>
      <c r="G193" s="28"/>
      <c r="H193" s="28"/>
      <c r="I193" s="28"/>
      <c r="J193" s="28"/>
      <c r="K193" s="28"/>
      <c r="L193" s="28"/>
      <c r="M193" s="28"/>
      <c r="N193" s="21"/>
      <c r="O193" s="28"/>
      <c r="P193" s="37"/>
      <c r="Q193" s="21"/>
      <c r="R193" s="21"/>
      <c r="S193" s="47"/>
      <c r="T193" s="25">
        <f t="shared" si="7"/>
        <v>0</v>
      </c>
      <c r="U193" s="25" t="str">
        <f>IF('PART III-DEMOGRAPHICS'!Q203="","",'PART III-DEMOGRAPHICS'!Q203)</f>
        <v/>
      </c>
    </row>
    <row r="194" spans="1:21" ht="33.6" customHeight="1">
      <c r="A194" s="25" t="str">
        <f>IF('PART III-DEMOGRAPHICS'!A204="","",'PART III-DEMOGRAPHICS'!A204)</f>
        <v/>
      </c>
      <c r="B194" s="28"/>
      <c r="C194" s="27"/>
      <c r="D194" s="28"/>
      <c r="E194" s="21"/>
      <c r="F194" s="36" t="str">
        <f t="shared" si="8"/>
        <v>Did Not</v>
      </c>
      <c r="G194" s="28"/>
      <c r="H194" s="28"/>
      <c r="I194" s="28"/>
      <c r="J194" s="28"/>
      <c r="K194" s="28"/>
      <c r="L194" s="28"/>
      <c r="M194" s="28"/>
      <c r="N194" s="21"/>
      <c r="O194" s="28"/>
      <c r="P194" s="37"/>
      <c r="Q194" s="21"/>
      <c r="R194" s="21"/>
      <c r="S194" s="47"/>
      <c r="T194" s="25">
        <f t="shared" si="7"/>
        <v>0</v>
      </c>
      <c r="U194" s="25" t="str">
        <f>IF('PART III-DEMOGRAPHICS'!Q204="","",'PART III-DEMOGRAPHICS'!Q204)</f>
        <v/>
      </c>
    </row>
    <row r="195" spans="1:21" ht="33.6" customHeight="1">
      <c r="A195" s="25" t="str">
        <f>IF('PART III-DEMOGRAPHICS'!A205="","",'PART III-DEMOGRAPHICS'!A205)</f>
        <v/>
      </c>
      <c r="B195" s="28"/>
      <c r="C195" s="27"/>
      <c r="D195" s="28"/>
      <c r="E195" s="21"/>
      <c r="F195" s="36" t="str">
        <f t="shared" si="8"/>
        <v>Did Not</v>
      </c>
      <c r="G195" s="28"/>
      <c r="H195" s="28"/>
      <c r="I195" s="28"/>
      <c r="J195" s="28"/>
      <c r="K195" s="28"/>
      <c r="L195" s="28"/>
      <c r="M195" s="28"/>
      <c r="N195" s="21"/>
      <c r="O195" s="28"/>
      <c r="P195" s="37"/>
      <c r="Q195" s="21"/>
      <c r="R195" s="21"/>
      <c r="S195" s="47"/>
      <c r="T195" s="25">
        <f t="shared" si="7"/>
        <v>0</v>
      </c>
      <c r="U195" s="25" t="str">
        <f>IF('PART III-DEMOGRAPHICS'!Q205="","",'PART III-DEMOGRAPHICS'!Q205)</f>
        <v/>
      </c>
    </row>
    <row r="196" spans="1:21" ht="33.6" customHeight="1">
      <c r="A196" s="25" t="str">
        <f>IF('PART III-DEMOGRAPHICS'!A206="","",'PART III-DEMOGRAPHICS'!A206)</f>
        <v/>
      </c>
      <c r="B196" s="28"/>
      <c r="C196" s="27"/>
      <c r="D196" s="28"/>
      <c r="E196" s="21"/>
      <c r="F196" s="36" t="str">
        <f t="shared" si="8"/>
        <v>Did Not</v>
      </c>
      <c r="G196" s="28"/>
      <c r="H196" s="28"/>
      <c r="I196" s="28"/>
      <c r="J196" s="28"/>
      <c r="K196" s="28"/>
      <c r="L196" s="28"/>
      <c r="M196" s="28"/>
      <c r="N196" s="21"/>
      <c r="O196" s="28"/>
      <c r="P196" s="37"/>
      <c r="Q196" s="21"/>
      <c r="R196" s="21"/>
      <c r="S196" s="47"/>
      <c r="T196" s="25">
        <f t="shared" si="7"/>
        <v>0</v>
      </c>
      <c r="U196" s="25" t="str">
        <f>IF('PART III-DEMOGRAPHICS'!Q206="","",'PART III-DEMOGRAPHICS'!Q206)</f>
        <v/>
      </c>
    </row>
    <row r="197" spans="1:21" ht="33.6" customHeight="1">
      <c r="A197" s="25" t="str">
        <f>IF('PART III-DEMOGRAPHICS'!A207="","",'PART III-DEMOGRAPHICS'!A207)</f>
        <v/>
      </c>
      <c r="B197" s="28"/>
      <c r="C197" s="27"/>
      <c r="D197" s="28"/>
      <c r="E197" s="21"/>
      <c r="F197" s="36" t="str">
        <f t="shared" si="8"/>
        <v>Did Not</v>
      </c>
      <c r="G197" s="28"/>
      <c r="H197" s="28"/>
      <c r="I197" s="28"/>
      <c r="J197" s="28"/>
      <c r="K197" s="28"/>
      <c r="L197" s="28"/>
      <c r="M197" s="28"/>
      <c r="N197" s="21"/>
      <c r="O197" s="28"/>
      <c r="P197" s="37"/>
      <c r="Q197" s="21"/>
      <c r="R197" s="21"/>
      <c r="S197" s="47"/>
      <c r="T197" s="25">
        <f t="shared" si="7"/>
        <v>0</v>
      </c>
      <c r="U197" s="25" t="str">
        <f>IF('PART III-DEMOGRAPHICS'!Q207="","",'PART III-DEMOGRAPHICS'!Q207)</f>
        <v/>
      </c>
    </row>
    <row r="198" spans="1:21" ht="33.6" customHeight="1">
      <c r="A198" s="25" t="str">
        <f>IF('PART III-DEMOGRAPHICS'!A208="","",'PART III-DEMOGRAPHICS'!A208)</f>
        <v/>
      </c>
      <c r="B198" s="28"/>
      <c r="C198" s="27"/>
      <c r="D198" s="28"/>
      <c r="E198" s="21"/>
      <c r="F198" s="36" t="str">
        <f t="shared" si="8"/>
        <v>Did Not</v>
      </c>
      <c r="G198" s="28"/>
      <c r="H198" s="28"/>
      <c r="I198" s="28"/>
      <c r="J198" s="28"/>
      <c r="K198" s="28"/>
      <c r="L198" s="28"/>
      <c r="M198" s="28"/>
      <c r="N198" s="21"/>
      <c r="O198" s="28"/>
      <c r="P198" s="37"/>
      <c r="Q198" s="21"/>
      <c r="R198" s="21"/>
      <c r="S198" s="47"/>
      <c r="T198" s="25">
        <f t="shared" si="7"/>
        <v>0</v>
      </c>
      <c r="U198" s="25" t="str">
        <f>IF('PART III-DEMOGRAPHICS'!Q208="","",'PART III-DEMOGRAPHICS'!Q208)</f>
        <v/>
      </c>
    </row>
    <row r="199" spans="1:21" ht="33.6" customHeight="1">
      <c r="A199" s="25" t="str">
        <f>IF('PART III-DEMOGRAPHICS'!A209="","",'PART III-DEMOGRAPHICS'!A209)</f>
        <v/>
      </c>
      <c r="B199" s="28"/>
      <c r="C199" s="27"/>
      <c r="D199" s="28"/>
      <c r="E199" s="21"/>
      <c r="F199" s="36" t="str">
        <f t="shared" si="8"/>
        <v>Did Not</v>
      </c>
      <c r="G199" s="28"/>
      <c r="H199" s="28"/>
      <c r="I199" s="28"/>
      <c r="J199" s="28"/>
      <c r="K199" s="28"/>
      <c r="L199" s="28"/>
      <c r="M199" s="28"/>
      <c r="N199" s="21"/>
      <c r="O199" s="28"/>
      <c r="P199" s="37"/>
      <c r="Q199" s="21"/>
      <c r="R199" s="21"/>
      <c r="S199" s="47"/>
      <c r="T199" s="25">
        <f t="shared" ref="T199:T262" si="9">COUNTIF(A199:R199,"Yes")</f>
        <v>0</v>
      </c>
      <c r="U199" s="25" t="str">
        <f>IF('PART III-DEMOGRAPHICS'!Q209="","",'PART III-DEMOGRAPHICS'!Q209)</f>
        <v/>
      </c>
    </row>
    <row r="200" spans="1:21" ht="33.6" customHeight="1">
      <c r="A200" s="25" t="str">
        <f>IF('PART III-DEMOGRAPHICS'!A210="","",'PART III-DEMOGRAPHICS'!A210)</f>
        <v/>
      </c>
      <c r="B200" s="28"/>
      <c r="C200" s="27"/>
      <c r="D200" s="28"/>
      <c r="E200" s="21"/>
      <c r="F200" s="36" t="str">
        <f t="shared" si="8"/>
        <v>Did Not</v>
      </c>
      <c r="G200" s="28"/>
      <c r="H200" s="28"/>
      <c r="I200" s="28"/>
      <c r="J200" s="28"/>
      <c r="K200" s="28"/>
      <c r="L200" s="28"/>
      <c r="M200" s="28"/>
      <c r="N200" s="21"/>
      <c r="O200" s="28"/>
      <c r="P200" s="37"/>
      <c r="Q200" s="21"/>
      <c r="R200" s="21"/>
      <c r="S200" s="47"/>
      <c r="T200" s="25">
        <f t="shared" si="9"/>
        <v>0</v>
      </c>
      <c r="U200" s="25" t="str">
        <f>IF('PART III-DEMOGRAPHICS'!Q210="","",'PART III-DEMOGRAPHICS'!Q210)</f>
        <v/>
      </c>
    </row>
    <row r="201" spans="1:21" ht="33.6" customHeight="1">
      <c r="A201" s="25" t="str">
        <f>IF('PART III-DEMOGRAPHICS'!A211="","",'PART III-DEMOGRAPHICS'!A211)</f>
        <v/>
      </c>
      <c r="B201" s="28"/>
      <c r="C201" s="27"/>
      <c r="D201" s="28"/>
      <c r="E201" s="21"/>
      <c r="F201" s="36" t="str">
        <f t="shared" si="8"/>
        <v>Did Not</v>
      </c>
      <c r="G201" s="28"/>
      <c r="H201" s="28"/>
      <c r="I201" s="28"/>
      <c r="J201" s="28"/>
      <c r="K201" s="28"/>
      <c r="L201" s="28"/>
      <c r="M201" s="28"/>
      <c r="N201" s="21"/>
      <c r="O201" s="28"/>
      <c r="P201" s="37"/>
      <c r="Q201" s="21"/>
      <c r="R201" s="21"/>
      <c r="S201" s="47"/>
      <c r="T201" s="25">
        <f t="shared" si="9"/>
        <v>0</v>
      </c>
      <c r="U201" s="25" t="str">
        <f>IF('PART III-DEMOGRAPHICS'!Q211="","",'PART III-DEMOGRAPHICS'!Q211)</f>
        <v/>
      </c>
    </row>
    <row r="202" spans="1:21" ht="33.6" customHeight="1">
      <c r="A202" s="25" t="str">
        <f>IF('PART III-DEMOGRAPHICS'!A212="","",'PART III-DEMOGRAPHICS'!A212)</f>
        <v/>
      </c>
      <c r="B202" s="28"/>
      <c r="C202" s="27"/>
      <c r="D202" s="28"/>
      <c r="E202" s="21"/>
      <c r="F202" s="36" t="str">
        <f t="shared" si="8"/>
        <v>Did Not</v>
      </c>
      <c r="G202" s="28"/>
      <c r="H202" s="28"/>
      <c r="I202" s="28"/>
      <c r="J202" s="28"/>
      <c r="K202" s="28"/>
      <c r="L202" s="28"/>
      <c r="M202" s="28"/>
      <c r="N202" s="21"/>
      <c r="O202" s="28"/>
      <c r="P202" s="37"/>
      <c r="Q202" s="21"/>
      <c r="R202" s="21"/>
      <c r="S202" s="47"/>
      <c r="T202" s="25">
        <f t="shared" si="9"/>
        <v>0</v>
      </c>
      <c r="U202" s="25" t="str">
        <f>IF('PART III-DEMOGRAPHICS'!Q212="","",'PART III-DEMOGRAPHICS'!Q212)</f>
        <v/>
      </c>
    </row>
    <row r="203" spans="1:21" ht="33.6" customHeight="1">
      <c r="A203" s="25" t="str">
        <f>IF('PART III-DEMOGRAPHICS'!A213="","",'PART III-DEMOGRAPHICS'!A213)</f>
        <v/>
      </c>
      <c r="B203" s="28"/>
      <c r="C203" s="27"/>
      <c r="D203" s="28"/>
      <c r="E203" s="21"/>
      <c r="F203" s="36" t="str">
        <f t="shared" si="8"/>
        <v>Did Not</v>
      </c>
      <c r="G203" s="28"/>
      <c r="H203" s="28"/>
      <c r="I203" s="28"/>
      <c r="J203" s="28"/>
      <c r="K203" s="28"/>
      <c r="L203" s="28"/>
      <c r="M203" s="28"/>
      <c r="N203" s="21"/>
      <c r="O203" s="28"/>
      <c r="P203" s="37"/>
      <c r="Q203" s="21"/>
      <c r="R203" s="21"/>
      <c r="S203" s="47"/>
      <c r="T203" s="25">
        <f t="shared" si="9"/>
        <v>0</v>
      </c>
      <c r="U203" s="25" t="str">
        <f>IF('PART III-DEMOGRAPHICS'!Q213="","",'PART III-DEMOGRAPHICS'!Q213)</f>
        <v/>
      </c>
    </row>
    <row r="204" spans="1:21" ht="33.6" customHeight="1">
      <c r="A204" s="25" t="str">
        <f>IF('PART III-DEMOGRAPHICS'!A214="","",'PART III-DEMOGRAPHICS'!A214)</f>
        <v/>
      </c>
      <c r="B204" s="28"/>
      <c r="C204" s="27"/>
      <c r="D204" s="28"/>
      <c r="E204" s="21"/>
      <c r="F204" s="36" t="str">
        <f t="shared" si="8"/>
        <v>Did Not</v>
      </c>
      <c r="G204" s="28"/>
      <c r="H204" s="28"/>
      <c r="I204" s="28"/>
      <c r="J204" s="28"/>
      <c r="K204" s="28"/>
      <c r="L204" s="28"/>
      <c r="M204" s="28"/>
      <c r="N204" s="21"/>
      <c r="O204" s="28"/>
      <c r="P204" s="37"/>
      <c r="Q204" s="21"/>
      <c r="R204" s="21"/>
      <c r="S204" s="47"/>
      <c r="T204" s="25">
        <f t="shared" si="9"/>
        <v>0</v>
      </c>
      <c r="U204" s="25" t="str">
        <f>IF('PART III-DEMOGRAPHICS'!Q214="","",'PART III-DEMOGRAPHICS'!Q214)</f>
        <v/>
      </c>
    </row>
    <row r="205" spans="1:21" ht="33.6" customHeight="1">
      <c r="A205" s="25" t="str">
        <f>IF('PART III-DEMOGRAPHICS'!A215="","",'PART III-DEMOGRAPHICS'!A215)</f>
        <v/>
      </c>
      <c r="B205" s="28"/>
      <c r="C205" s="27"/>
      <c r="D205" s="28"/>
      <c r="E205" s="21"/>
      <c r="F205" s="36" t="str">
        <f t="shared" si="8"/>
        <v>Did Not</v>
      </c>
      <c r="G205" s="28"/>
      <c r="H205" s="28"/>
      <c r="I205" s="28"/>
      <c r="J205" s="28"/>
      <c r="K205" s="28"/>
      <c r="L205" s="28"/>
      <c r="M205" s="28"/>
      <c r="N205" s="21"/>
      <c r="O205" s="28"/>
      <c r="P205" s="37"/>
      <c r="Q205" s="21"/>
      <c r="R205" s="21"/>
      <c r="S205" s="47"/>
      <c r="T205" s="25">
        <f t="shared" si="9"/>
        <v>0</v>
      </c>
      <c r="U205" s="25" t="str">
        <f>IF('PART III-DEMOGRAPHICS'!Q215="","",'PART III-DEMOGRAPHICS'!Q215)</f>
        <v/>
      </c>
    </row>
    <row r="206" spans="1:21" ht="33.6" customHeight="1">
      <c r="A206" s="25" t="str">
        <f>IF('PART III-DEMOGRAPHICS'!A216="","",'PART III-DEMOGRAPHICS'!A216)</f>
        <v/>
      </c>
      <c r="B206" s="28"/>
      <c r="C206" s="27"/>
      <c r="D206" s="28"/>
      <c r="E206" s="21"/>
      <c r="F206" s="36" t="str">
        <f t="shared" ref="F206:F269" si="10">IF(OR(G206="Yes",H206="Yes",I206="Yes",J206="Yes",K206="Yes",L206="Yes",M206="Yes"),"Did","Did Not")</f>
        <v>Did Not</v>
      </c>
      <c r="G206" s="28"/>
      <c r="H206" s="28"/>
      <c r="I206" s="28"/>
      <c r="J206" s="28"/>
      <c r="K206" s="28"/>
      <c r="L206" s="28"/>
      <c r="M206" s="28"/>
      <c r="N206" s="21"/>
      <c r="O206" s="28"/>
      <c r="P206" s="37"/>
      <c r="Q206" s="21"/>
      <c r="R206" s="21"/>
      <c r="S206" s="47"/>
      <c r="T206" s="25">
        <f t="shared" si="9"/>
        <v>0</v>
      </c>
      <c r="U206" s="25" t="str">
        <f>IF('PART III-DEMOGRAPHICS'!Q216="","",'PART III-DEMOGRAPHICS'!Q216)</f>
        <v/>
      </c>
    </row>
    <row r="207" spans="1:21" ht="33.6" customHeight="1">
      <c r="A207" s="25" t="str">
        <f>IF('PART III-DEMOGRAPHICS'!A217="","",'PART III-DEMOGRAPHICS'!A217)</f>
        <v/>
      </c>
      <c r="B207" s="28"/>
      <c r="C207" s="27"/>
      <c r="D207" s="28"/>
      <c r="E207" s="21"/>
      <c r="F207" s="36" t="str">
        <f t="shared" si="10"/>
        <v>Did Not</v>
      </c>
      <c r="G207" s="28"/>
      <c r="H207" s="28"/>
      <c r="I207" s="28"/>
      <c r="J207" s="28"/>
      <c r="K207" s="28"/>
      <c r="L207" s="28"/>
      <c r="M207" s="28"/>
      <c r="N207" s="21"/>
      <c r="O207" s="28"/>
      <c r="P207" s="37"/>
      <c r="Q207" s="21"/>
      <c r="R207" s="21"/>
      <c r="S207" s="47"/>
      <c r="T207" s="25">
        <f t="shared" si="9"/>
        <v>0</v>
      </c>
      <c r="U207" s="25" t="str">
        <f>IF('PART III-DEMOGRAPHICS'!Q217="","",'PART III-DEMOGRAPHICS'!Q217)</f>
        <v/>
      </c>
    </row>
    <row r="208" spans="1:21" ht="33.6" customHeight="1">
      <c r="A208" s="25" t="str">
        <f>IF('PART III-DEMOGRAPHICS'!A218="","",'PART III-DEMOGRAPHICS'!A218)</f>
        <v/>
      </c>
      <c r="B208" s="28"/>
      <c r="C208" s="27"/>
      <c r="D208" s="28"/>
      <c r="E208" s="21"/>
      <c r="F208" s="36" t="str">
        <f t="shared" si="10"/>
        <v>Did Not</v>
      </c>
      <c r="G208" s="28"/>
      <c r="H208" s="28"/>
      <c r="I208" s="28"/>
      <c r="J208" s="28"/>
      <c r="K208" s="28"/>
      <c r="L208" s="28"/>
      <c r="M208" s="28"/>
      <c r="N208" s="21"/>
      <c r="O208" s="28"/>
      <c r="P208" s="37"/>
      <c r="Q208" s="21"/>
      <c r="R208" s="21"/>
      <c r="S208" s="47"/>
      <c r="T208" s="25">
        <f t="shared" si="9"/>
        <v>0</v>
      </c>
      <c r="U208" s="25" t="str">
        <f>IF('PART III-DEMOGRAPHICS'!Q218="","",'PART III-DEMOGRAPHICS'!Q218)</f>
        <v/>
      </c>
    </row>
    <row r="209" spans="1:21" ht="33.6" customHeight="1">
      <c r="A209" s="25" t="str">
        <f>IF('PART III-DEMOGRAPHICS'!A219="","",'PART III-DEMOGRAPHICS'!A219)</f>
        <v/>
      </c>
      <c r="B209" s="28"/>
      <c r="C209" s="27"/>
      <c r="D209" s="28"/>
      <c r="E209" s="21"/>
      <c r="F209" s="36" t="str">
        <f t="shared" si="10"/>
        <v>Did Not</v>
      </c>
      <c r="G209" s="28"/>
      <c r="H209" s="28"/>
      <c r="I209" s="28"/>
      <c r="J209" s="28"/>
      <c r="K209" s="28"/>
      <c r="L209" s="28"/>
      <c r="M209" s="28"/>
      <c r="N209" s="21"/>
      <c r="O209" s="28"/>
      <c r="P209" s="37"/>
      <c r="Q209" s="21"/>
      <c r="R209" s="21"/>
      <c r="S209" s="47"/>
      <c r="T209" s="25">
        <f t="shared" si="9"/>
        <v>0</v>
      </c>
      <c r="U209" s="25" t="str">
        <f>IF('PART III-DEMOGRAPHICS'!Q219="","",'PART III-DEMOGRAPHICS'!Q219)</f>
        <v/>
      </c>
    </row>
    <row r="210" spans="1:21" ht="33.6" customHeight="1">
      <c r="A210" s="25" t="str">
        <f>IF('PART III-DEMOGRAPHICS'!A220="","",'PART III-DEMOGRAPHICS'!A220)</f>
        <v/>
      </c>
      <c r="B210" s="28"/>
      <c r="C210" s="27"/>
      <c r="D210" s="28"/>
      <c r="E210" s="21"/>
      <c r="F210" s="36" t="str">
        <f t="shared" si="10"/>
        <v>Did Not</v>
      </c>
      <c r="G210" s="28"/>
      <c r="H210" s="28"/>
      <c r="I210" s="28"/>
      <c r="J210" s="28"/>
      <c r="K210" s="28"/>
      <c r="L210" s="28"/>
      <c r="M210" s="28"/>
      <c r="N210" s="21"/>
      <c r="O210" s="28"/>
      <c r="P210" s="37"/>
      <c r="Q210" s="21"/>
      <c r="R210" s="21"/>
      <c r="S210" s="47"/>
      <c r="T210" s="25">
        <f t="shared" si="9"/>
        <v>0</v>
      </c>
      <c r="U210" s="25" t="str">
        <f>IF('PART III-DEMOGRAPHICS'!Q220="","",'PART III-DEMOGRAPHICS'!Q220)</f>
        <v/>
      </c>
    </row>
    <row r="211" spans="1:21" ht="33.6" customHeight="1">
      <c r="A211" s="25" t="str">
        <f>IF('PART III-DEMOGRAPHICS'!A221="","",'PART III-DEMOGRAPHICS'!A221)</f>
        <v/>
      </c>
      <c r="B211" s="28"/>
      <c r="C211" s="27"/>
      <c r="D211" s="28"/>
      <c r="E211" s="21"/>
      <c r="F211" s="36" t="str">
        <f t="shared" si="10"/>
        <v>Did Not</v>
      </c>
      <c r="G211" s="28"/>
      <c r="H211" s="28"/>
      <c r="I211" s="28"/>
      <c r="J211" s="28"/>
      <c r="K211" s="28"/>
      <c r="L211" s="28"/>
      <c r="M211" s="28"/>
      <c r="N211" s="21"/>
      <c r="O211" s="28"/>
      <c r="P211" s="37"/>
      <c r="Q211" s="21"/>
      <c r="R211" s="21"/>
      <c r="S211" s="47"/>
      <c r="T211" s="25">
        <f t="shared" si="9"/>
        <v>0</v>
      </c>
      <c r="U211" s="25" t="str">
        <f>IF('PART III-DEMOGRAPHICS'!Q221="","",'PART III-DEMOGRAPHICS'!Q221)</f>
        <v/>
      </c>
    </row>
    <row r="212" spans="1:21" ht="33.6" customHeight="1">
      <c r="A212" s="25" t="str">
        <f>IF('PART III-DEMOGRAPHICS'!A222="","",'PART III-DEMOGRAPHICS'!A222)</f>
        <v/>
      </c>
      <c r="B212" s="28"/>
      <c r="C212" s="27"/>
      <c r="D212" s="28"/>
      <c r="E212" s="21"/>
      <c r="F212" s="36" t="str">
        <f t="shared" si="10"/>
        <v>Did Not</v>
      </c>
      <c r="G212" s="28"/>
      <c r="H212" s="28"/>
      <c r="I212" s="28"/>
      <c r="J212" s="28"/>
      <c r="K212" s="28"/>
      <c r="L212" s="28"/>
      <c r="M212" s="28"/>
      <c r="N212" s="21"/>
      <c r="O212" s="28"/>
      <c r="P212" s="37"/>
      <c r="Q212" s="21"/>
      <c r="R212" s="21"/>
      <c r="S212" s="47"/>
      <c r="T212" s="25">
        <f t="shared" si="9"/>
        <v>0</v>
      </c>
      <c r="U212" s="25" t="str">
        <f>IF('PART III-DEMOGRAPHICS'!Q222="","",'PART III-DEMOGRAPHICS'!Q222)</f>
        <v/>
      </c>
    </row>
    <row r="213" spans="1:21" ht="33.6" customHeight="1">
      <c r="A213" s="25" t="str">
        <f>IF('PART III-DEMOGRAPHICS'!A223="","",'PART III-DEMOGRAPHICS'!A223)</f>
        <v/>
      </c>
      <c r="B213" s="28"/>
      <c r="C213" s="27"/>
      <c r="D213" s="28"/>
      <c r="E213" s="21"/>
      <c r="F213" s="36" t="str">
        <f t="shared" si="10"/>
        <v>Did Not</v>
      </c>
      <c r="G213" s="28"/>
      <c r="H213" s="28"/>
      <c r="I213" s="28"/>
      <c r="J213" s="28"/>
      <c r="K213" s="28"/>
      <c r="L213" s="28"/>
      <c r="M213" s="28"/>
      <c r="N213" s="21"/>
      <c r="O213" s="28"/>
      <c r="P213" s="37"/>
      <c r="Q213" s="21"/>
      <c r="R213" s="21"/>
      <c r="S213" s="47"/>
      <c r="T213" s="25">
        <f t="shared" si="9"/>
        <v>0</v>
      </c>
      <c r="U213" s="25" t="str">
        <f>IF('PART III-DEMOGRAPHICS'!Q223="","",'PART III-DEMOGRAPHICS'!Q223)</f>
        <v/>
      </c>
    </row>
    <row r="214" spans="1:21" ht="33.6" customHeight="1">
      <c r="A214" s="25" t="str">
        <f>IF('PART III-DEMOGRAPHICS'!A224="","",'PART III-DEMOGRAPHICS'!A224)</f>
        <v/>
      </c>
      <c r="B214" s="28"/>
      <c r="C214" s="27"/>
      <c r="D214" s="28"/>
      <c r="E214" s="21"/>
      <c r="F214" s="36" t="str">
        <f t="shared" si="10"/>
        <v>Did Not</v>
      </c>
      <c r="G214" s="28"/>
      <c r="H214" s="28"/>
      <c r="I214" s="28"/>
      <c r="J214" s="28"/>
      <c r="K214" s="28"/>
      <c r="L214" s="28"/>
      <c r="M214" s="28"/>
      <c r="N214" s="21"/>
      <c r="O214" s="28"/>
      <c r="P214" s="37"/>
      <c r="Q214" s="21"/>
      <c r="R214" s="21"/>
      <c r="S214" s="47"/>
      <c r="T214" s="25">
        <f t="shared" si="9"/>
        <v>0</v>
      </c>
      <c r="U214" s="25" t="str">
        <f>IF('PART III-DEMOGRAPHICS'!Q224="","",'PART III-DEMOGRAPHICS'!Q224)</f>
        <v/>
      </c>
    </row>
    <row r="215" spans="1:21" ht="33.6" customHeight="1">
      <c r="A215" s="25" t="str">
        <f>IF('PART III-DEMOGRAPHICS'!A225="","",'PART III-DEMOGRAPHICS'!A225)</f>
        <v/>
      </c>
      <c r="B215" s="28"/>
      <c r="C215" s="27"/>
      <c r="D215" s="28"/>
      <c r="E215" s="21"/>
      <c r="F215" s="36" t="str">
        <f t="shared" si="10"/>
        <v>Did Not</v>
      </c>
      <c r="G215" s="28"/>
      <c r="H215" s="28"/>
      <c r="I215" s="28"/>
      <c r="J215" s="28"/>
      <c r="K215" s="28"/>
      <c r="L215" s="28"/>
      <c r="M215" s="28"/>
      <c r="N215" s="21"/>
      <c r="O215" s="28"/>
      <c r="P215" s="37"/>
      <c r="Q215" s="21"/>
      <c r="R215" s="21"/>
      <c r="S215" s="47"/>
      <c r="T215" s="25">
        <f t="shared" si="9"/>
        <v>0</v>
      </c>
      <c r="U215" s="25" t="str">
        <f>IF('PART III-DEMOGRAPHICS'!Q225="","",'PART III-DEMOGRAPHICS'!Q225)</f>
        <v/>
      </c>
    </row>
    <row r="216" spans="1:21" ht="33.6" customHeight="1">
      <c r="A216" s="25" t="str">
        <f>IF('PART III-DEMOGRAPHICS'!A226="","",'PART III-DEMOGRAPHICS'!A226)</f>
        <v/>
      </c>
      <c r="B216" s="28"/>
      <c r="C216" s="27"/>
      <c r="D216" s="28"/>
      <c r="E216" s="21"/>
      <c r="F216" s="36" t="str">
        <f t="shared" si="10"/>
        <v>Did Not</v>
      </c>
      <c r="G216" s="28"/>
      <c r="H216" s="28"/>
      <c r="I216" s="28"/>
      <c r="J216" s="28"/>
      <c r="K216" s="28"/>
      <c r="L216" s="28"/>
      <c r="M216" s="28"/>
      <c r="N216" s="21"/>
      <c r="O216" s="28"/>
      <c r="P216" s="37"/>
      <c r="Q216" s="21"/>
      <c r="R216" s="21"/>
      <c r="S216" s="47"/>
      <c r="T216" s="25">
        <f t="shared" si="9"/>
        <v>0</v>
      </c>
      <c r="U216" s="25" t="str">
        <f>IF('PART III-DEMOGRAPHICS'!Q226="","",'PART III-DEMOGRAPHICS'!Q226)</f>
        <v/>
      </c>
    </row>
    <row r="217" spans="1:21" ht="33.6" customHeight="1">
      <c r="A217" s="25" t="str">
        <f>IF('PART III-DEMOGRAPHICS'!A227="","",'PART III-DEMOGRAPHICS'!A227)</f>
        <v/>
      </c>
      <c r="B217" s="28"/>
      <c r="C217" s="27"/>
      <c r="D217" s="28"/>
      <c r="E217" s="21"/>
      <c r="F217" s="36" t="str">
        <f t="shared" si="10"/>
        <v>Did Not</v>
      </c>
      <c r="G217" s="28"/>
      <c r="H217" s="28"/>
      <c r="I217" s="28"/>
      <c r="J217" s="28"/>
      <c r="K217" s="28"/>
      <c r="L217" s="28"/>
      <c r="M217" s="28"/>
      <c r="N217" s="21"/>
      <c r="O217" s="28"/>
      <c r="P217" s="37"/>
      <c r="Q217" s="21"/>
      <c r="R217" s="21"/>
      <c r="S217" s="47"/>
      <c r="T217" s="25">
        <f t="shared" si="9"/>
        <v>0</v>
      </c>
      <c r="U217" s="25" t="str">
        <f>IF('PART III-DEMOGRAPHICS'!Q227="","",'PART III-DEMOGRAPHICS'!Q227)</f>
        <v/>
      </c>
    </row>
    <row r="218" spans="1:21" ht="33.6" customHeight="1">
      <c r="A218" s="25" t="str">
        <f>IF('PART III-DEMOGRAPHICS'!A228="","",'PART III-DEMOGRAPHICS'!A228)</f>
        <v/>
      </c>
      <c r="B218" s="28"/>
      <c r="C218" s="27"/>
      <c r="D218" s="28"/>
      <c r="E218" s="21"/>
      <c r="F218" s="36" t="str">
        <f t="shared" si="10"/>
        <v>Did Not</v>
      </c>
      <c r="G218" s="28"/>
      <c r="H218" s="28"/>
      <c r="I218" s="28"/>
      <c r="J218" s="28"/>
      <c r="K218" s="28"/>
      <c r="L218" s="28"/>
      <c r="M218" s="28"/>
      <c r="N218" s="21"/>
      <c r="O218" s="28"/>
      <c r="P218" s="37"/>
      <c r="Q218" s="21"/>
      <c r="R218" s="21"/>
      <c r="S218" s="47"/>
      <c r="T218" s="25">
        <f t="shared" si="9"/>
        <v>0</v>
      </c>
      <c r="U218" s="25" t="str">
        <f>IF('PART III-DEMOGRAPHICS'!Q228="","",'PART III-DEMOGRAPHICS'!Q228)</f>
        <v/>
      </c>
    </row>
    <row r="219" spans="1:21" ht="33.6" customHeight="1">
      <c r="A219" s="25" t="str">
        <f>IF('PART III-DEMOGRAPHICS'!A229="","",'PART III-DEMOGRAPHICS'!A229)</f>
        <v/>
      </c>
      <c r="B219" s="28"/>
      <c r="C219" s="27"/>
      <c r="D219" s="28"/>
      <c r="E219" s="21"/>
      <c r="F219" s="36" t="str">
        <f t="shared" si="10"/>
        <v>Did Not</v>
      </c>
      <c r="G219" s="28"/>
      <c r="H219" s="28"/>
      <c r="I219" s="28"/>
      <c r="J219" s="28"/>
      <c r="K219" s="28"/>
      <c r="L219" s="28"/>
      <c r="M219" s="28"/>
      <c r="N219" s="21"/>
      <c r="O219" s="28"/>
      <c r="P219" s="37"/>
      <c r="Q219" s="21"/>
      <c r="R219" s="21"/>
      <c r="S219" s="47"/>
      <c r="T219" s="25">
        <f t="shared" si="9"/>
        <v>0</v>
      </c>
      <c r="U219" s="25" t="str">
        <f>IF('PART III-DEMOGRAPHICS'!Q229="","",'PART III-DEMOGRAPHICS'!Q229)</f>
        <v/>
      </c>
    </row>
    <row r="220" spans="1:21" ht="33.6" customHeight="1">
      <c r="A220" s="25" t="str">
        <f>IF('PART III-DEMOGRAPHICS'!A230="","",'PART III-DEMOGRAPHICS'!A230)</f>
        <v/>
      </c>
      <c r="B220" s="28"/>
      <c r="C220" s="27"/>
      <c r="D220" s="28"/>
      <c r="E220" s="21"/>
      <c r="F220" s="36" t="str">
        <f t="shared" si="10"/>
        <v>Did Not</v>
      </c>
      <c r="G220" s="28"/>
      <c r="H220" s="28"/>
      <c r="I220" s="28"/>
      <c r="J220" s="28"/>
      <c r="K220" s="28"/>
      <c r="L220" s="28"/>
      <c r="M220" s="28"/>
      <c r="N220" s="21"/>
      <c r="O220" s="28"/>
      <c r="P220" s="37"/>
      <c r="Q220" s="21"/>
      <c r="R220" s="21"/>
      <c r="S220" s="47"/>
      <c r="T220" s="25">
        <f t="shared" si="9"/>
        <v>0</v>
      </c>
      <c r="U220" s="25" t="str">
        <f>IF('PART III-DEMOGRAPHICS'!Q230="","",'PART III-DEMOGRAPHICS'!Q230)</f>
        <v/>
      </c>
    </row>
    <row r="221" spans="1:21" ht="33.6" customHeight="1">
      <c r="A221" s="25" t="str">
        <f>IF('PART III-DEMOGRAPHICS'!A231="","",'PART III-DEMOGRAPHICS'!A231)</f>
        <v/>
      </c>
      <c r="B221" s="28"/>
      <c r="C221" s="27"/>
      <c r="D221" s="28"/>
      <c r="E221" s="21"/>
      <c r="F221" s="36" t="str">
        <f t="shared" si="10"/>
        <v>Did Not</v>
      </c>
      <c r="G221" s="28"/>
      <c r="H221" s="28"/>
      <c r="I221" s="28"/>
      <c r="J221" s="28"/>
      <c r="K221" s="28"/>
      <c r="L221" s="28"/>
      <c r="M221" s="28"/>
      <c r="N221" s="21"/>
      <c r="O221" s="28"/>
      <c r="P221" s="37"/>
      <c r="Q221" s="21"/>
      <c r="R221" s="21"/>
      <c r="S221" s="47"/>
      <c r="T221" s="25">
        <f t="shared" si="9"/>
        <v>0</v>
      </c>
      <c r="U221" s="25" t="str">
        <f>IF('PART III-DEMOGRAPHICS'!Q231="","",'PART III-DEMOGRAPHICS'!Q231)</f>
        <v/>
      </c>
    </row>
    <row r="222" spans="1:21" ht="33.6" customHeight="1">
      <c r="A222" s="25" t="str">
        <f>IF('PART III-DEMOGRAPHICS'!A232="","",'PART III-DEMOGRAPHICS'!A232)</f>
        <v/>
      </c>
      <c r="B222" s="28"/>
      <c r="C222" s="27"/>
      <c r="D222" s="28"/>
      <c r="E222" s="21"/>
      <c r="F222" s="36" t="str">
        <f t="shared" si="10"/>
        <v>Did Not</v>
      </c>
      <c r="G222" s="28"/>
      <c r="H222" s="28"/>
      <c r="I222" s="28"/>
      <c r="J222" s="28"/>
      <c r="K222" s="28"/>
      <c r="L222" s="28"/>
      <c r="M222" s="28"/>
      <c r="N222" s="21"/>
      <c r="O222" s="28"/>
      <c r="P222" s="37"/>
      <c r="Q222" s="21"/>
      <c r="R222" s="21"/>
      <c r="S222" s="47"/>
      <c r="T222" s="25">
        <f t="shared" si="9"/>
        <v>0</v>
      </c>
      <c r="U222" s="25" t="str">
        <f>IF('PART III-DEMOGRAPHICS'!Q232="","",'PART III-DEMOGRAPHICS'!Q232)</f>
        <v/>
      </c>
    </row>
    <row r="223" spans="1:21" ht="33.6" customHeight="1">
      <c r="A223" s="25" t="str">
        <f>IF('PART III-DEMOGRAPHICS'!A233="","",'PART III-DEMOGRAPHICS'!A233)</f>
        <v/>
      </c>
      <c r="B223" s="28"/>
      <c r="C223" s="27"/>
      <c r="D223" s="28"/>
      <c r="E223" s="21"/>
      <c r="F223" s="36" t="str">
        <f t="shared" si="10"/>
        <v>Did Not</v>
      </c>
      <c r="G223" s="28"/>
      <c r="H223" s="28"/>
      <c r="I223" s="28"/>
      <c r="J223" s="28"/>
      <c r="K223" s="28"/>
      <c r="L223" s="28"/>
      <c r="M223" s="28"/>
      <c r="N223" s="21"/>
      <c r="O223" s="28"/>
      <c r="P223" s="37"/>
      <c r="Q223" s="21"/>
      <c r="R223" s="21"/>
      <c r="S223" s="47"/>
      <c r="T223" s="25">
        <f t="shared" si="9"/>
        <v>0</v>
      </c>
      <c r="U223" s="25" t="str">
        <f>IF('PART III-DEMOGRAPHICS'!Q233="","",'PART III-DEMOGRAPHICS'!Q233)</f>
        <v/>
      </c>
    </row>
    <row r="224" spans="1:21" ht="33.6" customHeight="1">
      <c r="A224" s="25" t="str">
        <f>IF('PART III-DEMOGRAPHICS'!A234="","",'PART III-DEMOGRAPHICS'!A234)</f>
        <v/>
      </c>
      <c r="B224" s="28"/>
      <c r="C224" s="27"/>
      <c r="D224" s="28"/>
      <c r="E224" s="21"/>
      <c r="F224" s="36" t="str">
        <f t="shared" si="10"/>
        <v>Did Not</v>
      </c>
      <c r="G224" s="28"/>
      <c r="H224" s="28"/>
      <c r="I224" s="28"/>
      <c r="J224" s="28"/>
      <c r="K224" s="28"/>
      <c r="L224" s="28"/>
      <c r="M224" s="28"/>
      <c r="N224" s="21"/>
      <c r="O224" s="28"/>
      <c r="P224" s="37"/>
      <c r="Q224" s="21"/>
      <c r="R224" s="21"/>
      <c r="S224" s="47"/>
      <c r="T224" s="25">
        <f t="shared" si="9"/>
        <v>0</v>
      </c>
      <c r="U224" s="25" t="str">
        <f>IF('PART III-DEMOGRAPHICS'!Q234="","",'PART III-DEMOGRAPHICS'!Q234)</f>
        <v/>
      </c>
    </row>
    <row r="225" spans="1:21" ht="33.6" customHeight="1">
      <c r="A225" s="25" t="str">
        <f>IF('PART III-DEMOGRAPHICS'!A235="","",'PART III-DEMOGRAPHICS'!A235)</f>
        <v/>
      </c>
      <c r="B225" s="28"/>
      <c r="C225" s="27"/>
      <c r="D225" s="28"/>
      <c r="E225" s="21"/>
      <c r="F225" s="36" t="str">
        <f t="shared" si="10"/>
        <v>Did Not</v>
      </c>
      <c r="G225" s="28"/>
      <c r="H225" s="28"/>
      <c r="I225" s="28"/>
      <c r="J225" s="28"/>
      <c r="K225" s="28"/>
      <c r="L225" s="28"/>
      <c r="M225" s="28"/>
      <c r="N225" s="21"/>
      <c r="O225" s="28"/>
      <c r="P225" s="37"/>
      <c r="Q225" s="21"/>
      <c r="R225" s="21"/>
      <c r="S225" s="47"/>
      <c r="T225" s="25">
        <f t="shared" si="9"/>
        <v>0</v>
      </c>
      <c r="U225" s="25" t="str">
        <f>IF('PART III-DEMOGRAPHICS'!Q235="","",'PART III-DEMOGRAPHICS'!Q235)</f>
        <v/>
      </c>
    </row>
    <row r="226" spans="1:21" ht="33.6" customHeight="1">
      <c r="A226" s="25" t="str">
        <f>IF('PART III-DEMOGRAPHICS'!A236="","",'PART III-DEMOGRAPHICS'!A236)</f>
        <v/>
      </c>
      <c r="B226" s="28"/>
      <c r="C226" s="27"/>
      <c r="D226" s="28"/>
      <c r="E226" s="21"/>
      <c r="F226" s="36" t="str">
        <f t="shared" si="10"/>
        <v>Did Not</v>
      </c>
      <c r="G226" s="28"/>
      <c r="H226" s="28"/>
      <c r="I226" s="28"/>
      <c r="J226" s="28"/>
      <c r="K226" s="28"/>
      <c r="L226" s="28"/>
      <c r="M226" s="28"/>
      <c r="N226" s="21"/>
      <c r="O226" s="28"/>
      <c r="P226" s="37"/>
      <c r="Q226" s="21"/>
      <c r="R226" s="21"/>
      <c r="S226" s="47"/>
      <c r="T226" s="25">
        <f t="shared" si="9"/>
        <v>0</v>
      </c>
      <c r="U226" s="25" t="str">
        <f>IF('PART III-DEMOGRAPHICS'!Q236="","",'PART III-DEMOGRAPHICS'!Q236)</f>
        <v/>
      </c>
    </row>
    <row r="227" spans="1:21" ht="33.6" customHeight="1">
      <c r="A227" s="25" t="str">
        <f>IF('PART III-DEMOGRAPHICS'!A237="","",'PART III-DEMOGRAPHICS'!A237)</f>
        <v/>
      </c>
      <c r="B227" s="28"/>
      <c r="C227" s="27"/>
      <c r="D227" s="28"/>
      <c r="E227" s="21"/>
      <c r="F227" s="36" t="str">
        <f t="shared" si="10"/>
        <v>Did Not</v>
      </c>
      <c r="G227" s="28"/>
      <c r="H227" s="28"/>
      <c r="I227" s="28"/>
      <c r="J227" s="28"/>
      <c r="K227" s="28"/>
      <c r="L227" s="28"/>
      <c r="M227" s="28"/>
      <c r="N227" s="21"/>
      <c r="O227" s="28"/>
      <c r="P227" s="37"/>
      <c r="Q227" s="21"/>
      <c r="R227" s="21"/>
      <c r="S227" s="47"/>
      <c r="T227" s="25">
        <f t="shared" si="9"/>
        <v>0</v>
      </c>
      <c r="U227" s="25" t="str">
        <f>IF('PART III-DEMOGRAPHICS'!Q237="","",'PART III-DEMOGRAPHICS'!Q237)</f>
        <v/>
      </c>
    </row>
    <row r="228" spans="1:21" ht="33.6" customHeight="1">
      <c r="A228" s="25" t="str">
        <f>IF('PART III-DEMOGRAPHICS'!A238="","",'PART III-DEMOGRAPHICS'!A238)</f>
        <v/>
      </c>
      <c r="B228" s="28"/>
      <c r="C228" s="27"/>
      <c r="D228" s="28"/>
      <c r="E228" s="21"/>
      <c r="F228" s="36" t="str">
        <f t="shared" si="10"/>
        <v>Did Not</v>
      </c>
      <c r="G228" s="28"/>
      <c r="H228" s="28"/>
      <c r="I228" s="28"/>
      <c r="J228" s="28"/>
      <c r="K228" s="28"/>
      <c r="L228" s="28"/>
      <c r="M228" s="28"/>
      <c r="N228" s="21"/>
      <c r="O228" s="28"/>
      <c r="P228" s="37"/>
      <c r="Q228" s="21"/>
      <c r="R228" s="21"/>
      <c r="S228" s="47"/>
      <c r="T228" s="25">
        <f t="shared" si="9"/>
        <v>0</v>
      </c>
      <c r="U228" s="25" t="str">
        <f>IF('PART III-DEMOGRAPHICS'!Q238="","",'PART III-DEMOGRAPHICS'!Q238)</f>
        <v/>
      </c>
    </row>
    <row r="229" spans="1:21" ht="33.6" customHeight="1">
      <c r="A229" s="25" t="str">
        <f>IF('PART III-DEMOGRAPHICS'!A239="","",'PART III-DEMOGRAPHICS'!A239)</f>
        <v/>
      </c>
      <c r="B229" s="28"/>
      <c r="C229" s="27"/>
      <c r="D229" s="28"/>
      <c r="E229" s="21"/>
      <c r="F229" s="36" t="str">
        <f t="shared" si="10"/>
        <v>Did Not</v>
      </c>
      <c r="G229" s="28"/>
      <c r="H229" s="28"/>
      <c r="I229" s="28"/>
      <c r="J229" s="28"/>
      <c r="K229" s="28"/>
      <c r="L229" s="28"/>
      <c r="M229" s="28"/>
      <c r="N229" s="21"/>
      <c r="O229" s="28"/>
      <c r="P229" s="37"/>
      <c r="Q229" s="21"/>
      <c r="R229" s="21"/>
      <c r="S229" s="47"/>
      <c r="T229" s="25">
        <f t="shared" si="9"/>
        <v>0</v>
      </c>
      <c r="U229" s="25" t="str">
        <f>IF('PART III-DEMOGRAPHICS'!Q239="","",'PART III-DEMOGRAPHICS'!Q239)</f>
        <v/>
      </c>
    </row>
    <row r="230" spans="1:21" ht="33.6" customHeight="1">
      <c r="A230" s="25" t="str">
        <f>IF('PART III-DEMOGRAPHICS'!A240="","",'PART III-DEMOGRAPHICS'!A240)</f>
        <v/>
      </c>
      <c r="B230" s="28"/>
      <c r="C230" s="27"/>
      <c r="D230" s="28"/>
      <c r="E230" s="21"/>
      <c r="F230" s="36" t="str">
        <f t="shared" si="10"/>
        <v>Did Not</v>
      </c>
      <c r="G230" s="28"/>
      <c r="H230" s="28"/>
      <c r="I230" s="28"/>
      <c r="J230" s="28"/>
      <c r="K230" s="28"/>
      <c r="L230" s="28"/>
      <c r="M230" s="28"/>
      <c r="N230" s="21"/>
      <c r="O230" s="28"/>
      <c r="P230" s="37"/>
      <c r="Q230" s="21"/>
      <c r="R230" s="21"/>
      <c r="S230" s="47"/>
      <c r="T230" s="25">
        <f t="shared" si="9"/>
        <v>0</v>
      </c>
      <c r="U230" s="25" t="str">
        <f>IF('PART III-DEMOGRAPHICS'!Q240="","",'PART III-DEMOGRAPHICS'!Q240)</f>
        <v/>
      </c>
    </row>
    <row r="231" spans="1:21" ht="33.6" customHeight="1">
      <c r="A231" s="25" t="str">
        <f>IF('PART III-DEMOGRAPHICS'!A241="","",'PART III-DEMOGRAPHICS'!A241)</f>
        <v/>
      </c>
      <c r="B231" s="28"/>
      <c r="C231" s="27"/>
      <c r="D231" s="28"/>
      <c r="E231" s="21"/>
      <c r="F231" s="36" t="str">
        <f t="shared" si="10"/>
        <v>Did Not</v>
      </c>
      <c r="G231" s="28"/>
      <c r="H231" s="28"/>
      <c r="I231" s="28"/>
      <c r="J231" s="28"/>
      <c r="K231" s="28"/>
      <c r="L231" s="28"/>
      <c r="M231" s="28"/>
      <c r="N231" s="21"/>
      <c r="O231" s="28"/>
      <c r="P231" s="37"/>
      <c r="Q231" s="21"/>
      <c r="R231" s="21"/>
      <c r="S231" s="47"/>
      <c r="T231" s="25">
        <f t="shared" si="9"/>
        <v>0</v>
      </c>
      <c r="U231" s="25" t="str">
        <f>IF('PART III-DEMOGRAPHICS'!Q241="","",'PART III-DEMOGRAPHICS'!Q241)</f>
        <v/>
      </c>
    </row>
    <row r="232" spans="1:21" ht="33.6" customHeight="1">
      <c r="A232" s="25" t="str">
        <f>IF('PART III-DEMOGRAPHICS'!A242="","",'PART III-DEMOGRAPHICS'!A242)</f>
        <v/>
      </c>
      <c r="B232" s="28"/>
      <c r="C232" s="27"/>
      <c r="D232" s="28"/>
      <c r="E232" s="21"/>
      <c r="F232" s="36" t="str">
        <f t="shared" si="10"/>
        <v>Did Not</v>
      </c>
      <c r="G232" s="28"/>
      <c r="H232" s="28"/>
      <c r="I232" s="28"/>
      <c r="J232" s="28"/>
      <c r="K232" s="28"/>
      <c r="L232" s="28"/>
      <c r="M232" s="28"/>
      <c r="N232" s="21"/>
      <c r="O232" s="28"/>
      <c r="P232" s="37"/>
      <c r="Q232" s="21"/>
      <c r="R232" s="21"/>
      <c r="S232" s="47"/>
      <c r="T232" s="25">
        <f t="shared" si="9"/>
        <v>0</v>
      </c>
      <c r="U232" s="25" t="str">
        <f>IF('PART III-DEMOGRAPHICS'!Q242="","",'PART III-DEMOGRAPHICS'!Q242)</f>
        <v/>
      </c>
    </row>
    <row r="233" spans="1:21" ht="33.6" customHeight="1">
      <c r="A233" s="25" t="str">
        <f>IF('PART III-DEMOGRAPHICS'!A243="","",'PART III-DEMOGRAPHICS'!A243)</f>
        <v/>
      </c>
      <c r="B233" s="28"/>
      <c r="C233" s="27"/>
      <c r="D233" s="28"/>
      <c r="E233" s="21"/>
      <c r="F233" s="36" t="str">
        <f t="shared" si="10"/>
        <v>Did Not</v>
      </c>
      <c r="G233" s="28"/>
      <c r="H233" s="28"/>
      <c r="I233" s="28"/>
      <c r="J233" s="28"/>
      <c r="K233" s="28"/>
      <c r="L233" s="28"/>
      <c r="M233" s="28"/>
      <c r="N233" s="21"/>
      <c r="O233" s="28"/>
      <c r="P233" s="37"/>
      <c r="Q233" s="21"/>
      <c r="R233" s="21"/>
      <c r="S233" s="47"/>
      <c r="T233" s="25">
        <f t="shared" si="9"/>
        <v>0</v>
      </c>
      <c r="U233" s="25" t="str">
        <f>IF('PART III-DEMOGRAPHICS'!Q243="","",'PART III-DEMOGRAPHICS'!Q243)</f>
        <v/>
      </c>
    </row>
    <row r="234" spans="1:21" ht="33.6" customHeight="1">
      <c r="A234" s="25" t="str">
        <f>IF('PART III-DEMOGRAPHICS'!A244="","",'PART III-DEMOGRAPHICS'!A244)</f>
        <v/>
      </c>
      <c r="B234" s="28"/>
      <c r="C234" s="27"/>
      <c r="D234" s="28"/>
      <c r="E234" s="21"/>
      <c r="F234" s="36" t="str">
        <f t="shared" si="10"/>
        <v>Did Not</v>
      </c>
      <c r="G234" s="28"/>
      <c r="H234" s="28"/>
      <c r="I234" s="28"/>
      <c r="J234" s="28"/>
      <c r="K234" s="28"/>
      <c r="L234" s="28"/>
      <c r="M234" s="28"/>
      <c r="N234" s="21"/>
      <c r="O234" s="28"/>
      <c r="P234" s="37"/>
      <c r="Q234" s="21"/>
      <c r="R234" s="21"/>
      <c r="S234" s="47"/>
      <c r="T234" s="25">
        <f t="shared" si="9"/>
        <v>0</v>
      </c>
      <c r="U234" s="25" t="str">
        <f>IF('PART III-DEMOGRAPHICS'!Q244="","",'PART III-DEMOGRAPHICS'!Q244)</f>
        <v/>
      </c>
    </row>
    <row r="235" spans="1:21" ht="33.6" customHeight="1">
      <c r="A235" s="25" t="str">
        <f>IF('PART III-DEMOGRAPHICS'!A245="","",'PART III-DEMOGRAPHICS'!A245)</f>
        <v/>
      </c>
      <c r="B235" s="28"/>
      <c r="C235" s="27"/>
      <c r="D235" s="28"/>
      <c r="E235" s="21"/>
      <c r="F235" s="36" t="str">
        <f t="shared" si="10"/>
        <v>Did Not</v>
      </c>
      <c r="G235" s="28"/>
      <c r="H235" s="28"/>
      <c r="I235" s="28"/>
      <c r="J235" s="28"/>
      <c r="K235" s="28"/>
      <c r="L235" s="28"/>
      <c r="M235" s="28"/>
      <c r="N235" s="21"/>
      <c r="O235" s="28"/>
      <c r="P235" s="37"/>
      <c r="Q235" s="21"/>
      <c r="R235" s="21"/>
      <c r="S235" s="47"/>
      <c r="T235" s="25">
        <f t="shared" si="9"/>
        <v>0</v>
      </c>
      <c r="U235" s="25" t="str">
        <f>IF('PART III-DEMOGRAPHICS'!Q245="","",'PART III-DEMOGRAPHICS'!Q245)</f>
        <v/>
      </c>
    </row>
    <row r="236" spans="1:21" ht="33.6" customHeight="1">
      <c r="A236" s="25" t="str">
        <f>IF('PART III-DEMOGRAPHICS'!A246="","",'PART III-DEMOGRAPHICS'!A246)</f>
        <v/>
      </c>
      <c r="B236" s="28"/>
      <c r="C236" s="27"/>
      <c r="D236" s="28"/>
      <c r="E236" s="21"/>
      <c r="F236" s="36" t="str">
        <f t="shared" si="10"/>
        <v>Did Not</v>
      </c>
      <c r="G236" s="28"/>
      <c r="H236" s="28"/>
      <c r="I236" s="28"/>
      <c r="J236" s="28"/>
      <c r="K236" s="28"/>
      <c r="L236" s="28"/>
      <c r="M236" s="28"/>
      <c r="N236" s="21"/>
      <c r="O236" s="28"/>
      <c r="P236" s="37"/>
      <c r="Q236" s="21"/>
      <c r="R236" s="21"/>
      <c r="S236" s="47"/>
      <c r="T236" s="25">
        <f t="shared" si="9"/>
        <v>0</v>
      </c>
      <c r="U236" s="25" t="str">
        <f>IF('PART III-DEMOGRAPHICS'!Q246="","",'PART III-DEMOGRAPHICS'!Q246)</f>
        <v/>
      </c>
    </row>
    <row r="237" spans="1:21" ht="33.6" customHeight="1">
      <c r="A237" s="25" t="str">
        <f>IF('PART III-DEMOGRAPHICS'!A247="","",'PART III-DEMOGRAPHICS'!A247)</f>
        <v/>
      </c>
      <c r="B237" s="28"/>
      <c r="C237" s="27"/>
      <c r="D237" s="28"/>
      <c r="E237" s="21"/>
      <c r="F237" s="36" t="str">
        <f t="shared" si="10"/>
        <v>Did Not</v>
      </c>
      <c r="G237" s="28"/>
      <c r="H237" s="28"/>
      <c r="I237" s="28"/>
      <c r="J237" s="28"/>
      <c r="K237" s="28"/>
      <c r="L237" s="28"/>
      <c r="M237" s="28"/>
      <c r="N237" s="21"/>
      <c r="O237" s="28"/>
      <c r="P237" s="37"/>
      <c r="Q237" s="21"/>
      <c r="R237" s="21"/>
      <c r="S237" s="47"/>
      <c r="T237" s="25">
        <f t="shared" si="9"/>
        <v>0</v>
      </c>
      <c r="U237" s="25" t="str">
        <f>IF('PART III-DEMOGRAPHICS'!Q247="","",'PART III-DEMOGRAPHICS'!Q247)</f>
        <v/>
      </c>
    </row>
    <row r="238" spans="1:21" ht="33.6" customHeight="1">
      <c r="A238" s="25" t="str">
        <f>IF('PART III-DEMOGRAPHICS'!A248="","",'PART III-DEMOGRAPHICS'!A248)</f>
        <v/>
      </c>
      <c r="B238" s="28"/>
      <c r="C238" s="27"/>
      <c r="D238" s="28"/>
      <c r="E238" s="21"/>
      <c r="F238" s="36" t="str">
        <f t="shared" si="10"/>
        <v>Did Not</v>
      </c>
      <c r="G238" s="28"/>
      <c r="H238" s="28"/>
      <c r="I238" s="28"/>
      <c r="J238" s="28"/>
      <c r="K238" s="28"/>
      <c r="L238" s="28"/>
      <c r="M238" s="28"/>
      <c r="N238" s="21"/>
      <c r="O238" s="28"/>
      <c r="P238" s="37"/>
      <c r="Q238" s="21"/>
      <c r="R238" s="21"/>
      <c r="S238" s="47"/>
      <c r="T238" s="25">
        <f t="shared" si="9"/>
        <v>0</v>
      </c>
      <c r="U238" s="25" t="str">
        <f>IF('PART III-DEMOGRAPHICS'!Q248="","",'PART III-DEMOGRAPHICS'!Q248)</f>
        <v/>
      </c>
    </row>
    <row r="239" spans="1:21" ht="33.6" customHeight="1">
      <c r="A239" s="25" t="str">
        <f>IF('PART III-DEMOGRAPHICS'!A249="","",'PART III-DEMOGRAPHICS'!A249)</f>
        <v/>
      </c>
      <c r="B239" s="28"/>
      <c r="C239" s="27"/>
      <c r="D239" s="28"/>
      <c r="E239" s="21"/>
      <c r="F239" s="36" t="str">
        <f t="shared" si="10"/>
        <v>Did Not</v>
      </c>
      <c r="G239" s="28"/>
      <c r="H239" s="28"/>
      <c r="I239" s="28"/>
      <c r="J239" s="28"/>
      <c r="K239" s="28"/>
      <c r="L239" s="28"/>
      <c r="M239" s="28"/>
      <c r="N239" s="21"/>
      <c r="O239" s="28"/>
      <c r="P239" s="37"/>
      <c r="Q239" s="21"/>
      <c r="R239" s="21"/>
      <c r="S239" s="47"/>
      <c r="T239" s="25">
        <f t="shared" si="9"/>
        <v>0</v>
      </c>
      <c r="U239" s="25" t="str">
        <f>IF('PART III-DEMOGRAPHICS'!Q249="","",'PART III-DEMOGRAPHICS'!Q249)</f>
        <v/>
      </c>
    </row>
    <row r="240" spans="1:21" ht="33.6" customHeight="1">
      <c r="A240" s="25" t="str">
        <f>IF('PART III-DEMOGRAPHICS'!A250="","",'PART III-DEMOGRAPHICS'!A250)</f>
        <v/>
      </c>
      <c r="B240" s="28"/>
      <c r="C240" s="27"/>
      <c r="D240" s="28"/>
      <c r="E240" s="21"/>
      <c r="F240" s="36" t="str">
        <f t="shared" si="10"/>
        <v>Did Not</v>
      </c>
      <c r="G240" s="28"/>
      <c r="H240" s="28"/>
      <c r="I240" s="28"/>
      <c r="J240" s="28"/>
      <c r="K240" s="28"/>
      <c r="L240" s="28"/>
      <c r="M240" s="28"/>
      <c r="N240" s="21"/>
      <c r="O240" s="28"/>
      <c r="P240" s="37"/>
      <c r="Q240" s="21"/>
      <c r="R240" s="21"/>
      <c r="S240" s="47"/>
      <c r="T240" s="25">
        <f t="shared" si="9"/>
        <v>0</v>
      </c>
      <c r="U240" s="25" t="str">
        <f>IF('PART III-DEMOGRAPHICS'!Q250="","",'PART III-DEMOGRAPHICS'!Q250)</f>
        <v/>
      </c>
    </row>
    <row r="241" spans="1:21" ht="33.6" customHeight="1">
      <c r="A241" s="25" t="str">
        <f>IF('PART III-DEMOGRAPHICS'!A251="","",'PART III-DEMOGRAPHICS'!A251)</f>
        <v/>
      </c>
      <c r="B241" s="28"/>
      <c r="C241" s="27"/>
      <c r="D241" s="28"/>
      <c r="E241" s="21"/>
      <c r="F241" s="36" t="str">
        <f t="shared" si="10"/>
        <v>Did Not</v>
      </c>
      <c r="G241" s="28"/>
      <c r="H241" s="28"/>
      <c r="I241" s="28"/>
      <c r="J241" s="28"/>
      <c r="K241" s="28"/>
      <c r="L241" s="28"/>
      <c r="M241" s="28"/>
      <c r="N241" s="21"/>
      <c r="O241" s="28"/>
      <c r="P241" s="37"/>
      <c r="Q241" s="21"/>
      <c r="R241" s="21"/>
      <c r="S241" s="47"/>
      <c r="T241" s="25">
        <f t="shared" si="9"/>
        <v>0</v>
      </c>
      <c r="U241" s="25" t="str">
        <f>IF('PART III-DEMOGRAPHICS'!Q251="","",'PART III-DEMOGRAPHICS'!Q251)</f>
        <v/>
      </c>
    </row>
    <row r="242" spans="1:21" ht="33.6" customHeight="1">
      <c r="A242" s="25" t="str">
        <f>IF('PART III-DEMOGRAPHICS'!A252="","",'PART III-DEMOGRAPHICS'!A252)</f>
        <v/>
      </c>
      <c r="B242" s="28"/>
      <c r="C242" s="27"/>
      <c r="D242" s="28"/>
      <c r="E242" s="21"/>
      <c r="F242" s="36" t="str">
        <f t="shared" si="10"/>
        <v>Did Not</v>
      </c>
      <c r="G242" s="28"/>
      <c r="H242" s="28"/>
      <c r="I242" s="28"/>
      <c r="J242" s="28"/>
      <c r="K242" s="28"/>
      <c r="L242" s="28"/>
      <c r="M242" s="28"/>
      <c r="N242" s="21"/>
      <c r="O242" s="28"/>
      <c r="P242" s="37"/>
      <c r="Q242" s="21"/>
      <c r="R242" s="21"/>
      <c r="S242" s="47"/>
      <c r="T242" s="25">
        <f t="shared" si="9"/>
        <v>0</v>
      </c>
      <c r="U242" s="25" t="str">
        <f>IF('PART III-DEMOGRAPHICS'!Q252="","",'PART III-DEMOGRAPHICS'!Q252)</f>
        <v/>
      </c>
    </row>
    <row r="243" spans="1:21" ht="33.6" customHeight="1">
      <c r="A243" s="25" t="str">
        <f>IF('PART III-DEMOGRAPHICS'!A253="","",'PART III-DEMOGRAPHICS'!A253)</f>
        <v/>
      </c>
      <c r="B243" s="28"/>
      <c r="C243" s="27"/>
      <c r="D243" s="28"/>
      <c r="E243" s="21"/>
      <c r="F243" s="36" t="str">
        <f t="shared" si="10"/>
        <v>Did Not</v>
      </c>
      <c r="G243" s="28"/>
      <c r="H243" s="28"/>
      <c r="I243" s="28"/>
      <c r="J243" s="28"/>
      <c r="K243" s="28"/>
      <c r="L243" s="28"/>
      <c r="M243" s="28"/>
      <c r="N243" s="21"/>
      <c r="O243" s="28"/>
      <c r="P243" s="37"/>
      <c r="Q243" s="21"/>
      <c r="R243" s="21"/>
      <c r="S243" s="47"/>
      <c r="T243" s="25">
        <f t="shared" si="9"/>
        <v>0</v>
      </c>
      <c r="U243" s="25" t="str">
        <f>IF('PART III-DEMOGRAPHICS'!Q253="","",'PART III-DEMOGRAPHICS'!Q253)</f>
        <v/>
      </c>
    </row>
    <row r="244" spans="1:21" ht="33.6" customHeight="1">
      <c r="A244" s="25" t="str">
        <f>IF('PART III-DEMOGRAPHICS'!A254="","",'PART III-DEMOGRAPHICS'!A254)</f>
        <v/>
      </c>
      <c r="B244" s="28"/>
      <c r="C244" s="27"/>
      <c r="D244" s="28"/>
      <c r="E244" s="21"/>
      <c r="F244" s="36" t="str">
        <f t="shared" si="10"/>
        <v>Did Not</v>
      </c>
      <c r="G244" s="28"/>
      <c r="H244" s="28"/>
      <c r="I244" s="28"/>
      <c r="J244" s="28"/>
      <c r="K244" s="28"/>
      <c r="L244" s="28"/>
      <c r="M244" s="28"/>
      <c r="N244" s="21"/>
      <c r="O244" s="28"/>
      <c r="P244" s="37"/>
      <c r="Q244" s="21"/>
      <c r="R244" s="21"/>
      <c r="S244" s="47"/>
      <c r="T244" s="25">
        <f t="shared" si="9"/>
        <v>0</v>
      </c>
      <c r="U244" s="25" t="str">
        <f>IF('PART III-DEMOGRAPHICS'!Q254="","",'PART III-DEMOGRAPHICS'!Q254)</f>
        <v/>
      </c>
    </row>
    <row r="245" spans="1:21" ht="33.6" customHeight="1">
      <c r="A245" s="25" t="str">
        <f>IF('PART III-DEMOGRAPHICS'!A255="","",'PART III-DEMOGRAPHICS'!A255)</f>
        <v/>
      </c>
      <c r="B245" s="28"/>
      <c r="C245" s="27"/>
      <c r="D245" s="28"/>
      <c r="E245" s="21"/>
      <c r="F245" s="36" t="str">
        <f t="shared" si="10"/>
        <v>Did Not</v>
      </c>
      <c r="G245" s="28"/>
      <c r="H245" s="28"/>
      <c r="I245" s="28"/>
      <c r="J245" s="28"/>
      <c r="K245" s="28"/>
      <c r="L245" s="28"/>
      <c r="M245" s="28"/>
      <c r="N245" s="21"/>
      <c r="O245" s="28"/>
      <c r="P245" s="37"/>
      <c r="Q245" s="21"/>
      <c r="R245" s="21"/>
      <c r="S245" s="47"/>
      <c r="T245" s="25">
        <f t="shared" si="9"/>
        <v>0</v>
      </c>
      <c r="U245" s="25" t="str">
        <f>IF('PART III-DEMOGRAPHICS'!Q255="","",'PART III-DEMOGRAPHICS'!Q255)</f>
        <v/>
      </c>
    </row>
    <row r="246" spans="1:21" ht="33.6" customHeight="1">
      <c r="A246" s="25" t="str">
        <f>IF('PART III-DEMOGRAPHICS'!A256="","",'PART III-DEMOGRAPHICS'!A256)</f>
        <v/>
      </c>
      <c r="B246" s="28"/>
      <c r="C246" s="27"/>
      <c r="D246" s="28"/>
      <c r="E246" s="21"/>
      <c r="F246" s="36" t="str">
        <f t="shared" si="10"/>
        <v>Did Not</v>
      </c>
      <c r="G246" s="28"/>
      <c r="H246" s="28"/>
      <c r="I246" s="28"/>
      <c r="J246" s="28"/>
      <c r="K246" s="28"/>
      <c r="L246" s="28"/>
      <c r="M246" s="28"/>
      <c r="N246" s="21"/>
      <c r="O246" s="28"/>
      <c r="P246" s="37"/>
      <c r="Q246" s="21"/>
      <c r="R246" s="21"/>
      <c r="S246" s="47"/>
      <c r="T246" s="25">
        <f t="shared" si="9"/>
        <v>0</v>
      </c>
      <c r="U246" s="25" t="str">
        <f>IF('PART III-DEMOGRAPHICS'!Q256="","",'PART III-DEMOGRAPHICS'!Q256)</f>
        <v/>
      </c>
    </row>
    <row r="247" spans="1:21" ht="33.6" customHeight="1">
      <c r="A247" s="25" t="str">
        <f>IF('PART III-DEMOGRAPHICS'!A257="","",'PART III-DEMOGRAPHICS'!A257)</f>
        <v/>
      </c>
      <c r="B247" s="28"/>
      <c r="C247" s="27"/>
      <c r="D247" s="28"/>
      <c r="E247" s="21"/>
      <c r="F247" s="36" t="str">
        <f t="shared" si="10"/>
        <v>Did Not</v>
      </c>
      <c r="G247" s="28"/>
      <c r="H247" s="28"/>
      <c r="I247" s="28"/>
      <c r="J247" s="28"/>
      <c r="K247" s="28"/>
      <c r="L247" s="28"/>
      <c r="M247" s="28"/>
      <c r="N247" s="21"/>
      <c r="O247" s="28"/>
      <c r="P247" s="37"/>
      <c r="Q247" s="21"/>
      <c r="R247" s="21"/>
      <c r="S247" s="47"/>
      <c r="T247" s="25">
        <f t="shared" si="9"/>
        <v>0</v>
      </c>
      <c r="U247" s="25" t="str">
        <f>IF('PART III-DEMOGRAPHICS'!Q257="","",'PART III-DEMOGRAPHICS'!Q257)</f>
        <v/>
      </c>
    </row>
    <row r="248" spans="1:21" ht="33.6" customHeight="1">
      <c r="A248" s="25" t="str">
        <f>IF('PART III-DEMOGRAPHICS'!A258="","",'PART III-DEMOGRAPHICS'!A258)</f>
        <v/>
      </c>
      <c r="B248" s="28"/>
      <c r="C248" s="27"/>
      <c r="D248" s="28"/>
      <c r="E248" s="21"/>
      <c r="F248" s="36" t="str">
        <f t="shared" si="10"/>
        <v>Did Not</v>
      </c>
      <c r="G248" s="28"/>
      <c r="H248" s="28"/>
      <c r="I248" s="28"/>
      <c r="J248" s="28"/>
      <c r="K248" s="28"/>
      <c r="L248" s="28"/>
      <c r="M248" s="28"/>
      <c r="N248" s="21"/>
      <c r="O248" s="28"/>
      <c r="P248" s="37"/>
      <c r="Q248" s="21"/>
      <c r="R248" s="21"/>
      <c r="S248" s="47"/>
      <c r="T248" s="25">
        <f t="shared" si="9"/>
        <v>0</v>
      </c>
      <c r="U248" s="25" t="str">
        <f>IF('PART III-DEMOGRAPHICS'!Q258="","",'PART III-DEMOGRAPHICS'!Q258)</f>
        <v/>
      </c>
    </row>
    <row r="249" spans="1:21" ht="33.6" customHeight="1">
      <c r="A249" s="25" t="str">
        <f>IF('PART III-DEMOGRAPHICS'!A259="","",'PART III-DEMOGRAPHICS'!A259)</f>
        <v/>
      </c>
      <c r="B249" s="28"/>
      <c r="C249" s="27"/>
      <c r="D249" s="28"/>
      <c r="E249" s="21"/>
      <c r="F249" s="36" t="str">
        <f t="shared" si="10"/>
        <v>Did Not</v>
      </c>
      <c r="G249" s="28"/>
      <c r="H249" s="28"/>
      <c r="I249" s="28"/>
      <c r="J249" s="28"/>
      <c r="K249" s="28"/>
      <c r="L249" s="28"/>
      <c r="M249" s="28"/>
      <c r="N249" s="21"/>
      <c r="O249" s="28"/>
      <c r="P249" s="37"/>
      <c r="Q249" s="21"/>
      <c r="R249" s="21"/>
      <c r="S249" s="47"/>
      <c r="T249" s="25">
        <f t="shared" si="9"/>
        <v>0</v>
      </c>
      <c r="U249" s="25" t="str">
        <f>IF('PART III-DEMOGRAPHICS'!Q259="","",'PART III-DEMOGRAPHICS'!Q259)</f>
        <v/>
      </c>
    </row>
    <row r="250" spans="1:21" ht="33.6" customHeight="1">
      <c r="A250" s="25" t="str">
        <f>IF('PART III-DEMOGRAPHICS'!A260="","",'PART III-DEMOGRAPHICS'!A260)</f>
        <v/>
      </c>
      <c r="B250" s="28"/>
      <c r="C250" s="27"/>
      <c r="D250" s="28"/>
      <c r="E250" s="21"/>
      <c r="F250" s="36" t="str">
        <f t="shared" si="10"/>
        <v>Did Not</v>
      </c>
      <c r="G250" s="28"/>
      <c r="H250" s="28"/>
      <c r="I250" s="28"/>
      <c r="J250" s="28"/>
      <c r="K250" s="28"/>
      <c r="L250" s="28"/>
      <c r="M250" s="28"/>
      <c r="N250" s="21"/>
      <c r="O250" s="28"/>
      <c r="P250" s="37"/>
      <c r="Q250" s="21"/>
      <c r="R250" s="21"/>
      <c r="S250" s="47"/>
      <c r="T250" s="25">
        <f t="shared" si="9"/>
        <v>0</v>
      </c>
      <c r="U250" s="25" t="str">
        <f>IF('PART III-DEMOGRAPHICS'!Q260="","",'PART III-DEMOGRAPHICS'!Q260)</f>
        <v/>
      </c>
    </row>
    <row r="251" spans="1:21" ht="33.6" customHeight="1">
      <c r="A251" s="25" t="str">
        <f>IF('PART III-DEMOGRAPHICS'!A261="","",'PART III-DEMOGRAPHICS'!A261)</f>
        <v/>
      </c>
      <c r="B251" s="28"/>
      <c r="C251" s="27"/>
      <c r="D251" s="28"/>
      <c r="E251" s="21"/>
      <c r="F251" s="36" t="str">
        <f t="shared" si="10"/>
        <v>Did Not</v>
      </c>
      <c r="G251" s="28"/>
      <c r="H251" s="28"/>
      <c r="I251" s="28"/>
      <c r="J251" s="28"/>
      <c r="K251" s="28"/>
      <c r="L251" s="28"/>
      <c r="M251" s="28"/>
      <c r="N251" s="21"/>
      <c r="O251" s="28"/>
      <c r="P251" s="37"/>
      <c r="Q251" s="21"/>
      <c r="R251" s="21"/>
      <c r="S251" s="47"/>
      <c r="T251" s="25">
        <f t="shared" si="9"/>
        <v>0</v>
      </c>
      <c r="U251" s="25" t="str">
        <f>IF('PART III-DEMOGRAPHICS'!Q261="","",'PART III-DEMOGRAPHICS'!Q261)</f>
        <v/>
      </c>
    </row>
    <row r="252" spans="1:21" ht="33.6" customHeight="1">
      <c r="A252" s="25" t="str">
        <f>IF('PART III-DEMOGRAPHICS'!A262="","",'PART III-DEMOGRAPHICS'!A262)</f>
        <v/>
      </c>
      <c r="B252" s="28"/>
      <c r="C252" s="27"/>
      <c r="D252" s="28"/>
      <c r="E252" s="21"/>
      <c r="F252" s="36" t="str">
        <f t="shared" si="10"/>
        <v>Did Not</v>
      </c>
      <c r="G252" s="28"/>
      <c r="H252" s="28"/>
      <c r="I252" s="28"/>
      <c r="J252" s="28"/>
      <c r="K252" s="28"/>
      <c r="L252" s="28"/>
      <c r="M252" s="28"/>
      <c r="N252" s="21"/>
      <c r="O252" s="28"/>
      <c r="P252" s="37"/>
      <c r="Q252" s="21"/>
      <c r="R252" s="21"/>
      <c r="S252" s="47"/>
      <c r="T252" s="25">
        <f t="shared" si="9"/>
        <v>0</v>
      </c>
      <c r="U252" s="25" t="str">
        <f>IF('PART III-DEMOGRAPHICS'!Q262="","",'PART III-DEMOGRAPHICS'!Q262)</f>
        <v/>
      </c>
    </row>
    <row r="253" spans="1:21" ht="33.6" customHeight="1">
      <c r="A253" s="25" t="str">
        <f>IF('PART III-DEMOGRAPHICS'!A263="","",'PART III-DEMOGRAPHICS'!A263)</f>
        <v/>
      </c>
      <c r="B253" s="28"/>
      <c r="C253" s="27"/>
      <c r="D253" s="28"/>
      <c r="E253" s="21"/>
      <c r="F253" s="36" t="str">
        <f t="shared" si="10"/>
        <v>Did Not</v>
      </c>
      <c r="G253" s="28"/>
      <c r="H253" s="28"/>
      <c r="I253" s="28"/>
      <c r="J253" s="28"/>
      <c r="K253" s="28"/>
      <c r="L253" s="28"/>
      <c r="M253" s="28"/>
      <c r="N253" s="21"/>
      <c r="O253" s="28"/>
      <c r="P253" s="37"/>
      <c r="Q253" s="21"/>
      <c r="R253" s="21"/>
      <c r="S253" s="47"/>
      <c r="T253" s="25">
        <f t="shared" si="9"/>
        <v>0</v>
      </c>
      <c r="U253" s="25" t="str">
        <f>IF('PART III-DEMOGRAPHICS'!Q263="","",'PART III-DEMOGRAPHICS'!Q263)</f>
        <v/>
      </c>
    </row>
    <row r="254" spans="1:21" ht="33.6" customHeight="1">
      <c r="A254" s="25" t="str">
        <f>IF('PART III-DEMOGRAPHICS'!A264="","",'PART III-DEMOGRAPHICS'!A264)</f>
        <v/>
      </c>
      <c r="B254" s="28"/>
      <c r="C254" s="27"/>
      <c r="D254" s="28"/>
      <c r="E254" s="21"/>
      <c r="F254" s="36" t="str">
        <f t="shared" si="10"/>
        <v>Did Not</v>
      </c>
      <c r="G254" s="28"/>
      <c r="H254" s="28"/>
      <c r="I254" s="28"/>
      <c r="J254" s="28"/>
      <c r="K254" s="28"/>
      <c r="L254" s="28"/>
      <c r="M254" s="28"/>
      <c r="N254" s="21"/>
      <c r="O254" s="28"/>
      <c r="P254" s="37"/>
      <c r="Q254" s="21"/>
      <c r="R254" s="21"/>
      <c r="S254" s="47"/>
      <c r="T254" s="25">
        <f t="shared" si="9"/>
        <v>0</v>
      </c>
      <c r="U254" s="25" t="str">
        <f>IF('PART III-DEMOGRAPHICS'!Q264="","",'PART III-DEMOGRAPHICS'!Q264)</f>
        <v/>
      </c>
    </row>
    <row r="255" spans="1:21" ht="33.6" customHeight="1">
      <c r="A255" s="25" t="str">
        <f>IF('PART III-DEMOGRAPHICS'!A265="","",'PART III-DEMOGRAPHICS'!A265)</f>
        <v/>
      </c>
      <c r="B255" s="28"/>
      <c r="C255" s="27"/>
      <c r="D255" s="28"/>
      <c r="E255" s="21"/>
      <c r="F255" s="36" t="str">
        <f t="shared" si="10"/>
        <v>Did Not</v>
      </c>
      <c r="G255" s="28"/>
      <c r="H255" s="28"/>
      <c r="I255" s="28"/>
      <c r="J255" s="28"/>
      <c r="K255" s="28"/>
      <c r="L255" s="28"/>
      <c r="M255" s="28"/>
      <c r="N255" s="21"/>
      <c r="O255" s="28"/>
      <c r="P255" s="37"/>
      <c r="Q255" s="21"/>
      <c r="R255" s="21"/>
      <c r="S255" s="47"/>
      <c r="T255" s="25">
        <f t="shared" si="9"/>
        <v>0</v>
      </c>
      <c r="U255" s="25" t="str">
        <f>IF('PART III-DEMOGRAPHICS'!Q265="","",'PART III-DEMOGRAPHICS'!Q265)</f>
        <v/>
      </c>
    </row>
    <row r="256" spans="1:21" ht="33.6" customHeight="1">
      <c r="A256" s="25" t="str">
        <f>IF('PART III-DEMOGRAPHICS'!A266="","",'PART III-DEMOGRAPHICS'!A266)</f>
        <v/>
      </c>
      <c r="B256" s="28"/>
      <c r="C256" s="27"/>
      <c r="D256" s="28"/>
      <c r="E256" s="21"/>
      <c r="F256" s="36" t="str">
        <f t="shared" si="10"/>
        <v>Did Not</v>
      </c>
      <c r="G256" s="28"/>
      <c r="H256" s="28"/>
      <c r="I256" s="28"/>
      <c r="J256" s="28"/>
      <c r="K256" s="28"/>
      <c r="L256" s="28"/>
      <c r="M256" s="28"/>
      <c r="N256" s="21"/>
      <c r="O256" s="28"/>
      <c r="P256" s="37"/>
      <c r="Q256" s="21"/>
      <c r="R256" s="21"/>
      <c r="S256" s="47"/>
      <c r="T256" s="25">
        <f t="shared" si="9"/>
        <v>0</v>
      </c>
      <c r="U256" s="25" t="str">
        <f>IF('PART III-DEMOGRAPHICS'!Q266="","",'PART III-DEMOGRAPHICS'!Q266)</f>
        <v/>
      </c>
    </row>
    <row r="257" spans="1:21" ht="33.6" customHeight="1">
      <c r="A257" s="25" t="str">
        <f>IF('PART III-DEMOGRAPHICS'!A267="","",'PART III-DEMOGRAPHICS'!A267)</f>
        <v/>
      </c>
      <c r="B257" s="28"/>
      <c r="C257" s="27"/>
      <c r="D257" s="28"/>
      <c r="E257" s="21"/>
      <c r="F257" s="36" t="str">
        <f t="shared" si="10"/>
        <v>Did Not</v>
      </c>
      <c r="G257" s="28"/>
      <c r="H257" s="28"/>
      <c r="I257" s="28"/>
      <c r="J257" s="28"/>
      <c r="K257" s="28"/>
      <c r="L257" s="28"/>
      <c r="M257" s="28"/>
      <c r="N257" s="21"/>
      <c r="O257" s="28"/>
      <c r="P257" s="37"/>
      <c r="Q257" s="21"/>
      <c r="R257" s="21"/>
      <c r="S257" s="47"/>
      <c r="T257" s="25">
        <f t="shared" si="9"/>
        <v>0</v>
      </c>
      <c r="U257" s="25" t="str">
        <f>IF('PART III-DEMOGRAPHICS'!Q267="","",'PART III-DEMOGRAPHICS'!Q267)</f>
        <v/>
      </c>
    </row>
    <row r="258" spans="1:21" ht="33.6" customHeight="1">
      <c r="A258" s="25" t="str">
        <f>IF('PART III-DEMOGRAPHICS'!A268="","",'PART III-DEMOGRAPHICS'!A268)</f>
        <v/>
      </c>
      <c r="B258" s="28"/>
      <c r="C258" s="27"/>
      <c r="D258" s="28"/>
      <c r="E258" s="21"/>
      <c r="F258" s="36" t="str">
        <f t="shared" si="10"/>
        <v>Did Not</v>
      </c>
      <c r="G258" s="28"/>
      <c r="H258" s="28"/>
      <c r="I258" s="28"/>
      <c r="J258" s="28"/>
      <c r="K258" s="28"/>
      <c r="L258" s="28"/>
      <c r="M258" s="28"/>
      <c r="N258" s="21"/>
      <c r="O258" s="28"/>
      <c r="P258" s="37"/>
      <c r="Q258" s="21"/>
      <c r="R258" s="21"/>
      <c r="S258" s="47"/>
      <c r="T258" s="25">
        <f t="shared" si="9"/>
        <v>0</v>
      </c>
      <c r="U258" s="25" t="str">
        <f>IF('PART III-DEMOGRAPHICS'!Q268="","",'PART III-DEMOGRAPHICS'!Q268)</f>
        <v/>
      </c>
    </row>
    <row r="259" spans="1:21" ht="33.6" customHeight="1">
      <c r="A259" s="25" t="str">
        <f>IF('PART III-DEMOGRAPHICS'!A269="","",'PART III-DEMOGRAPHICS'!A269)</f>
        <v/>
      </c>
      <c r="B259" s="28"/>
      <c r="C259" s="27"/>
      <c r="D259" s="28"/>
      <c r="E259" s="21"/>
      <c r="F259" s="36" t="str">
        <f t="shared" si="10"/>
        <v>Did Not</v>
      </c>
      <c r="G259" s="28"/>
      <c r="H259" s="28"/>
      <c r="I259" s="28"/>
      <c r="J259" s="28"/>
      <c r="K259" s="28"/>
      <c r="L259" s="28"/>
      <c r="M259" s="28"/>
      <c r="N259" s="21"/>
      <c r="O259" s="28"/>
      <c r="P259" s="37"/>
      <c r="Q259" s="21"/>
      <c r="R259" s="21"/>
      <c r="S259" s="47"/>
      <c r="T259" s="25">
        <f t="shared" si="9"/>
        <v>0</v>
      </c>
      <c r="U259" s="25" t="str">
        <f>IF('PART III-DEMOGRAPHICS'!Q269="","",'PART III-DEMOGRAPHICS'!Q269)</f>
        <v/>
      </c>
    </row>
    <row r="260" spans="1:21" ht="33.6" customHeight="1">
      <c r="A260" s="25" t="str">
        <f>IF('PART III-DEMOGRAPHICS'!A270="","",'PART III-DEMOGRAPHICS'!A270)</f>
        <v/>
      </c>
      <c r="B260" s="28"/>
      <c r="C260" s="27"/>
      <c r="D260" s="28"/>
      <c r="E260" s="21"/>
      <c r="F260" s="36" t="str">
        <f t="shared" si="10"/>
        <v>Did Not</v>
      </c>
      <c r="G260" s="28"/>
      <c r="H260" s="28"/>
      <c r="I260" s="28"/>
      <c r="J260" s="28"/>
      <c r="K260" s="28"/>
      <c r="L260" s="28"/>
      <c r="M260" s="28"/>
      <c r="N260" s="21"/>
      <c r="O260" s="28"/>
      <c r="P260" s="37"/>
      <c r="Q260" s="21"/>
      <c r="R260" s="21"/>
      <c r="S260" s="47"/>
      <c r="T260" s="25">
        <f t="shared" si="9"/>
        <v>0</v>
      </c>
      <c r="U260" s="25" t="str">
        <f>IF('PART III-DEMOGRAPHICS'!Q270="","",'PART III-DEMOGRAPHICS'!Q270)</f>
        <v/>
      </c>
    </row>
    <row r="261" spans="1:21" ht="33.6" customHeight="1">
      <c r="A261" s="25" t="str">
        <f>IF('PART III-DEMOGRAPHICS'!A271="","",'PART III-DEMOGRAPHICS'!A271)</f>
        <v/>
      </c>
      <c r="B261" s="28"/>
      <c r="C261" s="27"/>
      <c r="D261" s="28"/>
      <c r="E261" s="21"/>
      <c r="F261" s="36" t="str">
        <f t="shared" si="10"/>
        <v>Did Not</v>
      </c>
      <c r="G261" s="28"/>
      <c r="H261" s="28"/>
      <c r="I261" s="28"/>
      <c r="J261" s="28"/>
      <c r="K261" s="28"/>
      <c r="L261" s="28"/>
      <c r="M261" s="28"/>
      <c r="N261" s="21"/>
      <c r="O261" s="28"/>
      <c r="P261" s="37"/>
      <c r="Q261" s="21"/>
      <c r="R261" s="21"/>
      <c r="S261" s="47"/>
      <c r="T261" s="25">
        <f t="shared" si="9"/>
        <v>0</v>
      </c>
      <c r="U261" s="25" t="str">
        <f>IF('PART III-DEMOGRAPHICS'!Q271="","",'PART III-DEMOGRAPHICS'!Q271)</f>
        <v/>
      </c>
    </row>
    <row r="262" spans="1:21" ht="33.6" customHeight="1">
      <c r="A262" s="25" t="str">
        <f>IF('PART III-DEMOGRAPHICS'!A272="","",'PART III-DEMOGRAPHICS'!A272)</f>
        <v/>
      </c>
      <c r="B262" s="28"/>
      <c r="C262" s="27"/>
      <c r="D262" s="28"/>
      <c r="E262" s="21"/>
      <c r="F262" s="36" t="str">
        <f t="shared" si="10"/>
        <v>Did Not</v>
      </c>
      <c r="G262" s="28"/>
      <c r="H262" s="28"/>
      <c r="I262" s="28"/>
      <c r="J262" s="28"/>
      <c r="K262" s="28"/>
      <c r="L262" s="28"/>
      <c r="M262" s="28"/>
      <c r="N262" s="21"/>
      <c r="O262" s="28"/>
      <c r="P262" s="37"/>
      <c r="Q262" s="21"/>
      <c r="R262" s="21"/>
      <c r="S262" s="47"/>
      <c r="T262" s="25">
        <f t="shared" si="9"/>
        <v>0</v>
      </c>
      <c r="U262" s="25" t="str">
        <f>IF('PART III-DEMOGRAPHICS'!Q272="","",'PART III-DEMOGRAPHICS'!Q272)</f>
        <v/>
      </c>
    </row>
    <row r="263" spans="1:21" ht="33.6" customHeight="1">
      <c r="A263" s="25" t="str">
        <f>IF('PART III-DEMOGRAPHICS'!A273="","",'PART III-DEMOGRAPHICS'!A273)</f>
        <v/>
      </c>
      <c r="B263" s="28"/>
      <c r="C263" s="27"/>
      <c r="D263" s="28"/>
      <c r="E263" s="21"/>
      <c r="F263" s="36" t="str">
        <f t="shared" si="10"/>
        <v>Did Not</v>
      </c>
      <c r="G263" s="28"/>
      <c r="H263" s="28"/>
      <c r="I263" s="28"/>
      <c r="J263" s="28"/>
      <c r="K263" s="28"/>
      <c r="L263" s="28"/>
      <c r="M263" s="28"/>
      <c r="N263" s="21"/>
      <c r="O263" s="28"/>
      <c r="P263" s="37"/>
      <c r="Q263" s="21"/>
      <c r="R263" s="21"/>
      <c r="S263" s="47"/>
      <c r="T263" s="25">
        <f t="shared" ref="T263:T326" si="11">COUNTIF(A263:R263,"Yes")</f>
        <v>0</v>
      </c>
      <c r="U263" s="25" t="str">
        <f>IF('PART III-DEMOGRAPHICS'!Q273="","",'PART III-DEMOGRAPHICS'!Q273)</f>
        <v/>
      </c>
    </row>
    <row r="264" spans="1:21" ht="33.6" customHeight="1">
      <c r="A264" s="25" t="str">
        <f>IF('PART III-DEMOGRAPHICS'!A274="","",'PART III-DEMOGRAPHICS'!A274)</f>
        <v/>
      </c>
      <c r="B264" s="28"/>
      <c r="C264" s="27"/>
      <c r="D264" s="28"/>
      <c r="E264" s="21"/>
      <c r="F264" s="36" t="str">
        <f t="shared" si="10"/>
        <v>Did Not</v>
      </c>
      <c r="G264" s="28"/>
      <c r="H264" s="28"/>
      <c r="I264" s="28"/>
      <c r="J264" s="28"/>
      <c r="K264" s="28"/>
      <c r="L264" s="28"/>
      <c r="M264" s="28"/>
      <c r="N264" s="21"/>
      <c r="O264" s="28"/>
      <c r="P264" s="37"/>
      <c r="Q264" s="21"/>
      <c r="R264" s="21"/>
      <c r="S264" s="47"/>
      <c r="T264" s="25">
        <f t="shared" si="11"/>
        <v>0</v>
      </c>
      <c r="U264" s="25" t="str">
        <f>IF('PART III-DEMOGRAPHICS'!Q274="","",'PART III-DEMOGRAPHICS'!Q274)</f>
        <v/>
      </c>
    </row>
    <row r="265" spans="1:21" ht="33.6" customHeight="1">
      <c r="A265" s="25" t="str">
        <f>IF('PART III-DEMOGRAPHICS'!A275="","",'PART III-DEMOGRAPHICS'!A275)</f>
        <v/>
      </c>
      <c r="B265" s="28"/>
      <c r="C265" s="27"/>
      <c r="D265" s="28"/>
      <c r="E265" s="21"/>
      <c r="F265" s="36" t="str">
        <f t="shared" si="10"/>
        <v>Did Not</v>
      </c>
      <c r="G265" s="28"/>
      <c r="H265" s="28"/>
      <c r="I265" s="28"/>
      <c r="J265" s="28"/>
      <c r="K265" s="28"/>
      <c r="L265" s="28"/>
      <c r="M265" s="28"/>
      <c r="N265" s="21"/>
      <c r="O265" s="28"/>
      <c r="P265" s="37"/>
      <c r="Q265" s="21"/>
      <c r="R265" s="21"/>
      <c r="S265" s="47"/>
      <c r="T265" s="25">
        <f t="shared" si="11"/>
        <v>0</v>
      </c>
      <c r="U265" s="25" t="str">
        <f>IF('PART III-DEMOGRAPHICS'!Q275="","",'PART III-DEMOGRAPHICS'!Q275)</f>
        <v/>
      </c>
    </row>
    <row r="266" spans="1:21" ht="33.6" customHeight="1">
      <c r="A266" s="25" t="str">
        <f>IF('PART III-DEMOGRAPHICS'!A276="","",'PART III-DEMOGRAPHICS'!A276)</f>
        <v/>
      </c>
      <c r="B266" s="28"/>
      <c r="C266" s="27"/>
      <c r="D266" s="28"/>
      <c r="E266" s="21"/>
      <c r="F266" s="36" t="str">
        <f t="shared" si="10"/>
        <v>Did Not</v>
      </c>
      <c r="G266" s="28"/>
      <c r="H266" s="28"/>
      <c r="I266" s="28"/>
      <c r="J266" s="28"/>
      <c r="K266" s="28"/>
      <c r="L266" s="28"/>
      <c r="M266" s="28"/>
      <c r="N266" s="21"/>
      <c r="O266" s="28"/>
      <c r="P266" s="37"/>
      <c r="Q266" s="21"/>
      <c r="R266" s="21"/>
      <c r="S266" s="47"/>
      <c r="T266" s="25">
        <f t="shared" si="11"/>
        <v>0</v>
      </c>
      <c r="U266" s="25" t="str">
        <f>IF('PART III-DEMOGRAPHICS'!Q276="","",'PART III-DEMOGRAPHICS'!Q276)</f>
        <v/>
      </c>
    </row>
    <row r="267" spans="1:21" ht="33.6" customHeight="1">
      <c r="A267" s="25" t="str">
        <f>IF('PART III-DEMOGRAPHICS'!A277="","",'PART III-DEMOGRAPHICS'!A277)</f>
        <v/>
      </c>
      <c r="B267" s="28"/>
      <c r="C267" s="27"/>
      <c r="D267" s="28"/>
      <c r="E267" s="21"/>
      <c r="F267" s="36" t="str">
        <f t="shared" si="10"/>
        <v>Did Not</v>
      </c>
      <c r="G267" s="28"/>
      <c r="H267" s="28"/>
      <c r="I267" s="28"/>
      <c r="J267" s="28"/>
      <c r="K267" s="28"/>
      <c r="L267" s="28"/>
      <c r="M267" s="28"/>
      <c r="N267" s="21"/>
      <c r="O267" s="28"/>
      <c r="P267" s="37"/>
      <c r="Q267" s="21"/>
      <c r="R267" s="21"/>
      <c r="S267" s="47"/>
      <c r="T267" s="25">
        <f t="shared" si="11"/>
        <v>0</v>
      </c>
      <c r="U267" s="25" t="str">
        <f>IF('PART III-DEMOGRAPHICS'!Q277="","",'PART III-DEMOGRAPHICS'!Q277)</f>
        <v/>
      </c>
    </row>
    <row r="268" spans="1:21" ht="33.6" customHeight="1">
      <c r="A268" s="25" t="str">
        <f>IF('PART III-DEMOGRAPHICS'!A278="","",'PART III-DEMOGRAPHICS'!A278)</f>
        <v/>
      </c>
      <c r="B268" s="28"/>
      <c r="C268" s="27"/>
      <c r="D268" s="28"/>
      <c r="E268" s="21"/>
      <c r="F268" s="36" t="str">
        <f t="shared" si="10"/>
        <v>Did Not</v>
      </c>
      <c r="G268" s="28"/>
      <c r="H268" s="28"/>
      <c r="I268" s="28"/>
      <c r="J268" s="28"/>
      <c r="K268" s="28"/>
      <c r="L268" s="28"/>
      <c r="M268" s="28"/>
      <c r="N268" s="21"/>
      <c r="O268" s="28"/>
      <c r="P268" s="37"/>
      <c r="Q268" s="21"/>
      <c r="R268" s="21"/>
      <c r="S268" s="47"/>
      <c r="T268" s="25">
        <f t="shared" si="11"/>
        <v>0</v>
      </c>
      <c r="U268" s="25" t="str">
        <f>IF('PART III-DEMOGRAPHICS'!Q278="","",'PART III-DEMOGRAPHICS'!Q278)</f>
        <v/>
      </c>
    </row>
    <row r="269" spans="1:21" ht="33.6" customHeight="1">
      <c r="A269" s="25" t="str">
        <f>IF('PART III-DEMOGRAPHICS'!A279="","",'PART III-DEMOGRAPHICS'!A279)</f>
        <v/>
      </c>
      <c r="B269" s="28"/>
      <c r="C269" s="27"/>
      <c r="D269" s="28"/>
      <c r="E269" s="21"/>
      <c r="F269" s="36" t="str">
        <f t="shared" si="10"/>
        <v>Did Not</v>
      </c>
      <c r="G269" s="28"/>
      <c r="H269" s="28"/>
      <c r="I269" s="28"/>
      <c r="J269" s="28"/>
      <c r="K269" s="28"/>
      <c r="L269" s="28"/>
      <c r="M269" s="28"/>
      <c r="N269" s="21"/>
      <c r="O269" s="28"/>
      <c r="P269" s="37"/>
      <c r="Q269" s="21"/>
      <c r="R269" s="21"/>
      <c r="S269" s="47"/>
      <c r="T269" s="25">
        <f t="shared" si="11"/>
        <v>0</v>
      </c>
      <c r="U269" s="25" t="str">
        <f>IF('PART III-DEMOGRAPHICS'!Q279="","",'PART III-DEMOGRAPHICS'!Q279)</f>
        <v/>
      </c>
    </row>
    <row r="270" spans="1:21" ht="33.6" customHeight="1">
      <c r="A270" s="25" t="str">
        <f>IF('PART III-DEMOGRAPHICS'!A280="","",'PART III-DEMOGRAPHICS'!A280)</f>
        <v/>
      </c>
      <c r="B270" s="28"/>
      <c r="C270" s="27"/>
      <c r="D270" s="28"/>
      <c r="E270" s="21"/>
      <c r="F270" s="36" t="str">
        <f t="shared" ref="F270:F333" si="12">IF(OR(G270="Yes",H270="Yes",I270="Yes",J270="Yes",K270="Yes",L270="Yes",M270="Yes"),"Did","Did Not")</f>
        <v>Did Not</v>
      </c>
      <c r="G270" s="28"/>
      <c r="H270" s="28"/>
      <c r="I270" s="28"/>
      <c r="J270" s="28"/>
      <c r="K270" s="28"/>
      <c r="L270" s="28"/>
      <c r="M270" s="28"/>
      <c r="N270" s="21"/>
      <c r="O270" s="28"/>
      <c r="P270" s="37"/>
      <c r="Q270" s="21"/>
      <c r="R270" s="21"/>
      <c r="S270" s="47"/>
      <c r="T270" s="25">
        <f t="shared" si="11"/>
        <v>0</v>
      </c>
      <c r="U270" s="25" t="str">
        <f>IF('PART III-DEMOGRAPHICS'!Q280="","",'PART III-DEMOGRAPHICS'!Q280)</f>
        <v/>
      </c>
    </row>
    <row r="271" spans="1:21" ht="33.6" customHeight="1">
      <c r="A271" s="25" t="str">
        <f>IF('PART III-DEMOGRAPHICS'!A281="","",'PART III-DEMOGRAPHICS'!A281)</f>
        <v/>
      </c>
      <c r="B271" s="28"/>
      <c r="C271" s="27"/>
      <c r="D271" s="28"/>
      <c r="E271" s="21"/>
      <c r="F271" s="36" t="str">
        <f t="shared" si="12"/>
        <v>Did Not</v>
      </c>
      <c r="G271" s="28"/>
      <c r="H271" s="28"/>
      <c r="I271" s="28"/>
      <c r="J271" s="28"/>
      <c r="K271" s="28"/>
      <c r="L271" s="28"/>
      <c r="M271" s="28"/>
      <c r="N271" s="21"/>
      <c r="O271" s="28"/>
      <c r="P271" s="37"/>
      <c r="Q271" s="21"/>
      <c r="R271" s="21"/>
      <c r="S271" s="47"/>
      <c r="T271" s="25">
        <f t="shared" si="11"/>
        <v>0</v>
      </c>
      <c r="U271" s="25" t="str">
        <f>IF('PART III-DEMOGRAPHICS'!Q281="","",'PART III-DEMOGRAPHICS'!Q281)</f>
        <v/>
      </c>
    </row>
    <row r="272" spans="1:21" ht="33.6" customHeight="1">
      <c r="A272" s="25" t="str">
        <f>IF('PART III-DEMOGRAPHICS'!A282="","",'PART III-DEMOGRAPHICS'!A282)</f>
        <v/>
      </c>
      <c r="B272" s="28"/>
      <c r="C272" s="27"/>
      <c r="D272" s="28"/>
      <c r="E272" s="21"/>
      <c r="F272" s="36" t="str">
        <f t="shared" si="12"/>
        <v>Did Not</v>
      </c>
      <c r="G272" s="28"/>
      <c r="H272" s="28"/>
      <c r="I272" s="28"/>
      <c r="J272" s="28"/>
      <c r="K272" s="28"/>
      <c r="L272" s="28"/>
      <c r="M272" s="28"/>
      <c r="N272" s="21"/>
      <c r="O272" s="28"/>
      <c r="P272" s="37"/>
      <c r="Q272" s="21"/>
      <c r="R272" s="21"/>
      <c r="S272" s="47"/>
      <c r="T272" s="25">
        <f t="shared" si="11"/>
        <v>0</v>
      </c>
      <c r="U272" s="25" t="str">
        <f>IF('PART III-DEMOGRAPHICS'!Q282="","",'PART III-DEMOGRAPHICS'!Q282)</f>
        <v/>
      </c>
    </row>
    <row r="273" spans="1:21" ht="33.6" customHeight="1">
      <c r="A273" s="25" t="str">
        <f>IF('PART III-DEMOGRAPHICS'!A283="","",'PART III-DEMOGRAPHICS'!A283)</f>
        <v/>
      </c>
      <c r="B273" s="28"/>
      <c r="C273" s="27"/>
      <c r="D273" s="28"/>
      <c r="E273" s="21"/>
      <c r="F273" s="36" t="str">
        <f t="shared" si="12"/>
        <v>Did Not</v>
      </c>
      <c r="G273" s="28"/>
      <c r="H273" s="28"/>
      <c r="I273" s="28"/>
      <c r="J273" s="28"/>
      <c r="K273" s="28"/>
      <c r="L273" s="28"/>
      <c r="M273" s="28"/>
      <c r="N273" s="21"/>
      <c r="O273" s="28"/>
      <c r="P273" s="37"/>
      <c r="Q273" s="21"/>
      <c r="R273" s="21"/>
      <c r="S273" s="47"/>
      <c r="T273" s="25">
        <f t="shared" si="11"/>
        <v>0</v>
      </c>
      <c r="U273" s="25" t="str">
        <f>IF('PART III-DEMOGRAPHICS'!Q283="","",'PART III-DEMOGRAPHICS'!Q283)</f>
        <v/>
      </c>
    </row>
    <row r="274" spans="1:21" ht="33.6" customHeight="1">
      <c r="A274" s="25" t="str">
        <f>IF('PART III-DEMOGRAPHICS'!A284="","",'PART III-DEMOGRAPHICS'!A284)</f>
        <v/>
      </c>
      <c r="B274" s="28"/>
      <c r="C274" s="27"/>
      <c r="D274" s="28"/>
      <c r="E274" s="21"/>
      <c r="F274" s="36" t="str">
        <f t="shared" si="12"/>
        <v>Did Not</v>
      </c>
      <c r="G274" s="28"/>
      <c r="H274" s="28"/>
      <c r="I274" s="28"/>
      <c r="J274" s="28"/>
      <c r="K274" s="28"/>
      <c r="L274" s="28"/>
      <c r="M274" s="28"/>
      <c r="N274" s="21"/>
      <c r="O274" s="28"/>
      <c r="P274" s="37"/>
      <c r="Q274" s="21"/>
      <c r="R274" s="21"/>
      <c r="S274" s="47"/>
      <c r="T274" s="25">
        <f t="shared" si="11"/>
        <v>0</v>
      </c>
      <c r="U274" s="25" t="str">
        <f>IF('PART III-DEMOGRAPHICS'!Q284="","",'PART III-DEMOGRAPHICS'!Q284)</f>
        <v/>
      </c>
    </row>
    <row r="275" spans="1:21" ht="33.6" customHeight="1">
      <c r="A275" s="25" t="str">
        <f>IF('PART III-DEMOGRAPHICS'!A285="","",'PART III-DEMOGRAPHICS'!A285)</f>
        <v/>
      </c>
      <c r="B275" s="28"/>
      <c r="C275" s="27"/>
      <c r="D275" s="28"/>
      <c r="E275" s="21"/>
      <c r="F275" s="36" t="str">
        <f t="shared" si="12"/>
        <v>Did Not</v>
      </c>
      <c r="G275" s="28"/>
      <c r="H275" s="28"/>
      <c r="I275" s="28"/>
      <c r="J275" s="28"/>
      <c r="K275" s="28"/>
      <c r="L275" s="28"/>
      <c r="M275" s="28"/>
      <c r="N275" s="21"/>
      <c r="O275" s="28"/>
      <c r="P275" s="37"/>
      <c r="Q275" s="21"/>
      <c r="R275" s="21"/>
      <c r="S275" s="47"/>
      <c r="T275" s="25">
        <f t="shared" si="11"/>
        <v>0</v>
      </c>
      <c r="U275" s="25" t="str">
        <f>IF('PART III-DEMOGRAPHICS'!Q285="","",'PART III-DEMOGRAPHICS'!Q285)</f>
        <v/>
      </c>
    </row>
    <row r="276" spans="1:21" ht="33.6" customHeight="1">
      <c r="A276" s="25" t="str">
        <f>IF('PART III-DEMOGRAPHICS'!A286="","",'PART III-DEMOGRAPHICS'!A286)</f>
        <v/>
      </c>
      <c r="B276" s="28"/>
      <c r="C276" s="27"/>
      <c r="D276" s="28"/>
      <c r="E276" s="21"/>
      <c r="F276" s="36" t="str">
        <f t="shared" si="12"/>
        <v>Did Not</v>
      </c>
      <c r="G276" s="28"/>
      <c r="H276" s="28"/>
      <c r="I276" s="28"/>
      <c r="J276" s="28"/>
      <c r="K276" s="28"/>
      <c r="L276" s="28"/>
      <c r="M276" s="28"/>
      <c r="N276" s="21"/>
      <c r="O276" s="28"/>
      <c r="P276" s="37"/>
      <c r="Q276" s="21"/>
      <c r="R276" s="21"/>
      <c r="S276" s="47"/>
      <c r="T276" s="25">
        <f t="shared" si="11"/>
        <v>0</v>
      </c>
      <c r="U276" s="25" t="str">
        <f>IF('PART III-DEMOGRAPHICS'!Q286="","",'PART III-DEMOGRAPHICS'!Q286)</f>
        <v/>
      </c>
    </row>
    <row r="277" spans="1:21" ht="33.6" customHeight="1">
      <c r="A277" s="25" t="str">
        <f>IF('PART III-DEMOGRAPHICS'!A287="","",'PART III-DEMOGRAPHICS'!A287)</f>
        <v/>
      </c>
      <c r="B277" s="28"/>
      <c r="C277" s="27"/>
      <c r="D277" s="28"/>
      <c r="E277" s="21"/>
      <c r="F277" s="36" t="str">
        <f t="shared" si="12"/>
        <v>Did Not</v>
      </c>
      <c r="G277" s="28"/>
      <c r="H277" s="28"/>
      <c r="I277" s="28"/>
      <c r="J277" s="28"/>
      <c r="K277" s="28"/>
      <c r="L277" s="28"/>
      <c r="M277" s="28"/>
      <c r="N277" s="21"/>
      <c r="O277" s="28"/>
      <c r="P277" s="37"/>
      <c r="Q277" s="21"/>
      <c r="R277" s="21"/>
      <c r="S277" s="47"/>
      <c r="T277" s="25">
        <f t="shared" si="11"/>
        <v>0</v>
      </c>
      <c r="U277" s="25" t="str">
        <f>IF('PART III-DEMOGRAPHICS'!Q287="","",'PART III-DEMOGRAPHICS'!Q287)</f>
        <v/>
      </c>
    </row>
    <row r="278" spans="1:21" ht="33.6" customHeight="1">
      <c r="A278" s="25" t="str">
        <f>IF('PART III-DEMOGRAPHICS'!A288="","",'PART III-DEMOGRAPHICS'!A288)</f>
        <v/>
      </c>
      <c r="B278" s="28"/>
      <c r="C278" s="27"/>
      <c r="D278" s="28"/>
      <c r="E278" s="21"/>
      <c r="F278" s="36" t="str">
        <f t="shared" si="12"/>
        <v>Did Not</v>
      </c>
      <c r="G278" s="28"/>
      <c r="H278" s="28"/>
      <c r="I278" s="28"/>
      <c r="J278" s="28"/>
      <c r="K278" s="28"/>
      <c r="L278" s="28"/>
      <c r="M278" s="28"/>
      <c r="N278" s="21"/>
      <c r="O278" s="28"/>
      <c r="P278" s="37"/>
      <c r="Q278" s="21"/>
      <c r="R278" s="21"/>
      <c r="S278" s="47"/>
      <c r="T278" s="25">
        <f t="shared" si="11"/>
        <v>0</v>
      </c>
      <c r="U278" s="25" t="str">
        <f>IF('PART III-DEMOGRAPHICS'!Q288="","",'PART III-DEMOGRAPHICS'!Q288)</f>
        <v/>
      </c>
    </row>
    <row r="279" spans="1:21" ht="33.6" customHeight="1">
      <c r="A279" s="25" t="str">
        <f>IF('PART III-DEMOGRAPHICS'!A289="","",'PART III-DEMOGRAPHICS'!A289)</f>
        <v/>
      </c>
      <c r="B279" s="28"/>
      <c r="C279" s="27"/>
      <c r="D279" s="28"/>
      <c r="E279" s="21"/>
      <c r="F279" s="36" t="str">
        <f t="shared" si="12"/>
        <v>Did Not</v>
      </c>
      <c r="G279" s="28"/>
      <c r="H279" s="28"/>
      <c r="I279" s="28"/>
      <c r="J279" s="28"/>
      <c r="K279" s="28"/>
      <c r="L279" s="28"/>
      <c r="M279" s="28"/>
      <c r="N279" s="21"/>
      <c r="O279" s="28"/>
      <c r="P279" s="37"/>
      <c r="Q279" s="21"/>
      <c r="R279" s="21"/>
      <c r="S279" s="47"/>
      <c r="T279" s="25">
        <f t="shared" si="11"/>
        <v>0</v>
      </c>
      <c r="U279" s="25" t="str">
        <f>IF('PART III-DEMOGRAPHICS'!Q289="","",'PART III-DEMOGRAPHICS'!Q289)</f>
        <v/>
      </c>
    </row>
    <row r="280" spans="1:21" ht="33.6" customHeight="1">
      <c r="A280" s="25" t="str">
        <f>IF('PART III-DEMOGRAPHICS'!A290="","",'PART III-DEMOGRAPHICS'!A290)</f>
        <v/>
      </c>
      <c r="B280" s="28"/>
      <c r="C280" s="27"/>
      <c r="D280" s="28"/>
      <c r="E280" s="21"/>
      <c r="F280" s="36" t="str">
        <f t="shared" si="12"/>
        <v>Did Not</v>
      </c>
      <c r="G280" s="28"/>
      <c r="H280" s="28"/>
      <c r="I280" s="28"/>
      <c r="J280" s="28"/>
      <c r="K280" s="28"/>
      <c r="L280" s="28"/>
      <c r="M280" s="28"/>
      <c r="N280" s="21"/>
      <c r="O280" s="28"/>
      <c r="P280" s="37"/>
      <c r="Q280" s="21"/>
      <c r="R280" s="21"/>
      <c r="S280" s="47"/>
      <c r="T280" s="25">
        <f t="shared" si="11"/>
        <v>0</v>
      </c>
      <c r="U280" s="25" t="str">
        <f>IF('PART III-DEMOGRAPHICS'!Q290="","",'PART III-DEMOGRAPHICS'!Q290)</f>
        <v/>
      </c>
    </row>
    <row r="281" spans="1:21" ht="33.6" customHeight="1">
      <c r="A281" s="25" t="str">
        <f>IF('PART III-DEMOGRAPHICS'!A291="","",'PART III-DEMOGRAPHICS'!A291)</f>
        <v/>
      </c>
      <c r="B281" s="28"/>
      <c r="C281" s="27"/>
      <c r="D281" s="28"/>
      <c r="E281" s="21"/>
      <c r="F281" s="36" t="str">
        <f t="shared" si="12"/>
        <v>Did Not</v>
      </c>
      <c r="G281" s="28"/>
      <c r="H281" s="28"/>
      <c r="I281" s="28"/>
      <c r="J281" s="28"/>
      <c r="K281" s="28"/>
      <c r="L281" s="28"/>
      <c r="M281" s="28"/>
      <c r="N281" s="21"/>
      <c r="O281" s="28"/>
      <c r="P281" s="37"/>
      <c r="Q281" s="21"/>
      <c r="R281" s="21"/>
      <c r="S281" s="47"/>
      <c r="T281" s="25">
        <f t="shared" si="11"/>
        <v>0</v>
      </c>
      <c r="U281" s="25" t="str">
        <f>IF('PART III-DEMOGRAPHICS'!Q291="","",'PART III-DEMOGRAPHICS'!Q291)</f>
        <v/>
      </c>
    </row>
    <row r="282" spans="1:21" ht="33.6" customHeight="1">
      <c r="A282" s="25" t="str">
        <f>IF('PART III-DEMOGRAPHICS'!A292="","",'PART III-DEMOGRAPHICS'!A292)</f>
        <v/>
      </c>
      <c r="B282" s="28"/>
      <c r="C282" s="27"/>
      <c r="D282" s="28"/>
      <c r="E282" s="21"/>
      <c r="F282" s="36" t="str">
        <f t="shared" si="12"/>
        <v>Did Not</v>
      </c>
      <c r="G282" s="28"/>
      <c r="H282" s="28"/>
      <c r="I282" s="28"/>
      <c r="J282" s="28"/>
      <c r="K282" s="28"/>
      <c r="L282" s="28"/>
      <c r="M282" s="28"/>
      <c r="N282" s="21"/>
      <c r="O282" s="28"/>
      <c r="P282" s="37"/>
      <c r="Q282" s="21"/>
      <c r="R282" s="21"/>
      <c r="S282" s="47"/>
      <c r="T282" s="25">
        <f t="shared" si="11"/>
        <v>0</v>
      </c>
      <c r="U282" s="25" t="str">
        <f>IF('PART III-DEMOGRAPHICS'!Q292="","",'PART III-DEMOGRAPHICS'!Q292)</f>
        <v/>
      </c>
    </row>
    <row r="283" spans="1:21" ht="33.6" customHeight="1">
      <c r="A283" s="25" t="str">
        <f>IF('PART III-DEMOGRAPHICS'!A293="","",'PART III-DEMOGRAPHICS'!A293)</f>
        <v/>
      </c>
      <c r="B283" s="28"/>
      <c r="C283" s="27"/>
      <c r="D283" s="28"/>
      <c r="E283" s="21"/>
      <c r="F283" s="36" t="str">
        <f t="shared" si="12"/>
        <v>Did Not</v>
      </c>
      <c r="G283" s="28"/>
      <c r="H283" s="28"/>
      <c r="I283" s="28"/>
      <c r="J283" s="28"/>
      <c r="K283" s="28"/>
      <c r="L283" s="28"/>
      <c r="M283" s="28"/>
      <c r="N283" s="21"/>
      <c r="O283" s="28"/>
      <c r="P283" s="37"/>
      <c r="Q283" s="21"/>
      <c r="R283" s="21"/>
      <c r="S283" s="47"/>
      <c r="T283" s="25">
        <f t="shared" si="11"/>
        <v>0</v>
      </c>
      <c r="U283" s="25" t="str">
        <f>IF('PART III-DEMOGRAPHICS'!Q293="","",'PART III-DEMOGRAPHICS'!Q293)</f>
        <v/>
      </c>
    </row>
    <row r="284" spans="1:21" ht="33.6" customHeight="1">
      <c r="A284" s="25" t="str">
        <f>IF('PART III-DEMOGRAPHICS'!A294="","",'PART III-DEMOGRAPHICS'!A294)</f>
        <v/>
      </c>
      <c r="B284" s="28"/>
      <c r="C284" s="27"/>
      <c r="D284" s="28"/>
      <c r="E284" s="21"/>
      <c r="F284" s="36" t="str">
        <f t="shared" si="12"/>
        <v>Did Not</v>
      </c>
      <c r="G284" s="28"/>
      <c r="H284" s="28"/>
      <c r="I284" s="28"/>
      <c r="J284" s="28"/>
      <c r="K284" s="28"/>
      <c r="L284" s="28"/>
      <c r="M284" s="28"/>
      <c r="N284" s="21"/>
      <c r="O284" s="28"/>
      <c r="P284" s="37"/>
      <c r="Q284" s="21"/>
      <c r="R284" s="21"/>
      <c r="S284" s="47"/>
      <c r="T284" s="25">
        <f t="shared" si="11"/>
        <v>0</v>
      </c>
      <c r="U284" s="25" t="str">
        <f>IF('PART III-DEMOGRAPHICS'!Q294="","",'PART III-DEMOGRAPHICS'!Q294)</f>
        <v/>
      </c>
    </row>
    <row r="285" spans="1:21" ht="33.6" customHeight="1">
      <c r="A285" s="25" t="str">
        <f>IF('PART III-DEMOGRAPHICS'!A295="","",'PART III-DEMOGRAPHICS'!A295)</f>
        <v/>
      </c>
      <c r="B285" s="28"/>
      <c r="C285" s="27"/>
      <c r="D285" s="28"/>
      <c r="E285" s="21"/>
      <c r="F285" s="36" t="str">
        <f t="shared" si="12"/>
        <v>Did Not</v>
      </c>
      <c r="G285" s="28"/>
      <c r="H285" s="28"/>
      <c r="I285" s="28"/>
      <c r="J285" s="28"/>
      <c r="K285" s="28"/>
      <c r="L285" s="28"/>
      <c r="M285" s="28"/>
      <c r="N285" s="21"/>
      <c r="O285" s="28"/>
      <c r="P285" s="37"/>
      <c r="Q285" s="21"/>
      <c r="R285" s="21"/>
      <c r="S285" s="47"/>
      <c r="T285" s="25">
        <f t="shared" si="11"/>
        <v>0</v>
      </c>
      <c r="U285" s="25" t="str">
        <f>IF('PART III-DEMOGRAPHICS'!Q295="","",'PART III-DEMOGRAPHICS'!Q295)</f>
        <v/>
      </c>
    </row>
    <row r="286" spans="1:21" ht="33.6" customHeight="1">
      <c r="A286" s="25" t="str">
        <f>IF('PART III-DEMOGRAPHICS'!A296="","",'PART III-DEMOGRAPHICS'!A296)</f>
        <v/>
      </c>
      <c r="B286" s="28"/>
      <c r="C286" s="27"/>
      <c r="D286" s="28"/>
      <c r="E286" s="21"/>
      <c r="F286" s="36" t="str">
        <f t="shared" si="12"/>
        <v>Did Not</v>
      </c>
      <c r="G286" s="28"/>
      <c r="H286" s="28"/>
      <c r="I286" s="28"/>
      <c r="J286" s="28"/>
      <c r="K286" s="28"/>
      <c r="L286" s="28"/>
      <c r="M286" s="28"/>
      <c r="N286" s="21"/>
      <c r="O286" s="28"/>
      <c r="P286" s="37"/>
      <c r="Q286" s="21"/>
      <c r="R286" s="21"/>
      <c r="S286" s="47"/>
      <c r="T286" s="25">
        <f t="shared" si="11"/>
        <v>0</v>
      </c>
      <c r="U286" s="25" t="str">
        <f>IF('PART III-DEMOGRAPHICS'!Q296="","",'PART III-DEMOGRAPHICS'!Q296)</f>
        <v/>
      </c>
    </row>
    <row r="287" spans="1:21" ht="33.6" customHeight="1">
      <c r="A287" s="25" t="str">
        <f>IF('PART III-DEMOGRAPHICS'!A297="","",'PART III-DEMOGRAPHICS'!A297)</f>
        <v/>
      </c>
      <c r="B287" s="28"/>
      <c r="C287" s="27"/>
      <c r="D287" s="28"/>
      <c r="E287" s="21"/>
      <c r="F287" s="36" t="str">
        <f t="shared" si="12"/>
        <v>Did Not</v>
      </c>
      <c r="G287" s="28"/>
      <c r="H287" s="28"/>
      <c r="I287" s="28"/>
      <c r="J287" s="28"/>
      <c r="K287" s="28"/>
      <c r="L287" s="28"/>
      <c r="M287" s="28"/>
      <c r="N287" s="21"/>
      <c r="O287" s="28"/>
      <c r="P287" s="37"/>
      <c r="Q287" s="21"/>
      <c r="R287" s="21"/>
      <c r="S287" s="47"/>
      <c r="T287" s="25">
        <f t="shared" si="11"/>
        <v>0</v>
      </c>
      <c r="U287" s="25" t="str">
        <f>IF('PART III-DEMOGRAPHICS'!Q297="","",'PART III-DEMOGRAPHICS'!Q297)</f>
        <v/>
      </c>
    </row>
    <row r="288" spans="1:21" ht="33.6" customHeight="1">
      <c r="A288" s="25" t="str">
        <f>IF('PART III-DEMOGRAPHICS'!A298="","",'PART III-DEMOGRAPHICS'!A298)</f>
        <v/>
      </c>
      <c r="B288" s="28"/>
      <c r="C288" s="27"/>
      <c r="D288" s="28"/>
      <c r="E288" s="21"/>
      <c r="F288" s="36" t="str">
        <f t="shared" si="12"/>
        <v>Did Not</v>
      </c>
      <c r="G288" s="28"/>
      <c r="H288" s="28"/>
      <c r="I288" s="28"/>
      <c r="J288" s="28"/>
      <c r="K288" s="28"/>
      <c r="L288" s="28"/>
      <c r="M288" s="28"/>
      <c r="N288" s="21"/>
      <c r="O288" s="28"/>
      <c r="P288" s="37"/>
      <c r="Q288" s="21"/>
      <c r="R288" s="21"/>
      <c r="S288" s="47"/>
      <c r="T288" s="25">
        <f t="shared" si="11"/>
        <v>0</v>
      </c>
      <c r="U288" s="25" t="str">
        <f>IF('PART III-DEMOGRAPHICS'!Q298="","",'PART III-DEMOGRAPHICS'!Q298)</f>
        <v/>
      </c>
    </row>
    <row r="289" spans="1:21" ht="33.6" customHeight="1">
      <c r="A289" s="25" t="str">
        <f>IF('PART III-DEMOGRAPHICS'!A299="","",'PART III-DEMOGRAPHICS'!A299)</f>
        <v/>
      </c>
      <c r="B289" s="28"/>
      <c r="C289" s="27"/>
      <c r="D289" s="28"/>
      <c r="E289" s="21"/>
      <c r="F289" s="36" t="str">
        <f t="shared" si="12"/>
        <v>Did Not</v>
      </c>
      <c r="G289" s="28"/>
      <c r="H289" s="28"/>
      <c r="I289" s="28"/>
      <c r="J289" s="28"/>
      <c r="K289" s="28"/>
      <c r="L289" s="28"/>
      <c r="M289" s="28"/>
      <c r="N289" s="21"/>
      <c r="O289" s="28"/>
      <c r="P289" s="37"/>
      <c r="Q289" s="21"/>
      <c r="R289" s="21"/>
      <c r="S289" s="47"/>
      <c r="T289" s="25">
        <f t="shared" si="11"/>
        <v>0</v>
      </c>
      <c r="U289" s="25" t="str">
        <f>IF('PART III-DEMOGRAPHICS'!Q299="","",'PART III-DEMOGRAPHICS'!Q299)</f>
        <v/>
      </c>
    </row>
    <row r="290" spans="1:21" ht="33.6" customHeight="1">
      <c r="A290" s="25" t="str">
        <f>IF('PART III-DEMOGRAPHICS'!A300="","",'PART III-DEMOGRAPHICS'!A300)</f>
        <v/>
      </c>
      <c r="B290" s="28"/>
      <c r="C290" s="27"/>
      <c r="D290" s="28"/>
      <c r="E290" s="21"/>
      <c r="F290" s="36" t="str">
        <f t="shared" si="12"/>
        <v>Did Not</v>
      </c>
      <c r="G290" s="28"/>
      <c r="H290" s="28"/>
      <c r="I290" s="28"/>
      <c r="J290" s="28"/>
      <c r="K290" s="28"/>
      <c r="L290" s="28"/>
      <c r="M290" s="28"/>
      <c r="N290" s="21"/>
      <c r="O290" s="28"/>
      <c r="P290" s="37"/>
      <c r="Q290" s="21"/>
      <c r="R290" s="21"/>
      <c r="S290" s="47"/>
      <c r="T290" s="25">
        <f t="shared" si="11"/>
        <v>0</v>
      </c>
      <c r="U290" s="25" t="str">
        <f>IF('PART III-DEMOGRAPHICS'!Q300="","",'PART III-DEMOGRAPHICS'!Q300)</f>
        <v/>
      </c>
    </row>
    <row r="291" spans="1:21" ht="33.6" customHeight="1">
      <c r="A291" s="25" t="str">
        <f>IF('PART III-DEMOGRAPHICS'!A301="","",'PART III-DEMOGRAPHICS'!A301)</f>
        <v/>
      </c>
      <c r="B291" s="28"/>
      <c r="C291" s="27"/>
      <c r="D291" s="28"/>
      <c r="E291" s="21"/>
      <c r="F291" s="36" t="str">
        <f t="shared" si="12"/>
        <v>Did Not</v>
      </c>
      <c r="G291" s="28"/>
      <c r="H291" s="28"/>
      <c r="I291" s="28"/>
      <c r="J291" s="28"/>
      <c r="K291" s="28"/>
      <c r="L291" s="28"/>
      <c r="M291" s="28"/>
      <c r="N291" s="21"/>
      <c r="O291" s="28"/>
      <c r="P291" s="37"/>
      <c r="Q291" s="21"/>
      <c r="R291" s="21"/>
      <c r="S291" s="47"/>
      <c r="T291" s="25">
        <f t="shared" si="11"/>
        <v>0</v>
      </c>
      <c r="U291" s="25" t="str">
        <f>IF('PART III-DEMOGRAPHICS'!Q301="","",'PART III-DEMOGRAPHICS'!Q301)</f>
        <v/>
      </c>
    </row>
    <row r="292" spans="1:21" ht="33.6" customHeight="1">
      <c r="A292" s="25" t="str">
        <f>IF('PART III-DEMOGRAPHICS'!A302="","",'PART III-DEMOGRAPHICS'!A302)</f>
        <v/>
      </c>
      <c r="B292" s="28"/>
      <c r="C292" s="27"/>
      <c r="D292" s="28"/>
      <c r="E292" s="21"/>
      <c r="F292" s="36" t="str">
        <f t="shared" si="12"/>
        <v>Did Not</v>
      </c>
      <c r="G292" s="28"/>
      <c r="H292" s="28"/>
      <c r="I292" s="28"/>
      <c r="J292" s="28"/>
      <c r="K292" s="28"/>
      <c r="L292" s="28"/>
      <c r="M292" s="28"/>
      <c r="N292" s="21"/>
      <c r="O292" s="28"/>
      <c r="P292" s="37"/>
      <c r="Q292" s="21"/>
      <c r="R292" s="21"/>
      <c r="S292" s="47"/>
      <c r="T292" s="25">
        <f t="shared" si="11"/>
        <v>0</v>
      </c>
      <c r="U292" s="25" t="str">
        <f>IF('PART III-DEMOGRAPHICS'!Q302="","",'PART III-DEMOGRAPHICS'!Q302)</f>
        <v/>
      </c>
    </row>
    <row r="293" spans="1:21" ht="33.6" customHeight="1">
      <c r="A293" s="25" t="str">
        <f>IF('PART III-DEMOGRAPHICS'!A303="","",'PART III-DEMOGRAPHICS'!A303)</f>
        <v/>
      </c>
      <c r="B293" s="28"/>
      <c r="C293" s="27"/>
      <c r="D293" s="28"/>
      <c r="E293" s="21"/>
      <c r="F293" s="36" t="str">
        <f t="shared" si="12"/>
        <v>Did Not</v>
      </c>
      <c r="G293" s="28"/>
      <c r="H293" s="28"/>
      <c r="I293" s="28"/>
      <c r="J293" s="28"/>
      <c r="K293" s="28"/>
      <c r="L293" s="28"/>
      <c r="M293" s="28"/>
      <c r="N293" s="21"/>
      <c r="O293" s="28"/>
      <c r="P293" s="37"/>
      <c r="Q293" s="21"/>
      <c r="R293" s="21"/>
      <c r="S293" s="47"/>
      <c r="T293" s="25">
        <f t="shared" si="11"/>
        <v>0</v>
      </c>
      <c r="U293" s="25" t="str">
        <f>IF('PART III-DEMOGRAPHICS'!Q303="","",'PART III-DEMOGRAPHICS'!Q303)</f>
        <v/>
      </c>
    </row>
    <row r="294" spans="1:21" ht="33.6" customHeight="1">
      <c r="A294" s="25" t="str">
        <f>IF('PART III-DEMOGRAPHICS'!A304="","",'PART III-DEMOGRAPHICS'!A304)</f>
        <v/>
      </c>
      <c r="B294" s="28"/>
      <c r="C294" s="27"/>
      <c r="D294" s="28"/>
      <c r="E294" s="21"/>
      <c r="F294" s="36" t="str">
        <f t="shared" si="12"/>
        <v>Did Not</v>
      </c>
      <c r="G294" s="28"/>
      <c r="H294" s="28"/>
      <c r="I294" s="28"/>
      <c r="J294" s="28"/>
      <c r="K294" s="28"/>
      <c r="L294" s="28"/>
      <c r="M294" s="28"/>
      <c r="N294" s="21"/>
      <c r="O294" s="28"/>
      <c r="P294" s="37"/>
      <c r="Q294" s="21"/>
      <c r="R294" s="21"/>
      <c r="S294" s="47"/>
      <c r="T294" s="25">
        <f t="shared" si="11"/>
        <v>0</v>
      </c>
      <c r="U294" s="25" t="str">
        <f>IF('PART III-DEMOGRAPHICS'!Q304="","",'PART III-DEMOGRAPHICS'!Q304)</f>
        <v/>
      </c>
    </row>
    <row r="295" spans="1:21" ht="33.6" customHeight="1">
      <c r="A295" s="25" t="str">
        <f>IF('PART III-DEMOGRAPHICS'!A305="","",'PART III-DEMOGRAPHICS'!A305)</f>
        <v/>
      </c>
      <c r="B295" s="28"/>
      <c r="C295" s="27"/>
      <c r="D295" s="28"/>
      <c r="E295" s="21"/>
      <c r="F295" s="36" t="str">
        <f t="shared" si="12"/>
        <v>Did Not</v>
      </c>
      <c r="G295" s="28"/>
      <c r="H295" s="28"/>
      <c r="I295" s="28"/>
      <c r="J295" s="28"/>
      <c r="K295" s="28"/>
      <c r="L295" s="28"/>
      <c r="M295" s="28"/>
      <c r="N295" s="21"/>
      <c r="O295" s="28"/>
      <c r="P295" s="37"/>
      <c r="Q295" s="21"/>
      <c r="R295" s="21"/>
      <c r="S295" s="47"/>
      <c r="T295" s="25">
        <f t="shared" si="11"/>
        <v>0</v>
      </c>
      <c r="U295" s="25" t="str">
        <f>IF('PART III-DEMOGRAPHICS'!Q305="","",'PART III-DEMOGRAPHICS'!Q305)</f>
        <v/>
      </c>
    </row>
    <row r="296" spans="1:21" ht="33.6" customHeight="1">
      <c r="A296" s="25" t="str">
        <f>IF('PART III-DEMOGRAPHICS'!A306="","",'PART III-DEMOGRAPHICS'!A306)</f>
        <v/>
      </c>
      <c r="B296" s="28"/>
      <c r="C296" s="27"/>
      <c r="D296" s="28"/>
      <c r="E296" s="21"/>
      <c r="F296" s="36" t="str">
        <f t="shared" si="12"/>
        <v>Did Not</v>
      </c>
      <c r="G296" s="28"/>
      <c r="H296" s="28"/>
      <c r="I296" s="28"/>
      <c r="J296" s="28"/>
      <c r="K296" s="28"/>
      <c r="L296" s="28"/>
      <c r="M296" s="28"/>
      <c r="N296" s="21"/>
      <c r="O296" s="28"/>
      <c r="P296" s="37"/>
      <c r="Q296" s="21"/>
      <c r="R296" s="21"/>
      <c r="S296" s="47"/>
      <c r="T296" s="25">
        <f t="shared" si="11"/>
        <v>0</v>
      </c>
      <c r="U296" s="25" t="str">
        <f>IF('PART III-DEMOGRAPHICS'!Q306="","",'PART III-DEMOGRAPHICS'!Q306)</f>
        <v/>
      </c>
    </row>
    <row r="297" spans="1:21" ht="33.6" customHeight="1">
      <c r="A297" s="25" t="str">
        <f>IF('PART III-DEMOGRAPHICS'!A307="","",'PART III-DEMOGRAPHICS'!A307)</f>
        <v/>
      </c>
      <c r="B297" s="28"/>
      <c r="C297" s="27"/>
      <c r="D297" s="28"/>
      <c r="E297" s="21"/>
      <c r="F297" s="36" t="str">
        <f t="shared" si="12"/>
        <v>Did Not</v>
      </c>
      <c r="G297" s="28"/>
      <c r="H297" s="28"/>
      <c r="I297" s="28"/>
      <c r="J297" s="28"/>
      <c r="K297" s="28"/>
      <c r="L297" s="28"/>
      <c r="M297" s="28"/>
      <c r="N297" s="21"/>
      <c r="O297" s="28"/>
      <c r="P297" s="37"/>
      <c r="Q297" s="21"/>
      <c r="R297" s="21"/>
      <c r="S297" s="47"/>
      <c r="T297" s="25">
        <f t="shared" si="11"/>
        <v>0</v>
      </c>
      <c r="U297" s="25" t="str">
        <f>IF('PART III-DEMOGRAPHICS'!Q307="","",'PART III-DEMOGRAPHICS'!Q307)</f>
        <v/>
      </c>
    </row>
    <row r="298" spans="1:21" ht="33.6" customHeight="1">
      <c r="A298" s="25" t="str">
        <f>IF('PART III-DEMOGRAPHICS'!A308="","",'PART III-DEMOGRAPHICS'!A308)</f>
        <v/>
      </c>
      <c r="B298" s="28"/>
      <c r="C298" s="27"/>
      <c r="D298" s="28"/>
      <c r="E298" s="21"/>
      <c r="F298" s="36" t="str">
        <f t="shared" si="12"/>
        <v>Did Not</v>
      </c>
      <c r="G298" s="28"/>
      <c r="H298" s="28"/>
      <c r="I298" s="28"/>
      <c r="J298" s="28"/>
      <c r="K298" s="28"/>
      <c r="L298" s="28"/>
      <c r="M298" s="28"/>
      <c r="N298" s="21"/>
      <c r="O298" s="28"/>
      <c r="P298" s="37"/>
      <c r="Q298" s="21"/>
      <c r="R298" s="21"/>
      <c r="S298" s="47"/>
      <c r="T298" s="25">
        <f t="shared" si="11"/>
        <v>0</v>
      </c>
      <c r="U298" s="25" t="str">
        <f>IF('PART III-DEMOGRAPHICS'!Q308="","",'PART III-DEMOGRAPHICS'!Q308)</f>
        <v/>
      </c>
    </row>
    <row r="299" spans="1:21" ht="33.6" customHeight="1">
      <c r="A299" s="25" t="str">
        <f>IF('PART III-DEMOGRAPHICS'!A309="","",'PART III-DEMOGRAPHICS'!A309)</f>
        <v/>
      </c>
      <c r="B299" s="28"/>
      <c r="C299" s="27"/>
      <c r="D299" s="28"/>
      <c r="E299" s="21"/>
      <c r="F299" s="36" t="str">
        <f t="shared" si="12"/>
        <v>Did Not</v>
      </c>
      <c r="G299" s="28"/>
      <c r="H299" s="28"/>
      <c r="I299" s="28"/>
      <c r="J299" s="28"/>
      <c r="K299" s="28"/>
      <c r="L299" s="28"/>
      <c r="M299" s="28"/>
      <c r="N299" s="21"/>
      <c r="O299" s="28"/>
      <c r="P299" s="37"/>
      <c r="Q299" s="21"/>
      <c r="R299" s="21"/>
      <c r="S299" s="47"/>
      <c r="T299" s="25">
        <f t="shared" si="11"/>
        <v>0</v>
      </c>
      <c r="U299" s="25" t="str">
        <f>IF('PART III-DEMOGRAPHICS'!Q309="","",'PART III-DEMOGRAPHICS'!Q309)</f>
        <v/>
      </c>
    </row>
    <row r="300" spans="1:21" ht="33.6" customHeight="1">
      <c r="A300" s="25" t="str">
        <f>IF('PART III-DEMOGRAPHICS'!A310="","",'PART III-DEMOGRAPHICS'!A310)</f>
        <v/>
      </c>
      <c r="B300" s="28"/>
      <c r="C300" s="27"/>
      <c r="D300" s="28"/>
      <c r="E300" s="21"/>
      <c r="F300" s="36" t="str">
        <f t="shared" si="12"/>
        <v>Did Not</v>
      </c>
      <c r="G300" s="28"/>
      <c r="H300" s="28"/>
      <c r="I300" s="28"/>
      <c r="J300" s="28"/>
      <c r="K300" s="28"/>
      <c r="L300" s="28"/>
      <c r="M300" s="28"/>
      <c r="N300" s="21"/>
      <c r="O300" s="28"/>
      <c r="P300" s="37"/>
      <c r="Q300" s="21"/>
      <c r="R300" s="21"/>
      <c r="S300" s="47"/>
      <c r="T300" s="25">
        <f t="shared" si="11"/>
        <v>0</v>
      </c>
      <c r="U300" s="25" t="str">
        <f>IF('PART III-DEMOGRAPHICS'!Q310="","",'PART III-DEMOGRAPHICS'!Q310)</f>
        <v/>
      </c>
    </row>
    <row r="301" spans="1:21" ht="33.6" customHeight="1">
      <c r="A301" s="25" t="str">
        <f>IF('PART III-DEMOGRAPHICS'!A311="","",'PART III-DEMOGRAPHICS'!A311)</f>
        <v/>
      </c>
      <c r="B301" s="28"/>
      <c r="C301" s="27"/>
      <c r="D301" s="28"/>
      <c r="E301" s="21"/>
      <c r="F301" s="36" t="str">
        <f t="shared" si="12"/>
        <v>Did Not</v>
      </c>
      <c r="G301" s="28"/>
      <c r="H301" s="28"/>
      <c r="I301" s="28"/>
      <c r="J301" s="28"/>
      <c r="K301" s="28"/>
      <c r="L301" s="28"/>
      <c r="M301" s="28"/>
      <c r="N301" s="21"/>
      <c r="O301" s="28"/>
      <c r="P301" s="37"/>
      <c r="Q301" s="21"/>
      <c r="R301" s="21"/>
      <c r="S301" s="47"/>
      <c r="T301" s="25">
        <f t="shared" si="11"/>
        <v>0</v>
      </c>
      <c r="U301" s="25" t="str">
        <f>IF('PART III-DEMOGRAPHICS'!Q311="","",'PART III-DEMOGRAPHICS'!Q311)</f>
        <v/>
      </c>
    </row>
    <row r="302" spans="1:21" ht="33.6" customHeight="1">
      <c r="A302" s="25" t="str">
        <f>IF('PART III-DEMOGRAPHICS'!A312="","",'PART III-DEMOGRAPHICS'!A312)</f>
        <v/>
      </c>
      <c r="B302" s="28"/>
      <c r="C302" s="27"/>
      <c r="D302" s="28"/>
      <c r="E302" s="21"/>
      <c r="F302" s="36" t="str">
        <f t="shared" si="12"/>
        <v>Did Not</v>
      </c>
      <c r="G302" s="28"/>
      <c r="H302" s="28"/>
      <c r="I302" s="28"/>
      <c r="J302" s="28"/>
      <c r="K302" s="28"/>
      <c r="L302" s="28"/>
      <c r="M302" s="28"/>
      <c r="N302" s="21"/>
      <c r="O302" s="28"/>
      <c r="P302" s="37"/>
      <c r="Q302" s="21"/>
      <c r="R302" s="21"/>
      <c r="S302" s="47"/>
      <c r="T302" s="25">
        <f t="shared" si="11"/>
        <v>0</v>
      </c>
      <c r="U302" s="25" t="str">
        <f>IF('PART III-DEMOGRAPHICS'!Q312="","",'PART III-DEMOGRAPHICS'!Q312)</f>
        <v/>
      </c>
    </row>
    <row r="303" spans="1:21" ht="33.6" customHeight="1">
      <c r="A303" s="25" t="str">
        <f>IF('PART III-DEMOGRAPHICS'!A313="","",'PART III-DEMOGRAPHICS'!A313)</f>
        <v/>
      </c>
      <c r="B303" s="28"/>
      <c r="C303" s="27"/>
      <c r="D303" s="28"/>
      <c r="E303" s="21"/>
      <c r="F303" s="36" t="str">
        <f t="shared" si="12"/>
        <v>Did Not</v>
      </c>
      <c r="G303" s="28"/>
      <c r="H303" s="28"/>
      <c r="I303" s="28"/>
      <c r="J303" s="28"/>
      <c r="K303" s="28"/>
      <c r="L303" s="28"/>
      <c r="M303" s="28"/>
      <c r="N303" s="21"/>
      <c r="O303" s="28"/>
      <c r="P303" s="37"/>
      <c r="Q303" s="21"/>
      <c r="R303" s="21"/>
      <c r="S303" s="47"/>
      <c r="T303" s="25">
        <f t="shared" si="11"/>
        <v>0</v>
      </c>
      <c r="U303" s="25" t="str">
        <f>IF('PART III-DEMOGRAPHICS'!Q313="","",'PART III-DEMOGRAPHICS'!Q313)</f>
        <v/>
      </c>
    </row>
    <row r="304" spans="1:21" ht="33.6" customHeight="1">
      <c r="A304" s="25" t="str">
        <f>IF('PART III-DEMOGRAPHICS'!A314="","",'PART III-DEMOGRAPHICS'!A314)</f>
        <v/>
      </c>
      <c r="B304" s="28"/>
      <c r="C304" s="27"/>
      <c r="D304" s="28"/>
      <c r="E304" s="21"/>
      <c r="F304" s="36" t="str">
        <f t="shared" si="12"/>
        <v>Did Not</v>
      </c>
      <c r="G304" s="28"/>
      <c r="H304" s="28"/>
      <c r="I304" s="28"/>
      <c r="J304" s="28"/>
      <c r="K304" s="28"/>
      <c r="L304" s="28"/>
      <c r="M304" s="28"/>
      <c r="N304" s="21"/>
      <c r="O304" s="28"/>
      <c r="P304" s="37"/>
      <c r="Q304" s="21"/>
      <c r="R304" s="21"/>
      <c r="S304" s="47"/>
      <c r="T304" s="25">
        <f t="shared" si="11"/>
        <v>0</v>
      </c>
      <c r="U304" s="25" t="str">
        <f>IF('PART III-DEMOGRAPHICS'!Q314="","",'PART III-DEMOGRAPHICS'!Q314)</f>
        <v/>
      </c>
    </row>
    <row r="305" spans="1:21" ht="33.6" customHeight="1">
      <c r="A305" s="25" t="str">
        <f>IF('PART III-DEMOGRAPHICS'!A315="","",'PART III-DEMOGRAPHICS'!A315)</f>
        <v/>
      </c>
      <c r="B305" s="28"/>
      <c r="C305" s="27"/>
      <c r="D305" s="28"/>
      <c r="E305" s="21"/>
      <c r="F305" s="36" t="str">
        <f t="shared" si="12"/>
        <v>Did Not</v>
      </c>
      <c r="G305" s="28"/>
      <c r="H305" s="28"/>
      <c r="I305" s="28"/>
      <c r="J305" s="28"/>
      <c r="K305" s="28"/>
      <c r="L305" s="28"/>
      <c r="M305" s="28"/>
      <c r="N305" s="21"/>
      <c r="O305" s="28"/>
      <c r="P305" s="37"/>
      <c r="Q305" s="21"/>
      <c r="R305" s="21"/>
      <c r="S305" s="47"/>
      <c r="T305" s="25">
        <f t="shared" si="11"/>
        <v>0</v>
      </c>
      <c r="U305" s="25" t="str">
        <f>IF('PART III-DEMOGRAPHICS'!Q315="","",'PART III-DEMOGRAPHICS'!Q315)</f>
        <v/>
      </c>
    </row>
    <row r="306" spans="1:21" ht="33.6" customHeight="1">
      <c r="A306" s="25" t="str">
        <f>IF('PART III-DEMOGRAPHICS'!A316="","",'PART III-DEMOGRAPHICS'!A316)</f>
        <v/>
      </c>
      <c r="B306" s="28"/>
      <c r="C306" s="27"/>
      <c r="D306" s="28"/>
      <c r="E306" s="21"/>
      <c r="F306" s="36" t="str">
        <f t="shared" si="12"/>
        <v>Did Not</v>
      </c>
      <c r="G306" s="28"/>
      <c r="H306" s="28"/>
      <c r="I306" s="28"/>
      <c r="J306" s="28"/>
      <c r="K306" s="28"/>
      <c r="L306" s="28"/>
      <c r="M306" s="28"/>
      <c r="N306" s="21"/>
      <c r="O306" s="28"/>
      <c r="P306" s="37"/>
      <c r="Q306" s="21"/>
      <c r="R306" s="21"/>
      <c r="S306" s="47"/>
      <c r="T306" s="25">
        <f t="shared" si="11"/>
        <v>0</v>
      </c>
      <c r="U306" s="25" t="str">
        <f>IF('PART III-DEMOGRAPHICS'!Q316="","",'PART III-DEMOGRAPHICS'!Q316)</f>
        <v/>
      </c>
    </row>
    <row r="307" spans="1:21" ht="33.6" customHeight="1">
      <c r="A307" s="25" t="str">
        <f>IF('PART III-DEMOGRAPHICS'!A317="","",'PART III-DEMOGRAPHICS'!A317)</f>
        <v/>
      </c>
      <c r="B307" s="28"/>
      <c r="C307" s="27"/>
      <c r="D307" s="28"/>
      <c r="E307" s="21"/>
      <c r="F307" s="36" t="str">
        <f t="shared" si="12"/>
        <v>Did Not</v>
      </c>
      <c r="G307" s="28"/>
      <c r="H307" s="28"/>
      <c r="I307" s="28"/>
      <c r="J307" s="28"/>
      <c r="K307" s="28"/>
      <c r="L307" s="28"/>
      <c r="M307" s="28"/>
      <c r="N307" s="21"/>
      <c r="O307" s="28"/>
      <c r="P307" s="37"/>
      <c r="Q307" s="21"/>
      <c r="R307" s="21"/>
      <c r="S307" s="47"/>
      <c r="T307" s="25">
        <f t="shared" si="11"/>
        <v>0</v>
      </c>
      <c r="U307" s="25" t="str">
        <f>IF('PART III-DEMOGRAPHICS'!Q317="","",'PART III-DEMOGRAPHICS'!Q317)</f>
        <v/>
      </c>
    </row>
    <row r="308" spans="1:21" ht="33.6" customHeight="1">
      <c r="A308" s="25" t="str">
        <f>IF('PART III-DEMOGRAPHICS'!A318="","",'PART III-DEMOGRAPHICS'!A318)</f>
        <v/>
      </c>
      <c r="B308" s="28"/>
      <c r="C308" s="27"/>
      <c r="D308" s="28"/>
      <c r="E308" s="21"/>
      <c r="F308" s="36" t="str">
        <f t="shared" si="12"/>
        <v>Did Not</v>
      </c>
      <c r="G308" s="28"/>
      <c r="H308" s="28"/>
      <c r="I308" s="28"/>
      <c r="J308" s="28"/>
      <c r="K308" s="28"/>
      <c r="L308" s="28"/>
      <c r="M308" s="28"/>
      <c r="N308" s="21"/>
      <c r="O308" s="28"/>
      <c r="P308" s="37"/>
      <c r="Q308" s="21"/>
      <c r="R308" s="21"/>
      <c r="S308" s="47"/>
      <c r="T308" s="25">
        <f t="shared" si="11"/>
        <v>0</v>
      </c>
      <c r="U308" s="25" t="str">
        <f>IF('PART III-DEMOGRAPHICS'!Q318="","",'PART III-DEMOGRAPHICS'!Q318)</f>
        <v/>
      </c>
    </row>
    <row r="309" spans="1:21" ht="33.6" customHeight="1">
      <c r="A309" s="25" t="str">
        <f>IF('PART III-DEMOGRAPHICS'!A319="","",'PART III-DEMOGRAPHICS'!A319)</f>
        <v/>
      </c>
      <c r="B309" s="28"/>
      <c r="C309" s="27"/>
      <c r="D309" s="28"/>
      <c r="E309" s="21"/>
      <c r="F309" s="36" t="str">
        <f t="shared" si="12"/>
        <v>Did Not</v>
      </c>
      <c r="G309" s="28"/>
      <c r="H309" s="28"/>
      <c r="I309" s="28"/>
      <c r="J309" s="28"/>
      <c r="K309" s="28"/>
      <c r="L309" s="28"/>
      <c r="M309" s="28"/>
      <c r="N309" s="21"/>
      <c r="O309" s="28"/>
      <c r="P309" s="37"/>
      <c r="Q309" s="21"/>
      <c r="R309" s="21"/>
      <c r="S309" s="47"/>
      <c r="T309" s="25">
        <f t="shared" si="11"/>
        <v>0</v>
      </c>
      <c r="U309" s="25" t="str">
        <f>IF('PART III-DEMOGRAPHICS'!Q319="","",'PART III-DEMOGRAPHICS'!Q319)</f>
        <v/>
      </c>
    </row>
    <row r="310" spans="1:21" ht="33.6" customHeight="1">
      <c r="A310" s="25" t="str">
        <f>IF('PART III-DEMOGRAPHICS'!A320="","",'PART III-DEMOGRAPHICS'!A320)</f>
        <v/>
      </c>
      <c r="B310" s="28"/>
      <c r="C310" s="27"/>
      <c r="D310" s="28"/>
      <c r="E310" s="21"/>
      <c r="F310" s="36" t="str">
        <f t="shared" si="12"/>
        <v>Did Not</v>
      </c>
      <c r="G310" s="28"/>
      <c r="H310" s="28"/>
      <c r="I310" s="28"/>
      <c r="J310" s="28"/>
      <c r="K310" s="28"/>
      <c r="L310" s="28"/>
      <c r="M310" s="28"/>
      <c r="N310" s="21"/>
      <c r="O310" s="28"/>
      <c r="P310" s="37"/>
      <c r="Q310" s="21"/>
      <c r="R310" s="21"/>
      <c r="S310" s="47"/>
      <c r="T310" s="25">
        <f t="shared" si="11"/>
        <v>0</v>
      </c>
      <c r="U310" s="25" t="str">
        <f>IF('PART III-DEMOGRAPHICS'!Q320="","",'PART III-DEMOGRAPHICS'!Q320)</f>
        <v/>
      </c>
    </row>
    <row r="311" spans="1:21" ht="33.6" customHeight="1">
      <c r="A311" s="25" t="str">
        <f>IF('PART III-DEMOGRAPHICS'!A321="","",'PART III-DEMOGRAPHICS'!A321)</f>
        <v/>
      </c>
      <c r="B311" s="28"/>
      <c r="C311" s="27"/>
      <c r="D311" s="28"/>
      <c r="E311" s="21"/>
      <c r="F311" s="36" t="str">
        <f t="shared" si="12"/>
        <v>Did Not</v>
      </c>
      <c r="G311" s="28"/>
      <c r="H311" s="28"/>
      <c r="I311" s="28"/>
      <c r="J311" s="28"/>
      <c r="K311" s="28"/>
      <c r="L311" s="28"/>
      <c r="M311" s="28"/>
      <c r="N311" s="21"/>
      <c r="O311" s="28"/>
      <c r="P311" s="37"/>
      <c r="Q311" s="21"/>
      <c r="R311" s="21"/>
      <c r="S311" s="47"/>
      <c r="T311" s="25">
        <f t="shared" si="11"/>
        <v>0</v>
      </c>
      <c r="U311" s="25" t="str">
        <f>IF('PART III-DEMOGRAPHICS'!Q321="","",'PART III-DEMOGRAPHICS'!Q321)</f>
        <v/>
      </c>
    </row>
    <row r="312" spans="1:21" ht="33.6" customHeight="1">
      <c r="A312" s="25" t="str">
        <f>IF('PART III-DEMOGRAPHICS'!A322="","",'PART III-DEMOGRAPHICS'!A322)</f>
        <v/>
      </c>
      <c r="B312" s="28"/>
      <c r="C312" s="27"/>
      <c r="D312" s="28"/>
      <c r="E312" s="21"/>
      <c r="F312" s="36" t="str">
        <f t="shared" si="12"/>
        <v>Did Not</v>
      </c>
      <c r="G312" s="28"/>
      <c r="H312" s="28"/>
      <c r="I312" s="28"/>
      <c r="J312" s="28"/>
      <c r="K312" s="28"/>
      <c r="L312" s="28"/>
      <c r="M312" s="28"/>
      <c r="N312" s="21"/>
      <c r="O312" s="28"/>
      <c r="P312" s="37"/>
      <c r="Q312" s="21"/>
      <c r="R312" s="21"/>
      <c r="S312" s="47"/>
      <c r="T312" s="25">
        <f t="shared" si="11"/>
        <v>0</v>
      </c>
      <c r="U312" s="25" t="str">
        <f>IF('PART III-DEMOGRAPHICS'!Q322="","",'PART III-DEMOGRAPHICS'!Q322)</f>
        <v/>
      </c>
    </row>
    <row r="313" spans="1:21" ht="33.6" customHeight="1">
      <c r="A313" s="25" t="str">
        <f>IF('PART III-DEMOGRAPHICS'!A323="","",'PART III-DEMOGRAPHICS'!A323)</f>
        <v/>
      </c>
      <c r="B313" s="28"/>
      <c r="C313" s="27"/>
      <c r="D313" s="28"/>
      <c r="E313" s="21"/>
      <c r="F313" s="36" t="str">
        <f t="shared" si="12"/>
        <v>Did Not</v>
      </c>
      <c r="G313" s="28"/>
      <c r="H313" s="28"/>
      <c r="I313" s="28"/>
      <c r="J313" s="28"/>
      <c r="K313" s="28"/>
      <c r="L313" s="28"/>
      <c r="M313" s="28"/>
      <c r="N313" s="21"/>
      <c r="O313" s="28"/>
      <c r="P313" s="37"/>
      <c r="Q313" s="21"/>
      <c r="R313" s="21"/>
      <c r="S313" s="47"/>
      <c r="T313" s="25">
        <f t="shared" si="11"/>
        <v>0</v>
      </c>
      <c r="U313" s="25" t="str">
        <f>IF('PART III-DEMOGRAPHICS'!Q323="","",'PART III-DEMOGRAPHICS'!Q323)</f>
        <v/>
      </c>
    </row>
    <row r="314" spans="1:21" ht="33.6" customHeight="1">
      <c r="A314" s="25" t="str">
        <f>IF('PART III-DEMOGRAPHICS'!A324="","",'PART III-DEMOGRAPHICS'!A324)</f>
        <v/>
      </c>
      <c r="B314" s="28"/>
      <c r="C314" s="27"/>
      <c r="D314" s="28"/>
      <c r="E314" s="21"/>
      <c r="F314" s="36" t="str">
        <f t="shared" si="12"/>
        <v>Did Not</v>
      </c>
      <c r="G314" s="28"/>
      <c r="H314" s="28"/>
      <c r="I314" s="28"/>
      <c r="J314" s="28"/>
      <c r="K314" s="28"/>
      <c r="L314" s="28"/>
      <c r="M314" s="28"/>
      <c r="N314" s="21"/>
      <c r="O314" s="28"/>
      <c r="P314" s="37"/>
      <c r="Q314" s="21"/>
      <c r="R314" s="21"/>
      <c r="S314" s="47"/>
      <c r="T314" s="25">
        <f t="shared" si="11"/>
        <v>0</v>
      </c>
      <c r="U314" s="25" t="str">
        <f>IF('PART III-DEMOGRAPHICS'!Q324="","",'PART III-DEMOGRAPHICS'!Q324)</f>
        <v/>
      </c>
    </row>
    <row r="315" spans="1:21" ht="33.6" customHeight="1">
      <c r="A315" s="25" t="str">
        <f>IF('PART III-DEMOGRAPHICS'!A325="","",'PART III-DEMOGRAPHICS'!A325)</f>
        <v/>
      </c>
      <c r="B315" s="28"/>
      <c r="C315" s="27"/>
      <c r="D315" s="28"/>
      <c r="E315" s="21"/>
      <c r="F315" s="36" t="str">
        <f t="shared" si="12"/>
        <v>Did Not</v>
      </c>
      <c r="G315" s="28"/>
      <c r="H315" s="28"/>
      <c r="I315" s="28"/>
      <c r="J315" s="28"/>
      <c r="K315" s="28"/>
      <c r="L315" s="28"/>
      <c r="M315" s="28"/>
      <c r="N315" s="21"/>
      <c r="O315" s="28"/>
      <c r="P315" s="37"/>
      <c r="Q315" s="21"/>
      <c r="R315" s="21"/>
      <c r="S315" s="47"/>
      <c r="T315" s="25">
        <f t="shared" si="11"/>
        <v>0</v>
      </c>
      <c r="U315" s="25" t="str">
        <f>IF('PART III-DEMOGRAPHICS'!Q325="","",'PART III-DEMOGRAPHICS'!Q325)</f>
        <v/>
      </c>
    </row>
    <row r="316" spans="1:21" ht="33.6" customHeight="1">
      <c r="A316" s="25" t="str">
        <f>IF('PART III-DEMOGRAPHICS'!A326="","",'PART III-DEMOGRAPHICS'!A326)</f>
        <v/>
      </c>
      <c r="B316" s="28"/>
      <c r="C316" s="27"/>
      <c r="D316" s="28"/>
      <c r="E316" s="21"/>
      <c r="F316" s="36" t="str">
        <f t="shared" si="12"/>
        <v>Did Not</v>
      </c>
      <c r="G316" s="28"/>
      <c r="H316" s="28"/>
      <c r="I316" s="28"/>
      <c r="J316" s="28"/>
      <c r="K316" s="28"/>
      <c r="L316" s="28"/>
      <c r="M316" s="28"/>
      <c r="N316" s="21"/>
      <c r="O316" s="28"/>
      <c r="P316" s="37"/>
      <c r="Q316" s="21"/>
      <c r="R316" s="21"/>
      <c r="S316" s="47"/>
      <c r="T316" s="25">
        <f t="shared" si="11"/>
        <v>0</v>
      </c>
      <c r="U316" s="25" t="str">
        <f>IF('PART III-DEMOGRAPHICS'!Q326="","",'PART III-DEMOGRAPHICS'!Q326)</f>
        <v/>
      </c>
    </row>
    <row r="317" spans="1:21" ht="33.6" customHeight="1">
      <c r="A317" s="25" t="str">
        <f>IF('PART III-DEMOGRAPHICS'!A327="","",'PART III-DEMOGRAPHICS'!A327)</f>
        <v/>
      </c>
      <c r="B317" s="28"/>
      <c r="C317" s="27"/>
      <c r="D317" s="28"/>
      <c r="E317" s="21"/>
      <c r="F317" s="36" t="str">
        <f t="shared" si="12"/>
        <v>Did Not</v>
      </c>
      <c r="G317" s="28"/>
      <c r="H317" s="28"/>
      <c r="I317" s="28"/>
      <c r="J317" s="28"/>
      <c r="K317" s="28"/>
      <c r="L317" s="28"/>
      <c r="M317" s="28"/>
      <c r="N317" s="21"/>
      <c r="O317" s="28"/>
      <c r="P317" s="37"/>
      <c r="Q317" s="21"/>
      <c r="R317" s="21"/>
      <c r="S317" s="47"/>
      <c r="T317" s="25">
        <f t="shared" si="11"/>
        <v>0</v>
      </c>
      <c r="U317" s="25" t="str">
        <f>IF('PART III-DEMOGRAPHICS'!Q327="","",'PART III-DEMOGRAPHICS'!Q327)</f>
        <v/>
      </c>
    </row>
    <row r="318" spans="1:21" ht="33.6" customHeight="1">
      <c r="A318" s="25" t="str">
        <f>IF('PART III-DEMOGRAPHICS'!A328="","",'PART III-DEMOGRAPHICS'!A328)</f>
        <v/>
      </c>
      <c r="B318" s="28"/>
      <c r="C318" s="27"/>
      <c r="D318" s="28"/>
      <c r="E318" s="21"/>
      <c r="F318" s="36" t="str">
        <f t="shared" si="12"/>
        <v>Did Not</v>
      </c>
      <c r="G318" s="28"/>
      <c r="H318" s="28"/>
      <c r="I318" s="28"/>
      <c r="J318" s="28"/>
      <c r="K318" s="28"/>
      <c r="L318" s="28"/>
      <c r="M318" s="28"/>
      <c r="N318" s="21"/>
      <c r="O318" s="28"/>
      <c r="P318" s="37"/>
      <c r="Q318" s="21"/>
      <c r="R318" s="21"/>
      <c r="S318" s="47"/>
      <c r="T318" s="25">
        <f t="shared" si="11"/>
        <v>0</v>
      </c>
      <c r="U318" s="25" t="str">
        <f>IF('PART III-DEMOGRAPHICS'!Q328="","",'PART III-DEMOGRAPHICS'!Q328)</f>
        <v/>
      </c>
    </row>
    <row r="319" spans="1:21" ht="33.6" customHeight="1">
      <c r="A319" s="25" t="str">
        <f>IF('PART III-DEMOGRAPHICS'!A329="","",'PART III-DEMOGRAPHICS'!A329)</f>
        <v/>
      </c>
      <c r="B319" s="28"/>
      <c r="C319" s="27"/>
      <c r="D319" s="28"/>
      <c r="E319" s="21"/>
      <c r="F319" s="36" t="str">
        <f t="shared" si="12"/>
        <v>Did Not</v>
      </c>
      <c r="G319" s="28"/>
      <c r="H319" s="28"/>
      <c r="I319" s="28"/>
      <c r="J319" s="28"/>
      <c r="K319" s="28"/>
      <c r="L319" s="28"/>
      <c r="M319" s="28"/>
      <c r="N319" s="21"/>
      <c r="O319" s="28"/>
      <c r="P319" s="37"/>
      <c r="Q319" s="21"/>
      <c r="R319" s="21"/>
      <c r="S319" s="47"/>
      <c r="T319" s="25">
        <f t="shared" si="11"/>
        <v>0</v>
      </c>
      <c r="U319" s="25" t="str">
        <f>IF('PART III-DEMOGRAPHICS'!Q329="","",'PART III-DEMOGRAPHICS'!Q329)</f>
        <v/>
      </c>
    </row>
    <row r="320" spans="1:21" ht="33.6" customHeight="1">
      <c r="A320" s="25" t="str">
        <f>IF('PART III-DEMOGRAPHICS'!A330="","",'PART III-DEMOGRAPHICS'!A330)</f>
        <v/>
      </c>
      <c r="B320" s="28"/>
      <c r="C320" s="27"/>
      <c r="D320" s="28"/>
      <c r="E320" s="21"/>
      <c r="F320" s="36" t="str">
        <f t="shared" si="12"/>
        <v>Did Not</v>
      </c>
      <c r="G320" s="28"/>
      <c r="H320" s="28"/>
      <c r="I320" s="28"/>
      <c r="J320" s="28"/>
      <c r="K320" s="28"/>
      <c r="L320" s="28"/>
      <c r="M320" s="28"/>
      <c r="N320" s="21"/>
      <c r="O320" s="28"/>
      <c r="P320" s="37"/>
      <c r="Q320" s="21"/>
      <c r="R320" s="21"/>
      <c r="S320" s="47"/>
      <c r="T320" s="25">
        <f t="shared" si="11"/>
        <v>0</v>
      </c>
      <c r="U320" s="25" t="str">
        <f>IF('PART III-DEMOGRAPHICS'!Q330="","",'PART III-DEMOGRAPHICS'!Q330)</f>
        <v/>
      </c>
    </row>
    <row r="321" spans="1:21" ht="33.6" customHeight="1">
      <c r="A321" s="25" t="str">
        <f>IF('PART III-DEMOGRAPHICS'!A331="","",'PART III-DEMOGRAPHICS'!A331)</f>
        <v/>
      </c>
      <c r="B321" s="28"/>
      <c r="C321" s="27"/>
      <c r="D321" s="28"/>
      <c r="E321" s="21"/>
      <c r="F321" s="36" t="str">
        <f t="shared" si="12"/>
        <v>Did Not</v>
      </c>
      <c r="G321" s="28"/>
      <c r="H321" s="28"/>
      <c r="I321" s="28"/>
      <c r="J321" s="28"/>
      <c r="K321" s="28"/>
      <c r="L321" s="28"/>
      <c r="M321" s="28"/>
      <c r="N321" s="21"/>
      <c r="O321" s="28"/>
      <c r="P321" s="37"/>
      <c r="Q321" s="21"/>
      <c r="R321" s="21"/>
      <c r="S321" s="47"/>
      <c r="T321" s="25">
        <f t="shared" si="11"/>
        <v>0</v>
      </c>
      <c r="U321" s="25" t="str">
        <f>IF('PART III-DEMOGRAPHICS'!Q331="","",'PART III-DEMOGRAPHICS'!Q331)</f>
        <v/>
      </c>
    </row>
    <row r="322" spans="1:21" ht="33.6" customHeight="1">
      <c r="A322" s="25" t="str">
        <f>IF('PART III-DEMOGRAPHICS'!A332="","",'PART III-DEMOGRAPHICS'!A332)</f>
        <v/>
      </c>
      <c r="B322" s="28"/>
      <c r="C322" s="27"/>
      <c r="D322" s="28"/>
      <c r="E322" s="21"/>
      <c r="F322" s="36" t="str">
        <f t="shared" si="12"/>
        <v>Did Not</v>
      </c>
      <c r="G322" s="28"/>
      <c r="H322" s="28"/>
      <c r="I322" s="28"/>
      <c r="J322" s="28"/>
      <c r="K322" s="28"/>
      <c r="L322" s="28"/>
      <c r="M322" s="28"/>
      <c r="N322" s="21"/>
      <c r="O322" s="28"/>
      <c r="P322" s="37"/>
      <c r="Q322" s="21"/>
      <c r="R322" s="21"/>
      <c r="S322" s="47"/>
      <c r="T322" s="25">
        <f t="shared" si="11"/>
        <v>0</v>
      </c>
      <c r="U322" s="25" t="str">
        <f>IF('PART III-DEMOGRAPHICS'!Q332="","",'PART III-DEMOGRAPHICS'!Q332)</f>
        <v/>
      </c>
    </row>
    <row r="323" spans="1:21" ht="33.6" customHeight="1">
      <c r="A323" s="25" t="str">
        <f>IF('PART III-DEMOGRAPHICS'!A333="","",'PART III-DEMOGRAPHICS'!A333)</f>
        <v/>
      </c>
      <c r="B323" s="28"/>
      <c r="C323" s="27"/>
      <c r="D323" s="28"/>
      <c r="E323" s="21"/>
      <c r="F323" s="36" t="str">
        <f t="shared" si="12"/>
        <v>Did Not</v>
      </c>
      <c r="G323" s="28"/>
      <c r="H323" s="28"/>
      <c r="I323" s="28"/>
      <c r="J323" s="28"/>
      <c r="K323" s="28"/>
      <c r="L323" s="28"/>
      <c r="M323" s="28"/>
      <c r="N323" s="21"/>
      <c r="O323" s="28"/>
      <c r="P323" s="37"/>
      <c r="Q323" s="21"/>
      <c r="R323" s="21"/>
      <c r="S323" s="47"/>
      <c r="T323" s="25">
        <f t="shared" si="11"/>
        <v>0</v>
      </c>
      <c r="U323" s="25" t="str">
        <f>IF('PART III-DEMOGRAPHICS'!Q333="","",'PART III-DEMOGRAPHICS'!Q333)</f>
        <v/>
      </c>
    </row>
    <row r="324" spans="1:21" ht="33.6" customHeight="1">
      <c r="A324" s="25" t="str">
        <f>IF('PART III-DEMOGRAPHICS'!A334="","",'PART III-DEMOGRAPHICS'!A334)</f>
        <v/>
      </c>
      <c r="B324" s="28"/>
      <c r="C324" s="27"/>
      <c r="D324" s="28"/>
      <c r="E324" s="21"/>
      <c r="F324" s="36" t="str">
        <f t="shared" si="12"/>
        <v>Did Not</v>
      </c>
      <c r="G324" s="28"/>
      <c r="H324" s="28"/>
      <c r="I324" s="28"/>
      <c r="J324" s="28"/>
      <c r="K324" s="28"/>
      <c r="L324" s="28"/>
      <c r="M324" s="28"/>
      <c r="N324" s="21"/>
      <c r="O324" s="28"/>
      <c r="P324" s="37"/>
      <c r="Q324" s="21"/>
      <c r="R324" s="21"/>
      <c r="S324" s="47"/>
      <c r="T324" s="25">
        <f t="shared" si="11"/>
        <v>0</v>
      </c>
      <c r="U324" s="25" t="str">
        <f>IF('PART III-DEMOGRAPHICS'!Q334="","",'PART III-DEMOGRAPHICS'!Q334)</f>
        <v/>
      </c>
    </row>
    <row r="325" spans="1:21" ht="33.6" customHeight="1">
      <c r="A325" s="25" t="str">
        <f>IF('PART III-DEMOGRAPHICS'!A335="","",'PART III-DEMOGRAPHICS'!A335)</f>
        <v/>
      </c>
      <c r="B325" s="28"/>
      <c r="C325" s="27"/>
      <c r="D325" s="28"/>
      <c r="E325" s="21"/>
      <c r="F325" s="36" t="str">
        <f t="shared" si="12"/>
        <v>Did Not</v>
      </c>
      <c r="G325" s="28"/>
      <c r="H325" s="28"/>
      <c r="I325" s="28"/>
      <c r="J325" s="28"/>
      <c r="K325" s="28"/>
      <c r="L325" s="28"/>
      <c r="M325" s="28"/>
      <c r="N325" s="21"/>
      <c r="O325" s="28"/>
      <c r="P325" s="37"/>
      <c r="Q325" s="21"/>
      <c r="R325" s="21"/>
      <c r="S325" s="47"/>
      <c r="T325" s="25">
        <f t="shared" si="11"/>
        <v>0</v>
      </c>
      <c r="U325" s="25" t="str">
        <f>IF('PART III-DEMOGRAPHICS'!Q335="","",'PART III-DEMOGRAPHICS'!Q335)</f>
        <v/>
      </c>
    </row>
    <row r="326" spans="1:21" ht="33.6" customHeight="1">
      <c r="A326" s="25" t="str">
        <f>IF('PART III-DEMOGRAPHICS'!A336="","",'PART III-DEMOGRAPHICS'!A336)</f>
        <v/>
      </c>
      <c r="B326" s="28"/>
      <c r="C326" s="27"/>
      <c r="D326" s="28"/>
      <c r="E326" s="21"/>
      <c r="F326" s="36" t="str">
        <f t="shared" si="12"/>
        <v>Did Not</v>
      </c>
      <c r="G326" s="28"/>
      <c r="H326" s="28"/>
      <c r="I326" s="28"/>
      <c r="J326" s="28"/>
      <c r="K326" s="28"/>
      <c r="L326" s="28"/>
      <c r="M326" s="28"/>
      <c r="N326" s="21"/>
      <c r="O326" s="28"/>
      <c r="P326" s="37"/>
      <c r="Q326" s="21"/>
      <c r="R326" s="21"/>
      <c r="S326" s="47"/>
      <c r="T326" s="25">
        <f t="shared" si="11"/>
        <v>0</v>
      </c>
      <c r="U326" s="25" t="str">
        <f>IF('PART III-DEMOGRAPHICS'!Q336="","",'PART III-DEMOGRAPHICS'!Q336)</f>
        <v/>
      </c>
    </row>
    <row r="327" spans="1:21" ht="33.6" customHeight="1">
      <c r="A327" s="25" t="str">
        <f>IF('PART III-DEMOGRAPHICS'!A337="","",'PART III-DEMOGRAPHICS'!A337)</f>
        <v/>
      </c>
      <c r="B327" s="28"/>
      <c r="C327" s="27"/>
      <c r="D327" s="28"/>
      <c r="E327" s="21"/>
      <c r="F327" s="36" t="str">
        <f t="shared" si="12"/>
        <v>Did Not</v>
      </c>
      <c r="G327" s="28"/>
      <c r="H327" s="28"/>
      <c r="I327" s="28"/>
      <c r="J327" s="28"/>
      <c r="K327" s="28"/>
      <c r="L327" s="28"/>
      <c r="M327" s="28"/>
      <c r="N327" s="21"/>
      <c r="O327" s="28"/>
      <c r="P327" s="37"/>
      <c r="Q327" s="21"/>
      <c r="R327" s="21"/>
      <c r="S327" s="47"/>
      <c r="T327" s="25">
        <f t="shared" ref="T327:T390" si="13">COUNTIF(A327:R327,"Yes")</f>
        <v>0</v>
      </c>
      <c r="U327" s="25" t="str">
        <f>IF('PART III-DEMOGRAPHICS'!Q337="","",'PART III-DEMOGRAPHICS'!Q337)</f>
        <v/>
      </c>
    </row>
    <row r="328" spans="1:21" ht="33.6" customHeight="1">
      <c r="A328" s="25" t="str">
        <f>IF('PART III-DEMOGRAPHICS'!A338="","",'PART III-DEMOGRAPHICS'!A338)</f>
        <v/>
      </c>
      <c r="B328" s="28"/>
      <c r="C328" s="27"/>
      <c r="D328" s="28"/>
      <c r="E328" s="21"/>
      <c r="F328" s="36" t="str">
        <f t="shared" si="12"/>
        <v>Did Not</v>
      </c>
      <c r="G328" s="28"/>
      <c r="H328" s="28"/>
      <c r="I328" s="28"/>
      <c r="J328" s="28"/>
      <c r="K328" s="28"/>
      <c r="L328" s="28"/>
      <c r="M328" s="28"/>
      <c r="N328" s="21"/>
      <c r="O328" s="28"/>
      <c r="P328" s="37"/>
      <c r="Q328" s="21"/>
      <c r="R328" s="21"/>
      <c r="S328" s="47"/>
      <c r="T328" s="25">
        <f t="shared" si="13"/>
        <v>0</v>
      </c>
      <c r="U328" s="25" t="str">
        <f>IF('PART III-DEMOGRAPHICS'!Q338="","",'PART III-DEMOGRAPHICS'!Q338)</f>
        <v/>
      </c>
    </row>
    <row r="329" spans="1:21" ht="33.6" customHeight="1">
      <c r="A329" s="25" t="str">
        <f>IF('PART III-DEMOGRAPHICS'!A339="","",'PART III-DEMOGRAPHICS'!A339)</f>
        <v/>
      </c>
      <c r="B329" s="28"/>
      <c r="C329" s="27"/>
      <c r="D329" s="28"/>
      <c r="E329" s="21"/>
      <c r="F329" s="36" t="str">
        <f t="shared" si="12"/>
        <v>Did Not</v>
      </c>
      <c r="G329" s="28"/>
      <c r="H329" s="28"/>
      <c r="I329" s="28"/>
      <c r="J329" s="28"/>
      <c r="K329" s="28"/>
      <c r="L329" s="28"/>
      <c r="M329" s="28"/>
      <c r="N329" s="21"/>
      <c r="O329" s="28"/>
      <c r="P329" s="37"/>
      <c r="Q329" s="21"/>
      <c r="R329" s="21"/>
      <c r="S329" s="47"/>
      <c r="T329" s="25">
        <f t="shared" si="13"/>
        <v>0</v>
      </c>
      <c r="U329" s="25" t="str">
        <f>IF('PART III-DEMOGRAPHICS'!Q339="","",'PART III-DEMOGRAPHICS'!Q339)</f>
        <v/>
      </c>
    </row>
    <row r="330" spans="1:21" ht="33.6" customHeight="1">
      <c r="A330" s="25" t="str">
        <f>IF('PART III-DEMOGRAPHICS'!A340="","",'PART III-DEMOGRAPHICS'!A340)</f>
        <v/>
      </c>
      <c r="B330" s="28"/>
      <c r="C330" s="27"/>
      <c r="D330" s="28"/>
      <c r="E330" s="21"/>
      <c r="F330" s="36" t="str">
        <f t="shared" si="12"/>
        <v>Did Not</v>
      </c>
      <c r="G330" s="28"/>
      <c r="H330" s="28"/>
      <c r="I330" s="28"/>
      <c r="J330" s="28"/>
      <c r="K330" s="28"/>
      <c r="L330" s="28"/>
      <c r="M330" s="28"/>
      <c r="N330" s="21"/>
      <c r="O330" s="28"/>
      <c r="P330" s="37"/>
      <c r="Q330" s="21"/>
      <c r="R330" s="21"/>
      <c r="S330" s="47"/>
      <c r="T330" s="25">
        <f t="shared" si="13"/>
        <v>0</v>
      </c>
      <c r="U330" s="25" t="str">
        <f>IF('PART III-DEMOGRAPHICS'!Q340="","",'PART III-DEMOGRAPHICS'!Q340)</f>
        <v/>
      </c>
    </row>
    <row r="331" spans="1:21" ht="33.6" customHeight="1">
      <c r="A331" s="25" t="str">
        <f>IF('PART III-DEMOGRAPHICS'!A341="","",'PART III-DEMOGRAPHICS'!A341)</f>
        <v/>
      </c>
      <c r="B331" s="28"/>
      <c r="C331" s="27"/>
      <c r="D331" s="28"/>
      <c r="E331" s="21"/>
      <c r="F331" s="36" t="str">
        <f t="shared" si="12"/>
        <v>Did Not</v>
      </c>
      <c r="G331" s="28"/>
      <c r="H331" s="28"/>
      <c r="I331" s="28"/>
      <c r="J331" s="28"/>
      <c r="K331" s="28"/>
      <c r="L331" s="28"/>
      <c r="M331" s="28"/>
      <c r="N331" s="21"/>
      <c r="O331" s="28"/>
      <c r="P331" s="37"/>
      <c r="Q331" s="21"/>
      <c r="R331" s="21"/>
      <c r="S331" s="47"/>
      <c r="T331" s="25">
        <f t="shared" si="13"/>
        <v>0</v>
      </c>
      <c r="U331" s="25" t="str">
        <f>IF('PART III-DEMOGRAPHICS'!Q341="","",'PART III-DEMOGRAPHICS'!Q341)</f>
        <v/>
      </c>
    </row>
    <row r="332" spans="1:21" ht="33.6" customHeight="1">
      <c r="A332" s="25" t="str">
        <f>IF('PART III-DEMOGRAPHICS'!A342="","",'PART III-DEMOGRAPHICS'!A342)</f>
        <v/>
      </c>
      <c r="B332" s="28"/>
      <c r="C332" s="27"/>
      <c r="D332" s="28"/>
      <c r="E332" s="21"/>
      <c r="F332" s="36" t="str">
        <f t="shared" si="12"/>
        <v>Did Not</v>
      </c>
      <c r="G332" s="28"/>
      <c r="H332" s="28"/>
      <c r="I332" s="28"/>
      <c r="J332" s="28"/>
      <c r="K332" s="28"/>
      <c r="L332" s="28"/>
      <c r="M332" s="28"/>
      <c r="N332" s="21"/>
      <c r="O332" s="28"/>
      <c r="P332" s="37"/>
      <c r="Q332" s="21"/>
      <c r="R332" s="21"/>
      <c r="S332" s="47"/>
      <c r="T332" s="25">
        <f t="shared" si="13"/>
        <v>0</v>
      </c>
      <c r="U332" s="25" t="str">
        <f>IF('PART III-DEMOGRAPHICS'!Q342="","",'PART III-DEMOGRAPHICS'!Q342)</f>
        <v/>
      </c>
    </row>
    <row r="333" spans="1:21" ht="33.6" customHeight="1">
      <c r="A333" s="25" t="str">
        <f>IF('PART III-DEMOGRAPHICS'!A343="","",'PART III-DEMOGRAPHICS'!A343)</f>
        <v/>
      </c>
      <c r="B333" s="28"/>
      <c r="C333" s="27"/>
      <c r="D333" s="28"/>
      <c r="E333" s="21"/>
      <c r="F333" s="36" t="str">
        <f t="shared" si="12"/>
        <v>Did Not</v>
      </c>
      <c r="G333" s="28"/>
      <c r="H333" s="28"/>
      <c r="I333" s="28"/>
      <c r="J333" s="28"/>
      <c r="K333" s="28"/>
      <c r="L333" s="28"/>
      <c r="M333" s="28"/>
      <c r="N333" s="21"/>
      <c r="O333" s="28"/>
      <c r="P333" s="37"/>
      <c r="Q333" s="21"/>
      <c r="R333" s="21"/>
      <c r="S333" s="47"/>
      <c r="T333" s="25">
        <f t="shared" si="13"/>
        <v>0</v>
      </c>
      <c r="U333" s="25" t="str">
        <f>IF('PART III-DEMOGRAPHICS'!Q343="","",'PART III-DEMOGRAPHICS'!Q343)</f>
        <v/>
      </c>
    </row>
    <row r="334" spans="1:21" ht="33.6" customHeight="1">
      <c r="A334" s="25" t="str">
        <f>IF('PART III-DEMOGRAPHICS'!A344="","",'PART III-DEMOGRAPHICS'!A344)</f>
        <v/>
      </c>
      <c r="B334" s="28"/>
      <c r="C334" s="27"/>
      <c r="D334" s="28"/>
      <c r="E334" s="21"/>
      <c r="F334" s="36" t="str">
        <f t="shared" ref="F334:F397" si="14">IF(OR(G334="Yes",H334="Yes",I334="Yes",J334="Yes",K334="Yes",L334="Yes",M334="Yes"),"Did","Did Not")</f>
        <v>Did Not</v>
      </c>
      <c r="G334" s="28"/>
      <c r="H334" s="28"/>
      <c r="I334" s="28"/>
      <c r="J334" s="28"/>
      <c r="K334" s="28"/>
      <c r="L334" s="28"/>
      <c r="M334" s="28"/>
      <c r="N334" s="21"/>
      <c r="O334" s="28"/>
      <c r="P334" s="37"/>
      <c r="Q334" s="21"/>
      <c r="R334" s="21"/>
      <c r="S334" s="47"/>
      <c r="T334" s="25">
        <f t="shared" si="13"/>
        <v>0</v>
      </c>
      <c r="U334" s="25" t="str">
        <f>IF('PART III-DEMOGRAPHICS'!Q344="","",'PART III-DEMOGRAPHICS'!Q344)</f>
        <v/>
      </c>
    </row>
    <row r="335" spans="1:21" ht="33.6" customHeight="1">
      <c r="A335" s="25" t="str">
        <f>IF('PART III-DEMOGRAPHICS'!A345="","",'PART III-DEMOGRAPHICS'!A345)</f>
        <v/>
      </c>
      <c r="B335" s="28"/>
      <c r="C335" s="27"/>
      <c r="D335" s="28"/>
      <c r="E335" s="21"/>
      <c r="F335" s="36" t="str">
        <f t="shared" si="14"/>
        <v>Did Not</v>
      </c>
      <c r="G335" s="28"/>
      <c r="H335" s="28"/>
      <c r="I335" s="28"/>
      <c r="J335" s="28"/>
      <c r="K335" s="28"/>
      <c r="L335" s="28"/>
      <c r="M335" s="28"/>
      <c r="N335" s="21"/>
      <c r="O335" s="28"/>
      <c r="P335" s="37"/>
      <c r="Q335" s="21"/>
      <c r="R335" s="21"/>
      <c r="S335" s="47"/>
      <c r="T335" s="25">
        <f t="shared" si="13"/>
        <v>0</v>
      </c>
      <c r="U335" s="25" t="str">
        <f>IF('PART III-DEMOGRAPHICS'!Q345="","",'PART III-DEMOGRAPHICS'!Q345)</f>
        <v/>
      </c>
    </row>
    <row r="336" spans="1:21" ht="33.6" customHeight="1">
      <c r="A336" s="25" t="str">
        <f>IF('PART III-DEMOGRAPHICS'!A346="","",'PART III-DEMOGRAPHICS'!A346)</f>
        <v/>
      </c>
      <c r="B336" s="28"/>
      <c r="C336" s="27"/>
      <c r="D336" s="28"/>
      <c r="E336" s="21"/>
      <c r="F336" s="36" t="str">
        <f t="shared" si="14"/>
        <v>Did Not</v>
      </c>
      <c r="G336" s="28"/>
      <c r="H336" s="28"/>
      <c r="I336" s="28"/>
      <c r="J336" s="28"/>
      <c r="K336" s="28"/>
      <c r="L336" s="28"/>
      <c r="M336" s="28"/>
      <c r="N336" s="21"/>
      <c r="O336" s="28"/>
      <c r="P336" s="37"/>
      <c r="Q336" s="21"/>
      <c r="R336" s="21"/>
      <c r="S336" s="47"/>
      <c r="T336" s="25">
        <f t="shared" si="13"/>
        <v>0</v>
      </c>
      <c r="U336" s="25" t="str">
        <f>IF('PART III-DEMOGRAPHICS'!Q346="","",'PART III-DEMOGRAPHICS'!Q346)</f>
        <v/>
      </c>
    </row>
    <row r="337" spans="1:21" ht="33.6" customHeight="1">
      <c r="A337" s="25" t="str">
        <f>IF('PART III-DEMOGRAPHICS'!A347="","",'PART III-DEMOGRAPHICS'!A347)</f>
        <v/>
      </c>
      <c r="B337" s="28"/>
      <c r="C337" s="27"/>
      <c r="D337" s="28"/>
      <c r="E337" s="21"/>
      <c r="F337" s="36" t="str">
        <f t="shared" si="14"/>
        <v>Did Not</v>
      </c>
      <c r="G337" s="28"/>
      <c r="H337" s="28"/>
      <c r="I337" s="28"/>
      <c r="J337" s="28"/>
      <c r="K337" s="28"/>
      <c r="L337" s="28"/>
      <c r="M337" s="28"/>
      <c r="N337" s="21"/>
      <c r="O337" s="28"/>
      <c r="P337" s="37"/>
      <c r="Q337" s="21"/>
      <c r="R337" s="21"/>
      <c r="S337" s="47"/>
      <c r="T337" s="25">
        <f t="shared" si="13"/>
        <v>0</v>
      </c>
      <c r="U337" s="25" t="str">
        <f>IF('PART III-DEMOGRAPHICS'!Q347="","",'PART III-DEMOGRAPHICS'!Q347)</f>
        <v/>
      </c>
    </row>
    <row r="338" spans="1:21" ht="33.6" customHeight="1">
      <c r="A338" s="25" t="str">
        <f>IF('PART III-DEMOGRAPHICS'!A348="","",'PART III-DEMOGRAPHICS'!A348)</f>
        <v/>
      </c>
      <c r="B338" s="28"/>
      <c r="C338" s="27"/>
      <c r="D338" s="28"/>
      <c r="E338" s="21"/>
      <c r="F338" s="36" t="str">
        <f t="shared" si="14"/>
        <v>Did Not</v>
      </c>
      <c r="G338" s="28"/>
      <c r="H338" s="28"/>
      <c r="I338" s="28"/>
      <c r="J338" s="28"/>
      <c r="K338" s="28"/>
      <c r="L338" s="28"/>
      <c r="M338" s="28"/>
      <c r="N338" s="21"/>
      <c r="O338" s="28"/>
      <c r="P338" s="37"/>
      <c r="Q338" s="21"/>
      <c r="R338" s="21"/>
      <c r="S338" s="47"/>
      <c r="T338" s="25">
        <f t="shared" si="13"/>
        <v>0</v>
      </c>
      <c r="U338" s="25" t="str">
        <f>IF('PART III-DEMOGRAPHICS'!Q348="","",'PART III-DEMOGRAPHICS'!Q348)</f>
        <v/>
      </c>
    </row>
    <row r="339" spans="1:21" ht="33.6" customHeight="1">
      <c r="A339" s="25" t="str">
        <f>IF('PART III-DEMOGRAPHICS'!A349="","",'PART III-DEMOGRAPHICS'!A349)</f>
        <v/>
      </c>
      <c r="B339" s="28"/>
      <c r="C339" s="27"/>
      <c r="D339" s="28"/>
      <c r="E339" s="21"/>
      <c r="F339" s="36" t="str">
        <f t="shared" si="14"/>
        <v>Did Not</v>
      </c>
      <c r="G339" s="28"/>
      <c r="H339" s="28"/>
      <c r="I339" s="28"/>
      <c r="J339" s="28"/>
      <c r="K339" s="28"/>
      <c r="L339" s="28"/>
      <c r="M339" s="28"/>
      <c r="N339" s="21"/>
      <c r="O339" s="28"/>
      <c r="P339" s="37"/>
      <c r="Q339" s="21"/>
      <c r="R339" s="21"/>
      <c r="S339" s="47"/>
      <c r="T339" s="25">
        <f t="shared" si="13"/>
        <v>0</v>
      </c>
      <c r="U339" s="25" t="str">
        <f>IF('PART III-DEMOGRAPHICS'!Q349="","",'PART III-DEMOGRAPHICS'!Q349)</f>
        <v/>
      </c>
    </row>
    <row r="340" spans="1:21" ht="33.6" customHeight="1">
      <c r="A340" s="25" t="str">
        <f>IF('PART III-DEMOGRAPHICS'!A350="","",'PART III-DEMOGRAPHICS'!A350)</f>
        <v/>
      </c>
      <c r="B340" s="28"/>
      <c r="C340" s="27"/>
      <c r="D340" s="28"/>
      <c r="E340" s="21"/>
      <c r="F340" s="36" t="str">
        <f t="shared" si="14"/>
        <v>Did Not</v>
      </c>
      <c r="G340" s="28"/>
      <c r="H340" s="28"/>
      <c r="I340" s="28"/>
      <c r="J340" s="28"/>
      <c r="K340" s="28"/>
      <c r="L340" s="28"/>
      <c r="M340" s="28"/>
      <c r="N340" s="21"/>
      <c r="O340" s="28"/>
      <c r="P340" s="37"/>
      <c r="Q340" s="21"/>
      <c r="R340" s="21"/>
      <c r="S340" s="47"/>
      <c r="T340" s="25">
        <f t="shared" si="13"/>
        <v>0</v>
      </c>
      <c r="U340" s="25" t="str">
        <f>IF('PART III-DEMOGRAPHICS'!Q350="","",'PART III-DEMOGRAPHICS'!Q350)</f>
        <v/>
      </c>
    </row>
    <row r="341" spans="1:21" ht="33.6" customHeight="1">
      <c r="A341" s="25" t="str">
        <f>IF('PART III-DEMOGRAPHICS'!A351="","",'PART III-DEMOGRAPHICS'!A351)</f>
        <v/>
      </c>
      <c r="B341" s="28"/>
      <c r="C341" s="27"/>
      <c r="D341" s="28"/>
      <c r="E341" s="21"/>
      <c r="F341" s="36" t="str">
        <f t="shared" si="14"/>
        <v>Did Not</v>
      </c>
      <c r="G341" s="28"/>
      <c r="H341" s="28"/>
      <c r="I341" s="28"/>
      <c r="J341" s="28"/>
      <c r="K341" s="28"/>
      <c r="L341" s="28"/>
      <c r="M341" s="28"/>
      <c r="N341" s="21"/>
      <c r="O341" s="28"/>
      <c r="P341" s="37"/>
      <c r="Q341" s="21"/>
      <c r="R341" s="21"/>
      <c r="S341" s="47"/>
      <c r="T341" s="25">
        <f t="shared" si="13"/>
        <v>0</v>
      </c>
      <c r="U341" s="25" t="str">
        <f>IF('PART III-DEMOGRAPHICS'!Q351="","",'PART III-DEMOGRAPHICS'!Q351)</f>
        <v/>
      </c>
    </row>
    <row r="342" spans="1:21" ht="33.6" customHeight="1">
      <c r="A342" s="25" t="str">
        <f>IF('PART III-DEMOGRAPHICS'!A352="","",'PART III-DEMOGRAPHICS'!A352)</f>
        <v/>
      </c>
      <c r="B342" s="28"/>
      <c r="C342" s="27"/>
      <c r="D342" s="28"/>
      <c r="E342" s="21"/>
      <c r="F342" s="36" t="str">
        <f t="shared" si="14"/>
        <v>Did Not</v>
      </c>
      <c r="G342" s="28"/>
      <c r="H342" s="28"/>
      <c r="I342" s="28"/>
      <c r="J342" s="28"/>
      <c r="K342" s="28"/>
      <c r="L342" s="28"/>
      <c r="M342" s="28"/>
      <c r="N342" s="21"/>
      <c r="O342" s="28"/>
      <c r="P342" s="37"/>
      <c r="Q342" s="21"/>
      <c r="R342" s="21"/>
      <c r="S342" s="47"/>
      <c r="T342" s="25">
        <f t="shared" si="13"/>
        <v>0</v>
      </c>
      <c r="U342" s="25" t="str">
        <f>IF('PART III-DEMOGRAPHICS'!Q352="","",'PART III-DEMOGRAPHICS'!Q352)</f>
        <v/>
      </c>
    </row>
    <row r="343" spans="1:21" ht="33.6" customHeight="1">
      <c r="A343" s="25" t="str">
        <f>IF('PART III-DEMOGRAPHICS'!A353="","",'PART III-DEMOGRAPHICS'!A353)</f>
        <v/>
      </c>
      <c r="B343" s="28"/>
      <c r="C343" s="27"/>
      <c r="D343" s="28"/>
      <c r="E343" s="21"/>
      <c r="F343" s="36" t="str">
        <f t="shared" si="14"/>
        <v>Did Not</v>
      </c>
      <c r="G343" s="28"/>
      <c r="H343" s="28"/>
      <c r="I343" s="28"/>
      <c r="J343" s="28"/>
      <c r="K343" s="28"/>
      <c r="L343" s="28"/>
      <c r="M343" s="28"/>
      <c r="N343" s="21"/>
      <c r="O343" s="28"/>
      <c r="P343" s="37"/>
      <c r="Q343" s="21"/>
      <c r="R343" s="21"/>
      <c r="S343" s="47"/>
      <c r="T343" s="25">
        <f t="shared" si="13"/>
        <v>0</v>
      </c>
      <c r="U343" s="25" t="str">
        <f>IF('PART III-DEMOGRAPHICS'!Q353="","",'PART III-DEMOGRAPHICS'!Q353)</f>
        <v/>
      </c>
    </row>
    <row r="344" spans="1:21" ht="33.6" customHeight="1">
      <c r="A344" s="25" t="str">
        <f>IF('PART III-DEMOGRAPHICS'!A354="","",'PART III-DEMOGRAPHICS'!A354)</f>
        <v/>
      </c>
      <c r="B344" s="28"/>
      <c r="C344" s="27"/>
      <c r="D344" s="28"/>
      <c r="E344" s="21"/>
      <c r="F344" s="36" t="str">
        <f t="shared" si="14"/>
        <v>Did Not</v>
      </c>
      <c r="G344" s="28"/>
      <c r="H344" s="28"/>
      <c r="I344" s="28"/>
      <c r="J344" s="28"/>
      <c r="K344" s="28"/>
      <c r="L344" s="28"/>
      <c r="M344" s="28"/>
      <c r="N344" s="21"/>
      <c r="O344" s="28"/>
      <c r="P344" s="37"/>
      <c r="Q344" s="21"/>
      <c r="R344" s="21"/>
      <c r="S344" s="47"/>
      <c r="T344" s="25">
        <f t="shared" si="13"/>
        <v>0</v>
      </c>
      <c r="U344" s="25" t="str">
        <f>IF('PART III-DEMOGRAPHICS'!Q354="","",'PART III-DEMOGRAPHICS'!Q354)</f>
        <v/>
      </c>
    </row>
    <row r="345" spans="1:21" ht="33.6" customHeight="1">
      <c r="A345" s="25" t="str">
        <f>IF('PART III-DEMOGRAPHICS'!A355="","",'PART III-DEMOGRAPHICS'!A355)</f>
        <v/>
      </c>
      <c r="B345" s="28"/>
      <c r="C345" s="27"/>
      <c r="D345" s="28"/>
      <c r="E345" s="21"/>
      <c r="F345" s="36" t="str">
        <f t="shared" si="14"/>
        <v>Did Not</v>
      </c>
      <c r="G345" s="28"/>
      <c r="H345" s="28"/>
      <c r="I345" s="28"/>
      <c r="J345" s="28"/>
      <c r="K345" s="28"/>
      <c r="L345" s="28"/>
      <c r="M345" s="28"/>
      <c r="N345" s="21"/>
      <c r="O345" s="28"/>
      <c r="P345" s="37"/>
      <c r="Q345" s="21"/>
      <c r="R345" s="21"/>
      <c r="S345" s="47"/>
      <c r="T345" s="25">
        <f t="shared" si="13"/>
        <v>0</v>
      </c>
      <c r="U345" s="25" t="str">
        <f>IF('PART III-DEMOGRAPHICS'!Q355="","",'PART III-DEMOGRAPHICS'!Q355)</f>
        <v/>
      </c>
    </row>
    <row r="346" spans="1:21" ht="33.6" customHeight="1">
      <c r="A346" s="25" t="str">
        <f>IF('PART III-DEMOGRAPHICS'!A356="","",'PART III-DEMOGRAPHICS'!A356)</f>
        <v/>
      </c>
      <c r="B346" s="28"/>
      <c r="C346" s="27"/>
      <c r="D346" s="28"/>
      <c r="E346" s="21"/>
      <c r="F346" s="36" t="str">
        <f t="shared" si="14"/>
        <v>Did Not</v>
      </c>
      <c r="G346" s="28"/>
      <c r="H346" s="28"/>
      <c r="I346" s="28"/>
      <c r="J346" s="28"/>
      <c r="K346" s="28"/>
      <c r="L346" s="28"/>
      <c r="M346" s="28"/>
      <c r="N346" s="21"/>
      <c r="O346" s="28"/>
      <c r="P346" s="37"/>
      <c r="Q346" s="21"/>
      <c r="R346" s="21"/>
      <c r="S346" s="47"/>
      <c r="T346" s="25">
        <f t="shared" si="13"/>
        <v>0</v>
      </c>
      <c r="U346" s="25" t="str">
        <f>IF('PART III-DEMOGRAPHICS'!Q356="","",'PART III-DEMOGRAPHICS'!Q356)</f>
        <v/>
      </c>
    </row>
    <row r="347" spans="1:21" ht="33.6" customHeight="1">
      <c r="A347" s="25" t="str">
        <f>IF('PART III-DEMOGRAPHICS'!A357="","",'PART III-DEMOGRAPHICS'!A357)</f>
        <v/>
      </c>
      <c r="B347" s="28"/>
      <c r="C347" s="27"/>
      <c r="D347" s="28"/>
      <c r="E347" s="21"/>
      <c r="F347" s="36" t="str">
        <f t="shared" si="14"/>
        <v>Did Not</v>
      </c>
      <c r="G347" s="28"/>
      <c r="H347" s="28"/>
      <c r="I347" s="28"/>
      <c r="J347" s="28"/>
      <c r="K347" s="28"/>
      <c r="L347" s="28"/>
      <c r="M347" s="28"/>
      <c r="N347" s="21"/>
      <c r="O347" s="28"/>
      <c r="P347" s="37"/>
      <c r="Q347" s="21"/>
      <c r="R347" s="21"/>
      <c r="S347" s="47"/>
      <c r="T347" s="25">
        <f t="shared" si="13"/>
        <v>0</v>
      </c>
      <c r="U347" s="25" t="str">
        <f>IF('PART III-DEMOGRAPHICS'!Q357="","",'PART III-DEMOGRAPHICS'!Q357)</f>
        <v/>
      </c>
    </row>
    <row r="348" spans="1:21" ht="33.6" customHeight="1">
      <c r="A348" s="25" t="str">
        <f>IF('PART III-DEMOGRAPHICS'!A358="","",'PART III-DEMOGRAPHICS'!A358)</f>
        <v/>
      </c>
      <c r="B348" s="28"/>
      <c r="C348" s="27"/>
      <c r="D348" s="28"/>
      <c r="E348" s="21"/>
      <c r="F348" s="36" t="str">
        <f t="shared" si="14"/>
        <v>Did Not</v>
      </c>
      <c r="G348" s="28"/>
      <c r="H348" s="28"/>
      <c r="I348" s="28"/>
      <c r="J348" s="28"/>
      <c r="K348" s="28"/>
      <c r="L348" s="28"/>
      <c r="M348" s="28"/>
      <c r="N348" s="21"/>
      <c r="O348" s="28"/>
      <c r="P348" s="37"/>
      <c r="Q348" s="21"/>
      <c r="R348" s="21"/>
      <c r="S348" s="47"/>
      <c r="T348" s="25">
        <f t="shared" si="13"/>
        <v>0</v>
      </c>
      <c r="U348" s="25" t="str">
        <f>IF('PART III-DEMOGRAPHICS'!Q358="","",'PART III-DEMOGRAPHICS'!Q358)</f>
        <v/>
      </c>
    </row>
    <row r="349" spans="1:21" ht="33.6" customHeight="1">
      <c r="A349" s="25" t="str">
        <f>IF('PART III-DEMOGRAPHICS'!A359="","",'PART III-DEMOGRAPHICS'!A359)</f>
        <v/>
      </c>
      <c r="B349" s="28"/>
      <c r="C349" s="27"/>
      <c r="D349" s="28"/>
      <c r="E349" s="21"/>
      <c r="F349" s="36" t="str">
        <f t="shared" si="14"/>
        <v>Did Not</v>
      </c>
      <c r="G349" s="28"/>
      <c r="H349" s="28"/>
      <c r="I349" s="28"/>
      <c r="J349" s="28"/>
      <c r="K349" s="28"/>
      <c r="L349" s="28"/>
      <c r="M349" s="28"/>
      <c r="N349" s="21"/>
      <c r="O349" s="28"/>
      <c r="P349" s="37"/>
      <c r="Q349" s="21"/>
      <c r="R349" s="21"/>
      <c r="S349" s="47"/>
      <c r="T349" s="25">
        <f t="shared" si="13"/>
        <v>0</v>
      </c>
      <c r="U349" s="25" t="str">
        <f>IF('PART III-DEMOGRAPHICS'!Q359="","",'PART III-DEMOGRAPHICS'!Q359)</f>
        <v/>
      </c>
    </row>
    <row r="350" spans="1:21" ht="33.6" customHeight="1">
      <c r="A350" s="25" t="str">
        <f>IF('PART III-DEMOGRAPHICS'!A360="","",'PART III-DEMOGRAPHICS'!A360)</f>
        <v/>
      </c>
      <c r="B350" s="28"/>
      <c r="C350" s="27"/>
      <c r="D350" s="28"/>
      <c r="E350" s="21"/>
      <c r="F350" s="36" t="str">
        <f t="shared" si="14"/>
        <v>Did Not</v>
      </c>
      <c r="G350" s="28"/>
      <c r="H350" s="28"/>
      <c r="I350" s="28"/>
      <c r="J350" s="28"/>
      <c r="K350" s="28"/>
      <c r="L350" s="28"/>
      <c r="M350" s="28"/>
      <c r="N350" s="21"/>
      <c r="O350" s="28"/>
      <c r="P350" s="37"/>
      <c r="Q350" s="21"/>
      <c r="R350" s="21"/>
      <c r="S350" s="47"/>
      <c r="T350" s="25">
        <f t="shared" si="13"/>
        <v>0</v>
      </c>
      <c r="U350" s="25" t="str">
        <f>IF('PART III-DEMOGRAPHICS'!Q360="","",'PART III-DEMOGRAPHICS'!Q360)</f>
        <v/>
      </c>
    </row>
    <row r="351" spans="1:21" ht="33.6" customHeight="1">
      <c r="A351" s="25" t="str">
        <f>IF('PART III-DEMOGRAPHICS'!A361="","",'PART III-DEMOGRAPHICS'!A361)</f>
        <v/>
      </c>
      <c r="B351" s="28"/>
      <c r="C351" s="27"/>
      <c r="D351" s="28"/>
      <c r="E351" s="21"/>
      <c r="F351" s="36" t="str">
        <f t="shared" si="14"/>
        <v>Did Not</v>
      </c>
      <c r="G351" s="28"/>
      <c r="H351" s="28"/>
      <c r="I351" s="28"/>
      <c r="J351" s="28"/>
      <c r="K351" s="28"/>
      <c r="L351" s="28"/>
      <c r="M351" s="28"/>
      <c r="N351" s="21"/>
      <c r="O351" s="28"/>
      <c r="P351" s="37"/>
      <c r="Q351" s="21"/>
      <c r="R351" s="21"/>
      <c r="S351" s="47"/>
      <c r="T351" s="25">
        <f t="shared" si="13"/>
        <v>0</v>
      </c>
      <c r="U351" s="25" t="str">
        <f>IF('PART III-DEMOGRAPHICS'!Q361="","",'PART III-DEMOGRAPHICS'!Q361)</f>
        <v/>
      </c>
    </row>
    <row r="352" spans="1:21" ht="33.6" customHeight="1">
      <c r="A352" s="25" t="str">
        <f>IF('PART III-DEMOGRAPHICS'!A362="","",'PART III-DEMOGRAPHICS'!A362)</f>
        <v/>
      </c>
      <c r="B352" s="28"/>
      <c r="C352" s="27"/>
      <c r="D352" s="28"/>
      <c r="E352" s="21"/>
      <c r="F352" s="36" t="str">
        <f t="shared" si="14"/>
        <v>Did Not</v>
      </c>
      <c r="G352" s="28"/>
      <c r="H352" s="28"/>
      <c r="I352" s="28"/>
      <c r="J352" s="28"/>
      <c r="K352" s="28"/>
      <c r="L352" s="28"/>
      <c r="M352" s="28"/>
      <c r="N352" s="21"/>
      <c r="O352" s="28"/>
      <c r="P352" s="37"/>
      <c r="Q352" s="21"/>
      <c r="R352" s="21"/>
      <c r="S352" s="47"/>
      <c r="T352" s="25">
        <f t="shared" si="13"/>
        <v>0</v>
      </c>
      <c r="U352" s="25" t="str">
        <f>IF('PART III-DEMOGRAPHICS'!Q362="","",'PART III-DEMOGRAPHICS'!Q362)</f>
        <v/>
      </c>
    </row>
    <row r="353" spans="1:21" ht="33.6" customHeight="1">
      <c r="A353" s="25" t="str">
        <f>IF('PART III-DEMOGRAPHICS'!A363="","",'PART III-DEMOGRAPHICS'!A363)</f>
        <v/>
      </c>
      <c r="B353" s="28"/>
      <c r="C353" s="27"/>
      <c r="D353" s="28"/>
      <c r="E353" s="21"/>
      <c r="F353" s="36" t="str">
        <f t="shared" si="14"/>
        <v>Did Not</v>
      </c>
      <c r="G353" s="28"/>
      <c r="H353" s="28"/>
      <c r="I353" s="28"/>
      <c r="J353" s="28"/>
      <c r="K353" s="28"/>
      <c r="L353" s="28"/>
      <c r="M353" s="28"/>
      <c r="N353" s="21"/>
      <c r="O353" s="28"/>
      <c r="P353" s="37"/>
      <c r="Q353" s="21"/>
      <c r="R353" s="21"/>
      <c r="S353" s="47"/>
      <c r="T353" s="25">
        <f t="shared" si="13"/>
        <v>0</v>
      </c>
      <c r="U353" s="25" t="str">
        <f>IF('PART III-DEMOGRAPHICS'!Q363="","",'PART III-DEMOGRAPHICS'!Q363)</f>
        <v/>
      </c>
    </row>
    <row r="354" spans="1:21" ht="33.6" customHeight="1">
      <c r="A354" s="25" t="str">
        <f>IF('PART III-DEMOGRAPHICS'!A364="","",'PART III-DEMOGRAPHICS'!A364)</f>
        <v/>
      </c>
      <c r="B354" s="28"/>
      <c r="C354" s="27"/>
      <c r="D354" s="28"/>
      <c r="E354" s="21"/>
      <c r="F354" s="36" t="str">
        <f t="shared" si="14"/>
        <v>Did Not</v>
      </c>
      <c r="G354" s="28"/>
      <c r="H354" s="28"/>
      <c r="I354" s="28"/>
      <c r="J354" s="28"/>
      <c r="K354" s="28"/>
      <c r="L354" s="28"/>
      <c r="M354" s="28"/>
      <c r="N354" s="21"/>
      <c r="O354" s="28"/>
      <c r="P354" s="37"/>
      <c r="Q354" s="21"/>
      <c r="R354" s="21"/>
      <c r="S354" s="47"/>
      <c r="T354" s="25">
        <f t="shared" si="13"/>
        <v>0</v>
      </c>
      <c r="U354" s="25" t="str">
        <f>IF('PART III-DEMOGRAPHICS'!Q364="","",'PART III-DEMOGRAPHICS'!Q364)</f>
        <v/>
      </c>
    </row>
    <row r="355" spans="1:21" ht="33.6" customHeight="1">
      <c r="A355" s="25" t="str">
        <f>IF('PART III-DEMOGRAPHICS'!A365="","",'PART III-DEMOGRAPHICS'!A365)</f>
        <v/>
      </c>
      <c r="B355" s="28"/>
      <c r="C355" s="27"/>
      <c r="D355" s="28"/>
      <c r="E355" s="21"/>
      <c r="F355" s="36" t="str">
        <f t="shared" si="14"/>
        <v>Did Not</v>
      </c>
      <c r="G355" s="28"/>
      <c r="H355" s="28"/>
      <c r="I355" s="28"/>
      <c r="J355" s="28"/>
      <c r="K355" s="28"/>
      <c r="L355" s="28"/>
      <c r="M355" s="28"/>
      <c r="N355" s="21"/>
      <c r="O355" s="28"/>
      <c r="P355" s="37"/>
      <c r="Q355" s="21"/>
      <c r="R355" s="21"/>
      <c r="S355" s="47"/>
      <c r="T355" s="25">
        <f t="shared" si="13"/>
        <v>0</v>
      </c>
      <c r="U355" s="25" t="str">
        <f>IF('PART III-DEMOGRAPHICS'!Q365="","",'PART III-DEMOGRAPHICS'!Q365)</f>
        <v/>
      </c>
    </row>
    <row r="356" spans="1:21" ht="33.6" customHeight="1">
      <c r="A356" s="25" t="str">
        <f>IF('PART III-DEMOGRAPHICS'!A366="","",'PART III-DEMOGRAPHICS'!A366)</f>
        <v/>
      </c>
      <c r="B356" s="28"/>
      <c r="C356" s="27"/>
      <c r="D356" s="28"/>
      <c r="E356" s="21"/>
      <c r="F356" s="36" t="str">
        <f t="shared" si="14"/>
        <v>Did Not</v>
      </c>
      <c r="G356" s="28"/>
      <c r="H356" s="28"/>
      <c r="I356" s="28"/>
      <c r="J356" s="28"/>
      <c r="K356" s="28"/>
      <c r="L356" s="28"/>
      <c r="M356" s="28"/>
      <c r="N356" s="21"/>
      <c r="O356" s="28"/>
      <c r="P356" s="37"/>
      <c r="Q356" s="21"/>
      <c r="R356" s="21"/>
      <c r="S356" s="47"/>
      <c r="T356" s="25">
        <f t="shared" si="13"/>
        <v>0</v>
      </c>
      <c r="U356" s="25" t="str">
        <f>IF('PART III-DEMOGRAPHICS'!Q366="","",'PART III-DEMOGRAPHICS'!Q366)</f>
        <v/>
      </c>
    </row>
    <row r="357" spans="1:21" ht="33.6" customHeight="1">
      <c r="A357" s="25" t="str">
        <f>IF('PART III-DEMOGRAPHICS'!A367="","",'PART III-DEMOGRAPHICS'!A367)</f>
        <v/>
      </c>
      <c r="B357" s="28"/>
      <c r="C357" s="27"/>
      <c r="D357" s="28"/>
      <c r="E357" s="21"/>
      <c r="F357" s="36" t="str">
        <f t="shared" si="14"/>
        <v>Did Not</v>
      </c>
      <c r="G357" s="28"/>
      <c r="H357" s="28"/>
      <c r="I357" s="28"/>
      <c r="J357" s="28"/>
      <c r="K357" s="28"/>
      <c r="L357" s="28"/>
      <c r="M357" s="28"/>
      <c r="N357" s="21"/>
      <c r="O357" s="28"/>
      <c r="P357" s="37"/>
      <c r="Q357" s="21"/>
      <c r="R357" s="21"/>
      <c r="S357" s="47"/>
      <c r="T357" s="25">
        <f t="shared" si="13"/>
        <v>0</v>
      </c>
      <c r="U357" s="25" t="str">
        <f>IF('PART III-DEMOGRAPHICS'!Q367="","",'PART III-DEMOGRAPHICS'!Q367)</f>
        <v/>
      </c>
    </row>
    <row r="358" spans="1:21" ht="33.6" customHeight="1">
      <c r="A358" s="25" t="str">
        <f>IF('PART III-DEMOGRAPHICS'!A368="","",'PART III-DEMOGRAPHICS'!A368)</f>
        <v/>
      </c>
      <c r="B358" s="28"/>
      <c r="C358" s="27"/>
      <c r="D358" s="28"/>
      <c r="E358" s="21"/>
      <c r="F358" s="36" t="str">
        <f t="shared" si="14"/>
        <v>Did Not</v>
      </c>
      <c r="G358" s="28"/>
      <c r="H358" s="28"/>
      <c r="I358" s="28"/>
      <c r="J358" s="28"/>
      <c r="K358" s="28"/>
      <c r="L358" s="28"/>
      <c r="M358" s="28"/>
      <c r="N358" s="21"/>
      <c r="O358" s="28"/>
      <c r="P358" s="37"/>
      <c r="Q358" s="21"/>
      <c r="R358" s="21"/>
      <c r="S358" s="47"/>
      <c r="T358" s="25">
        <f t="shared" si="13"/>
        <v>0</v>
      </c>
      <c r="U358" s="25" t="str">
        <f>IF('PART III-DEMOGRAPHICS'!Q368="","",'PART III-DEMOGRAPHICS'!Q368)</f>
        <v/>
      </c>
    </row>
    <row r="359" spans="1:21" ht="33.6" customHeight="1">
      <c r="A359" s="25" t="str">
        <f>IF('PART III-DEMOGRAPHICS'!A369="","",'PART III-DEMOGRAPHICS'!A369)</f>
        <v/>
      </c>
      <c r="B359" s="28"/>
      <c r="C359" s="27"/>
      <c r="D359" s="28"/>
      <c r="E359" s="21"/>
      <c r="F359" s="36" t="str">
        <f t="shared" si="14"/>
        <v>Did Not</v>
      </c>
      <c r="G359" s="28"/>
      <c r="H359" s="28"/>
      <c r="I359" s="28"/>
      <c r="J359" s="28"/>
      <c r="K359" s="28"/>
      <c r="L359" s="28"/>
      <c r="M359" s="28"/>
      <c r="N359" s="21"/>
      <c r="O359" s="28"/>
      <c r="P359" s="37"/>
      <c r="Q359" s="21"/>
      <c r="R359" s="21"/>
      <c r="S359" s="47"/>
      <c r="T359" s="25">
        <f t="shared" si="13"/>
        <v>0</v>
      </c>
      <c r="U359" s="25" t="str">
        <f>IF('PART III-DEMOGRAPHICS'!Q369="","",'PART III-DEMOGRAPHICS'!Q369)</f>
        <v/>
      </c>
    </row>
    <row r="360" spans="1:21" ht="33.6" customHeight="1">
      <c r="A360" s="25" t="str">
        <f>IF('PART III-DEMOGRAPHICS'!A370="","",'PART III-DEMOGRAPHICS'!A370)</f>
        <v/>
      </c>
      <c r="B360" s="28"/>
      <c r="C360" s="27"/>
      <c r="D360" s="28"/>
      <c r="E360" s="21"/>
      <c r="F360" s="36" t="str">
        <f t="shared" si="14"/>
        <v>Did Not</v>
      </c>
      <c r="G360" s="28"/>
      <c r="H360" s="28"/>
      <c r="I360" s="28"/>
      <c r="J360" s="28"/>
      <c r="K360" s="28"/>
      <c r="L360" s="28"/>
      <c r="M360" s="28"/>
      <c r="N360" s="21"/>
      <c r="O360" s="28"/>
      <c r="P360" s="37"/>
      <c r="Q360" s="21"/>
      <c r="R360" s="21"/>
      <c r="S360" s="47"/>
      <c r="T360" s="25">
        <f t="shared" si="13"/>
        <v>0</v>
      </c>
      <c r="U360" s="25" t="str">
        <f>IF('PART III-DEMOGRAPHICS'!Q370="","",'PART III-DEMOGRAPHICS'!Q370)</f>
        <v/>
      </c>
    </row>
    <row r="361" spans="1:21" ht="33.6" customHeight="1">
      <c r="A361" s="25" t="str">
        <f>IF('PART III-DEMOGRAPHICS'!A371="","",'PART III-DEMOGRAPHICS'!A371)</f>
        <v/>
      </c>
      <c r="B361" s="28"/>
      <c r="C361" s="27"/>
      <c r="D361" s="28"/>
      <c r="E361" s="21"/>
      <c r="F361" s="36" t="str">
        <f t="shared" si="14"/>
        <v>Did Not</v>
      </c>
      <c r="G361" s="28"/>
      <c r="H361" s="28"/>
      <c r="I361" s="28"/>
      <c r="J361" s="28"/>
      <c r="K361" s="28"/>
      <c r="L361" s="28"/>
      <c r="M361" s="28"/>
      <c r="N361" s="21"/>
      <c r="O361" s="28"/>
      <c r="P361" s="37"/>
      <c r="Q361" s="21"/>
      <c r="R361" s="21"/>
      <c r="S361" s="47"/>
      <c r="T361" s="25">
        <f t="shared" si="13"/>
        <v>0</v>
      </c>
      <c r="U361" s="25" t="str">
        <f>IF('PART III-DEMOGRAPHICS'!Q371="","",'PART III-DEMOGRAPHICS'!Q371)</f>
        <v/>
      </c>
    </row>
    <row r="362" spans="1:21" ht="33.6" customHeight="1">
      <c r="A362" s="25" t="str">
        <f>IF('PART III-DEMOGRAPHICS'!A372="","",'PART III-DEMOGRAPHICS'!A372)</f>
        <v/>
      </c>
      <c r="B362" s="28"/>
      <c r="C362" s="27"/>
      <c r="D362" s="28"/>
      <c r="E362" s="21"/>
      <c r="F362" s="36" t="str">
        <f t="shared" si="14"/>
        <v>Did Not</v>
      </c>
      <c r="G362" s="28"/>
      <c r="H362" s="28"/>
      <c r="I362" s="28"/>
      <c r="J362" s="28"/>
      <c r="K362" s="28"/>
      <c r="L362" s="28"/>
      <c r="M362" s="28"/>
      <c r="N362" s="21"/>
      <c r="O362" s="28"/>
      <c r="P362" s="37"/>
      <c r="Q362" s="21"/>
      <c r="R362" s="21"/>
      <c r="S362" s="47"/>
      <c r="T362" s="25">
        <f t="shared" si="13"/>
        <v>0</v>
      </c>
      <c r="U362" s="25" t="str">
        <f>IF('PART III-DEMOGRAPHICS'!Q372="","",'PART III-DEMOGRAPHICS'!Q372)</f>
        <v/>
      </c>
    </row>
    <row r="363" spans="1:21" ht="33.6" customHeight="1">
      <c r="A363" s="25" t="str">
        <f>IF('PART III-DEMOGRAPHICS'!A373="","",'PART III-DEMOGRAPHICS'!A373)</f>
        <v/>
      </c>
      <c r="B363" s="28"/>
      <c r="C363" s="27"/>
      <c r="D363" s="28"/>
      <c r="E363" s="21"/>
      <c r="F363" s="36" t="str">
        <f t="shared" si="14"/>
        <v>Did Not</v>
      </c>
      <c r="G363" s="28"/>
      <c r="H363" s="28"/>
      <c r="I363" s="28"/>
      <c r="J363" s="28"/>
      <c r="K363" s="28"/>
      <c r="L363" s="28"/>
      <c r="M363" s="28"/>
      <c r="N363" s="21"/>
      <c r="O363" s="28"/>
      <c r="P363" s="37"/>
      <c r="Q363" s="21"/>
      <c r="R363" s="21"/>
      <c r="S363" s="47"/>
      <c r="T363" s="25">
        <f t="shared" si="13"/>
        <v>0</v>
      </c>
      <c r="U363" s="25" t="str">
        <f>IF('PART III-DEMOGRAPHICS'!Q373="","",'PART III-DEMOGRAPHICS'!Q373)</f>
        <v/>
      </c>
    </row>
    <row r="364" spans="1:21" ht="33.6" customHeight="1">
      <c r="A364" s="25" t="str">
        <f>IF('PART III-DEMOGRAPHICS'!A374="","",'PART III-DEMOGRAPHICS'!A374)</f>
        <v/>
      </c>
      <c r="B364" s="28"/>
      <c r="C364" s="27"/>
      <c r="D364" s="28"/>
      <c r="E364" s="21"/>
      <c r="F364" s="36" t="str">
        <f t="shared" si="14"/>
        <v>Did Not</v>
      </c>
      <c r="G364" s="28"/>
      <c r="H364" s="28"/>
      <c r="I364" s="28"/>
      <c r="J364" s="28"/>
      <c r="K364" s="28"/>
      <c r="L364" s="28"/>
      <c r="M364" s="28"/>
      <c r="N364" s="21"/>
      <c r="O364" s="28"/>
      <c r="P364" s="37"/>
      <c r="Q364" s="21"/>
      <c r="R364" s="21"/>
      <c r="S364" s="47"/>
      <c r="T364" s="25">
        <f t="shared" si="13"/>
        <v>0</v>
      </c>
      <c r="U364" s="25" t="str">
        <f>IF('PART III-DEMOGRAPHICS'!Q374="","",'PART III-DEMOGRAPHICS'!Q374)</f>
        <v/>
      </c>
    </row>
    <row r="365" spans="1:21" ht="33.6" customHeight="1">
      <c r="A365" s="25" t="str">
        <f>IF('PART III-DEMOGRAPHICS'!A375="","",'PART III-DEMOGRAPHICS'!A375)</f>
        <v/>
      </c>
      <c r="B365" s="28"/>
      <c r="C365" s="27"/>
      <c r="D365" s="28"/>
      <c r="E365" s="21"/>
      <c r="F365" s="36" t="str">
        <f t="shared" si="14"/>
        <v>Did Not</v>
      </c>
      <c r="G365" s="28"/>
      <c r="H365" s="28"/>
      <c r="I365" s="28"/>
      <c r="J365" s="28"/>
      <c r="K365" s="28"/>
      <c r="L365" s="28"/>
      <c r="M365" s="28"/>
      <c r="N365" s="21"/>
      <c r="O365" s="28"/>
      <c r="P365" s="37"/>
      <c r="Q365" s="21"/>
      <c r="R365" s="21"/>
      <c r="S365" s="47"/>
      <c r="T365" s="25">
        <f t="shared" si="13"/>
        <v>0</v>
      </c>
      <c r="U365" s="25" t="str">
        <f>IF('PART III-DEMOGRAPHICS'!Q375="","",'PART III-DEMOGRAPHICS'!Q375)</f>
        <v/>
      </c>
    </row>
    <row r="366" spans="1:21" ht="33.6" customHeight="1">
      <c r="A366" s="25" t="str">
        <f>IF('PART III-DEMOGRAPHICS'!A376="","",'PART III-DEMOGRAPHICS'!A376)</f>
        <v/>
      </c>
      <c r="B366" s="28"/>
      <c r="C366" s="27"/>
      <c r="D366" s="28"/>
      <c r="E366" s="21"/>
      <c r="F366" s="36" t="str">
        <f t="shared" si="14"/>
        <v>Did Not</v>
      </c>
      <c r="G366" s="28"/>
      <c r="H366" s="28"/>
      <c r="I366" s="28"/>
      <c r="J366" s="28"/>
      <c r="K366" s="28"/>
      <c r="L366" s="28"/>
      <c r="M366" s="28"/>
      <c r="N366" s="21"/>
      <c r="O366" s="28"/>
      <c r="P366" s="37"/>
      <c r="Q366" s="21"/>
      <c r="R366" s="21"/>
      <c r="S366" s="47"/>
      <c r="T366" s="25">
        <f t="shared" si="13"/>
        <v>0</v>
      </c>
      <c r="U366" s="25" t="str">
        <f>IF('PART III-DEMOGRAPHICS'!Q376="","",'PART III-DEMOGRAPHICS'!Q376)</f>
        <v/>
      </c>
    </row>
    <row r="367" spans="1:21" ht="33.6" customHeight="1">
      <c r="A367" s="25" t="str">
        <f>IF('PART III-DEMOGRAPHICS'!A377="","",'PART III-DEMOGRAPHICS'!A377)</f>
        <v/>
      </c>
      <c r="B367" s="28"/>
      <c r="C367" s="27"/>
      <c r="D367" s="28"/>
      <c r="E367" s="21"/>
      <c r="F367" s="36" t="str">
        <f t="shared" si="14"/>
        <v>Did Not</v>
      </c>
      <c r="G367" s="28"/>
      <c r="H367" s="28"/>
      <c r="I367" s="28"/>
      <c r="J367" s="28"/>
      <c r="K367" s="28"/>
      <c r="L367" s="28"/>
      <c r="M367" s="28"/>
      <c r="N367" s="21"/>
      <c r="O367" s="28"/>
      <c r="P367" s="37"/>
      <c r="Q367" s="21"/>
      <c r="R367" s="21"/>
      <c r="S367" s="47"/>
      <c r="T367" s="25">
        <f t="shared" si="13"/>
        <v>0</v>
      </c>
      <c r="U367" s="25" t="str">
        <f>IF('PART III-DEMOGRAPHICS'!Q377="","",'PART III-DEMOGRAPHICS'!Q377)</f>
        <v/>
      </c>
    </row>
    <row r="368" spans="1:21" ht="33.6" customHeight="1">
      <c r="A368" s="25" t="str">
        <f>IF('PART III-DEMOGRAPHICS'!A378="","",'PART III-DEMOGRAPHICS'!A378)</f>
        <v/>
      </c>
      <c r="B368" s="28"/>
      <c r="C368" s="27"/>
      <c r="D368" s="28"/>
      <c r="E368" s="21"/>
      <c r="F368" s="36" t="str">
        <f t="shared" si="14"/>
        <v>Did Not</v>
      </c>
      <c r="G368" s="28"/>
      <c r="H368" s="28"/>
      <c r="I368" s="28"/>
      <c r="J368" s="28"/>
      <c r="K368" s="28"/>
      <c r="L368" s="28"/>
      <c r="M368" s="28"/>
      <c r="N368" s="21"/>
      <c r="O368" s="28"/>
      <c r="P368" s="37"/>
      <c r="Q368" s="21"/>
      <c r="R368" s="21"/>
      <c r="S368" s="47"/>
      <c r="T368" s="25">
        <f t="shared" si="13"/>
        <v>0</v>
      </c>
      <c r="U368" s="25" t="str">
        <f>IF('PART III-DEMOGRAPHICS'!Q378="","",'PART III-DEMOGRAPHICS'!Q378)</f>
        <v/>
      </c>
    </row>
    <row r="369" spans="1:21" ht="33.6" customHeight="1">
      <c r="A369" s="25" t="str">
        <f>IF('PART III-DEMOGRAPHICS'!A379="","",'PART III-DEMOGRAPHICS'!A379)</f>
        <v/>
      </c>
      <c r="B369" s="28"/>
      <c r="C369" s="27"/>
      <c r="D369" s="28"/>
      <c r="E369" s="21"/>
      <c r="F369" s="36" t="str">
        <f t="shared" si="14"/>
        <v>Did Not</v>
      </c>
      <c r="G369" s="28"/>
      <c r="H369" s="28"/>
      <c r="I369" s="28"/>
      <c r="J369" s="28"/>
      <c r="K369" s="28"/>
      <c r="L369" s="28"/>
      <c r="M369" s="28"/>
      <c r="N369" s="21"/>
      <c r="O369" s="28"/>
      <c r="P369" s="37"/>
      <c r="Q369" s="21"/>
      <c r="R369" s="21"/>
      <c r="S369" s="47"/>
      <c r="T369" s="25">
        <f t="shared" si="13"/>
        <v>0</v>
      </c>
      <c r="U369" s="25" t="str">
        <f>IF('PART III-DEMOGRAPHICS'!Q379="","",'PART III-DEMOGRAPHICS'!Q379)</f>
        <v/>
      </c>
    </row>
    <row r="370" spans="1:21" ht="33.6" customHeight="1">
      <c r="A370" s="25" t="str">
        <f>IF('PART III-DEMOGRAPHICS'!A380="","",'PART III-DEMOGRAPHICS'!A380)</f>
        <v/>
      </c>
      <c r="B370" s="28"/>
      <c r="C370" s="27"/>
      <c r="D370" s="28"/>
      <c r="E370" s="21"/>
      <c r="F370" s="36" t="str">
        <f t="shared" si="14"/>
        <v>Did Not</v>
      </c>
      <c r="G370" s="28"/>
      <c r="H370" s="28"/>
      <c r="I370" s="28"/>
      <c r="J370" s="28"/>
      <c r="K370" s="28"/>
      <c r="L370" s="28"/>
      <c r="M370" s="28"/>
      <c r="N370" s="21"/>
      <c r="O370" s="28"/>
      <c r="P370" s="37"/>
      <c r="Q370" s="21"/>
      <c r="R370" s="21"/>
      <c r="S370" s="47"/>
      <c r="T370" s="25">
        <f t="shared" si="13"/>
        <v>0</v>
      </c>
      <c r="U370" s="25" t="str">
        <f>IF('PART III-DEMOGRAPHICS'!Q380="","",'PART III-DEMOGRAPHICS'!Q380)</f>
        <v/>
      </c>
    </row>
    <row r="371" spans="1:21" ht="33.6" customHeight="1">
      <c r="A371" s="25" t="str">
        <f>IF('PART III-DEMOGRAPHICS'!A381="","",'PART III-DEMOGRAPHICS'!A381)</f>
        <v/>
      </c>
      <c r="B371" s="28"/>
      <c r="C371" s="27"/>
      <c r="D371" s="28"/>
      <c r="E371" s="21"/>
      <c r="F371" s="36" t="str">
        <f t="shared" si="14"/>
        <v>Did Not</v>
      </c>
      <c r="G371" s="28"/>
      <c r="H371" s="28"/>
      <c r="I371" s="28"/>
      <c r="J371" s="28"/>
      <c r="K371" s="28"/>
      <c r="L371" s="28"/>
      <c r="M371" s="28"/>
      <c r="N371" s="21"/>
      <c r="O371" s="28"/>
      <c r="P371" s="37"/>
      <c r="Q371" s="21"/>
      <c r="R371" s="21"/>
      <c r="S371" s="47"/>
      <c r="T371" s="25">
        <f t="shared" si="13"/>
        <v>0</v>
      </c>
      <c r="U371" s="25" t="str">
        <f>IF('PART III-DEMOGRAPHICS'!Q381="","",'PART III-DEMOGRAPHICS'!Q381)</f>
        <v/>
      </c>
    </row>
    <row r="372" spans="1:21" ht="33.6" customHeight="1">
      <c r="A372" s="25" t="str">
        <f>IF('PART III-DEMOGRAPHICS'!A382="","",'PART III-DEMOGRAPHICS'!A382)</f>
        <v/>
      </c>
      <c r="B372" s="28"/>
      <c r="C372" s="27"/>
      <c r="D372" s="28"/>
      <c r="E372" s="21"/>
      <c r="F372" s="36" t="str">
        <f t="shared" si="14"/>
        <v>Did Not</v>
      </c>
      <c r="G372" s="28"/>
      <c r="H372" s="28"/>
      <c r="I372" s="28"/>
      <c r="J372" s="28"/>
      <c r="K372" s="28"/>
      <c r="L372" s="28"/>
      <c r="M372" s="28"/>
      <c r="N372" s="21"/>
      <c r="O372" s="28"/>
      <c r="P372" s="37"/>
      <c r="Q372" s="21"/>
      <c r="R372" s="21"/>
      <c r="S372" s="47"/>
      <c r="T372" s="25">
        <f t="shared" si="13"/>
        <v>0</v>
      </c>
      <c r="U372" s="25" t="str">
        <f>IF('PART III-DEMOGRAPHICS'!Q382="","",'PART III-DEMOGRAPHICS'!Q382)</f>
        <v/>
      </c>
    </row>
    <row r="373" spans="1:21" ht="33.6" customHeight="1">
      <c r="A373" s="25" t="str">
        <f>IF('PART III-DEMOGRAPHICS'!A383="","",'PART III-DEMOGRAPHICS'!A383)</f>
        <v/>
      </c>
      <c r="B373" s="28"/>
      <c r="C373" s="27"/>
      <c r="D373" s="28"/>
      <c r="E373" s="21"/>
      <c r="F373" s="36" t="str">
        <f t="shared" si="14"/>
        <v>Did Not</v>
      </c>
      <c r="G373" s="28"/>
      <c r="H373" s="28"/>
      <c r="I373" s="28"/>
      <c r="J373" s="28"/>
      <c r="K373" s="28"/>
      <c r="L373" s="28"/>
      <c r="M373" s="28"/>
      <c r="N373" s="21"/>
      <c r="O373" s="28"/>
      <c r="P373" s="37"/>
      <c r="Q373" s="21"/>
      <c r="R373" s="21"/>
      <c r="S373" s="47"/>
      <c r="T373" s="25">
        <f t="shared" si="13"/>
        <v>0</v>
      </c>
      <c r="U373" s="25" t="str">
        <f>IF('PART III-DEMOGRAPHICS'!Q383="","",'PART III-DEMOGRAPHICS'!Q383)</f>
        <v/>
      </c>
    </row>
    <row r="374" spans="1:21" ht="33.6" customHeight="1">
      <c r="A374" s="25" t="str">
        <f>IF('PART III-DEMOGRAPHICS'!A384="","",'PART III-DEMOGRAPHICS'!A384)</f>
        <v/>
      </c>
      <c r="B374" s="28"/>
      <c r="C374" s="27"/>
      <c r="D374" s="28"/>
      <c r="E374" s="21"/>
      <c r="F374" s="36" t="str">
        <f t="shared" si="14"/>
        <v>Did Not</v>
      </c>
      <c r="G374" s="28"/>
      <c r="H374" s="28"/>
      <c r="I374" s="28"/>
      <c r="J374" s="28"/>
      <c r="K374" s="28"/>
      <c r="L374" s="28"/>
      <c r="M374" s="28"/>
      <c r="N374" s="21"/>
      <c r="O374" s="28"/>
      <c r="P374" s="37"/>
      <c r="Q374" s="21"/>
      <c r="R374" s="21"/>
      <c r="S374" s="47"/>
      <c r="T374" s="25">
        <f t="shared" si="13"/>
        <v>0</v>
      </c>
      <c r="U374" s="25" t="str">
        <f>IF('PART III-DEMOGRAPHICS'!Q384="","",'PART III-DEMOGRAPHICS'!Q384)</f>
        <v/>
      </c>
    </row>
    <row r="375" spans="1:21" ht="33.6" customHeight="1">
      <c r="A375" s="25" t="str">
        <f>IF('PART III-DEMOGRAPHICS'!A385="","",'PART III-DEMOGRAPHICS'!A385)</f>
        <v/>
      </c>
      <c r="B375" s="28"/>
      <c r="C375" s="27"/>
      <c r="D375" s="28"/>
      <c r="E375" s="21"/>
      <c r="F375" s="36" t="str">
        <f t="shared" si="14"/>
        <v>Did Not</v>
      </c>
      <c r="G375" s="28"/>
      <c r="H375" s="28"/>
      <c r="I375" s="28"/>
      <c r="J375" s="28"/>
      <c r="K375" s="28"/>
      <c r="L375" s="28"/>
      <c r="M375" s="28"/>
      <c r="N375" s="21"/>
      <c r="O375" s="28"/>
      <c r="P375" s="37"/>
      <c r="Q375" s="21"/>
      <c r="R375" s="21"/>
      <c r="S375" s="47"/>
      <c r="T375" s="25">
        <f t="shared" si="13"/>
        <v>0</v>
      </c>
      <c r="U375" s="25" t="str">
        <f>IF('PART III-DEMOGRAPHICS'!Q385="","",'PART III-DEMOGRAPHICS'!Q385)</f>
        <v/>
      </c>
    </row>
    <row r="376" spans="1:21" ht="33.6" customHeight="1">
      <c r="A376" s="25" t="str">
        <f>IF('PART III-DEMOGRAPHICS'!A386="","",'PART III-DEMOGRAPHICS'!A386)</f>
        <v/>
      </c>
      <c r="B376" s="28"/>
      <c r="C376" s="27"/>
      <c r="D376" s="28"/>
      <c r="E376" s="21"/>
      <c r="F376" s="36" t="str">
        <f t="shared" si="14"/>
        <v>Did Not</v>
      </c>
      <c r="G376" s="28"/>
      <c r="H376" s="28"/>
      <c r="I376" s="28"/>
      <c r="J376" s="28"/>
      <c r="K376" s="28"/>
      <c r="L376" s="28"/>
      <c r="M376" s="28"/>
      <c r="N376" s="21"/>
      <c r="O376" s="28"/>
      <c r="P376" s="37"/>
      <c r="Q376" s="21"/>
      <c r="R376" s="21"/>
      <c r="S376" s="47"/>
      <c r="T376" s="25">
        <f t="shared" si="13"/>
        <v>0</v>
      </c>
      <c r="U376" s="25" t="str">
        <f>IF('PART III-DEMOGRAPHICS'!Q386="","",'PART III-DEMOGRAPHICS'!Q386)</f>
        <v/>
      </c>
    </row>
    <row r="377" spans="1:21" ht="33.6" customHeight="1">
      <c r="A377" s="25" t="str">
        <f>IF('PART III-DEMOGRAPHICS'!A387="","",'PART III-DEMOGRAPHICS'!A387)</f>
        <v/>
      </c>
      <c r="B377" s="28"/>
      <c r="C377" s="27"/>
      <c r="D377" s="28"/>
      <c r="E377" s="21"/>
      <c r="F377" s="36" t="str">
        <f t="shared" si="14"/>
        <v>Did Not</v>
      </c>
      <c r="G377" s="28"/>
      <c r="H377" s="28"/>
      <c r="I377" s="28"/>
      <c r="J377" s="28"/>
      <c r="K377" s="28"/>
      <c r="L377" s="28"/>
      <c r="M377" s="28"/>
      <c r="N377" s="21"/>
      <c r="O377" s="28"/>
      <c r="P377" s="37"/>
      <c r="Q377" s="21"/>
      <c r="R377" s="21"/>
      <c r="S377" s="47"/>
      <c r="T377" s="25">
        <f t="shared" si="13"/>
        <v>0</v>
      </c>
      <c r="U377" s="25" t="str">
        <f>IF('PART III-DEMOGRAPHICS'!Q387="","",'PART III-DEMOGRAPHICS'!Q387)</f>
        <v/>
      </c>
    </row>
    <row r="378" spans="1:21" ht="33.6" customHeight="1">
      <c r="A378" s="25" t="str">
        <f>IF('PART III-DEMOGRAPHICS'!A388="","",'PART III-DEMOGRAPHICS'!A388)</f>
        <v/>
      </c>
      <c r="B378" s="28"/>
      <c r="C378" s="27"/>
      <c r="D378" s="28"/>
      <c r="E378" s="21"/>
      <c r="F378" s="36" t="str">
        <f t="shared" si="14"/>
        <v>Did Not</v>
      </c>
      <c r="G378" s="28"/>
      <c r="H378" s="28"/>
      <c r="I378" s="28"/>
      <c r="J378" s="28"/>
      <c r="K378" s="28"/>
      <c r="L378" s="28"/>
      <c r="M378" s="28"/>
      <c r="N378" s="21"/>
      <c r="O378" s="28"/>
      <c r="P378" s="37"/>
      <c r="Q378" s="21"/>
      <c r="R378" s="21"/>
      <c r="S378" s="47"/>
      <c r="T378" s="25">
        <f t="shared" si="13"/>
        <v>0</v>
      </c>
      <c r="U378" s="25" t="str">
        <f>IF('PART III-DEMOGRAPHICS'!Q388="","",'PART III-DEMOGRAPHICS'!Q388)</f>
        <v/>
      </c>
    </row>
    <row r="379" spans="1:21" ht="33.6" customHeight="1">
      <c r="A379" s="25" t="str">
        <f>IF('PART III-DEMOGRAPHICS'!A389="","",'PART III-DEMOGRAPHICS'!A389)</f>
        <v/>
      </c>
      <c r="B379" s="28"/>
      <c r="C379" s="27"/>
      <c r="D379" s="28"/>
      <c r="E379" s="21"/>
      <c r="F379" s="36" t="str">
        <f t="shared" si="14"/>
        <v>Did Not</v>
      </c>
      <c r="G379" s="28"/>
      <c r="H379" s="28"/>
      <c r="I379" s="28"/>
      <c r="J379" s="28"/>
      <c r="K379" s="28"/>
      <c r="L379" s="28"/>
      <c r="M379" s="28"/>
      <c r="N379" s="21"/>
      <c r="O379" s="28"/>
      <c r="P379" s="37"/>
      <c r="Q379" s="21"/>
      <c r="R379" s="21"/>
      <c r="S379" s="47"/>
      <c r="T379" s="25">
        <f t="shared" si="13"/>
        <v>0</v>
      </c>
      <c r="U379" s="25" t="str">
        <f>IF('PART III-DEMOGRAPHICS'!Q389="","",'PART III-DEMOGRAPHICS'!Q389)</f>
        <v/>
      </c>
    </row>
    <row r="380" spans="1:21" ht="33.6" customHeight="1">
      <c r="A380" s="25" t="str">
        <f>IF('PART III-DEMOGRAPHICS'!A390="","",'PART III-DEMOGRAPHICS'!A390)</f>
        <v/>
      </c>
      <c r="B380" s="28"/>
      <c r="C380" s="27"/>
      <c r="D380" s="28"/>
      <c r="E380" s="21"/>
      <c r="F380" s="36" t="str">
        <f t="shared" si="14"/>
        <v>Did Not</v>
      </c>
      <c r="G380" s="28"/>
      <c r="H380" s="28"/>
      <c r="I380" s="28"/>
      <c r="J380" s="28"/>
      <c r="K380" s="28"/>
      <c r="L380" s="28"/>
      <c r="M380" s="28"/>
      <c r="N380" s="21"/>
      <c r="O380" s="28"/>
      <c r="P380" s="37"/>
      <c r="Q380" s="21"/>
      <c r="R380" s="21"/>
      <c r="S380" s="47"/>
      <c r="T380" s="25">
        <f t="shared" si="13"/>
        <v>0</v>
      </c>
      <c r="U380" s="25" t="str">
        <f>IF('PART III-DEMOGRAPHICS'!Q390="","",'PART III-DEMOGRAPHICS'!Q390)</f>
        <v/>
      </c>
    </row>
    <row r="381" spans="1:21" ht="33.6" customHeight="1">
      <c r="A381" s="25" t="str">
        <f>IF('PART III-DEMOGRAPHICS'!A391="","",'PART III-DEMOGRAPHICS'!A391)</f>
        <v/>
      </c>
      <c r="B381" s="28"/>
      <c r="C381" s="27"/>
      <c r="D381" s="28"/>
      <c r="E381" s="21"/>
      <c r="F381" s="36" t="str">
        <f t="shared" si="14"/>
        <v>Did Not</v>
      </c>
      <c r="G381" s="28"/>
      <c r="H381" s="28"/>
      <c r="I381" s="28"/>
      <c r="J381" s="28"/>
      <c r="K381" s="28"/>
      <c r="L381" s="28"/>
      <c r="M381" s="28"/>
      <c r="N381" s="21"/>
      <c r="O381" s="28"/>
      <c r="P381" s="37"/>
      <c r="Q381" s="21"/>
      <c r="R381" s="21"/>
      <c r="S381" s="47"/>
      <c r="T381" s="25">
        <f t="shared" si="13"/>
        <v>0</v>
      </c>
      <c r="U381" s="25" t="str">
        <f>IF('PART III-DEMOGRAPHICS'!Q391="","",'PART III-DEMOGRAPHICS'!Q391)</f>
        <v/>
      </c>
    </row>
    <row r="382" spans="1:21" ht="33.6" customHeight="1">
      <c r="A382" s="25" t="str">
        <f>IF('PART III-DEMOGRAPHICS'!A392="","",'PART III-DEMOGRAPHICS'!A392)</f>
        <v/>
      </c>
      <c r="B382" s="28"/>
      <c r="C382" s="27"/>
      <c r="D382" s="28"/>
      <c r="E382" s="21"/>
      <c r="F382" s="36" t="str">
        <f t="shared" si="14"/>
        <v>Did Not</v>
      </c>
      <c r="G382" s="28"/>
      <c r="H382" s="28"/>
      <c r="I382" s="28"/>
      <c r="J382" s="28"/>
      <c r="K382" s="28"/>
      <c r="L382" s="28"/>
      <c r="M382" s="28"/>
      <c r="N382" s="21"/>
      <c r="O382" s="28"/>
      <c r="P382" s="37"/>
      <c r="Q382" s="21"/>
      <c r="R382" s="21"/>
      <c r="S382" s="47"/>
      <c r="T382" s="25">
        <f t="shared" si="13"/>
        <v>0</v>
      </c>
      <c r="U382" s="25" t="str">
        <f>IF('PART III-DEMOGRAPHICS'!Q392="","",'PART III-DEMOGRAPHICS'!Q392)</f>
        <v/>
      </c>
    </row>
    <row r="383" spans="1:21" ht="33.6" customHeight="1">
      <c r="A383" s="25" t="str">
        <f>IF('PART III-DEMOGRAPHICS'!A393="","",'PART III-DEMOGRAPHICS'!A393)</f>
        <v/>
      </c>
      <c r="B383" s="28"/>
      <c r="C383" s="27"/>
      <c r="D383" s="28"/>
      <c r="E383" s="21"/>
      <c r="F383" s="36" t="str">
        <f t="shared" si="14"/>
        <v>Did Not</v>
      </c>
      <c r="G383" s="28"/>
      <c r="H383" s="28"/>
      <c r="I383" s="28"/>
      <c r="J383" s="28"/>
      <c r="K383" s="28"/>
      <c r="L383" s="28"/>
      <c r="M383" s="28"/>
      <c r="N383" s="21"/>
      <c r="O383" s="28"/>
      <c r="P383" s="37"/>
      <c r="Q383" s="21"/>
      <c r="R383" s="21"/>
      <c r="S383" s="47"/>
      <c r="T383" s="25">
        <f t="shared" si="13"/>
        <v>0</v>
      </c>
      <c r="U383" s="25" t="str">
        <f>IF('PART III-DEMOGRAPHICS'!Q393="","",'PART III-DEMOGRAPHICS'!Q393)</f>
        <v/>
      </c>
    </row>
    <row r="384" spans="1:21" ht="33.6" customHeight="1">
      <c r="A384" s="25" t="str">
        <f>IF('PART III-DEMOGRAPHICS'!A394="","",'PART III-DEMOGRAPHICS'!A394)</f>
        <v/>
      </c>
      <c r="B384" s="28"/>
      <c r="C384" s="27"/>
      <c r="D384" s="28"/>
      <c r="E384" s="21"/>
      <c r="F384" s="36" t="str">
        <f t="shared" si="14"/>
        <v>Did Not</v>
      </c>
      <c r="G384" s="28"/>
      <c r="H384" s="28"/>
      <c r="I384" s="28"/>
      <c r="J384" s="28"/>
      <c r="K384" s="28"/>
      <c r="L384" s="28"/>
      <c r="M384" s="28"/>
      <c r="N384" s="21"/>
      <c r="O384" s="28"/>
      <c r="P384" s="37"/>
      <c r="Q384" s="21"/>
      <c r="R384" s="21"/>
      <c r="S384" s="47"/>
      <c r="T384" s="25">
        <f t="shared" si="13"/>
        <v>0</v>
      </c>
      <c r="U384" s="25" t="str">
        <f>IF('PART III-DEMOGRAPHICS'!Q394="","",'PART III-DEMOGRAPHICS'!Q394)</f>
        <v/>
      </c>
    </row>
    <row r="385" spans="1:21" ht="33.6" customHeight="1">
      <c r="A385" s="25" t="str">
        <f>IF('PART III-DEMOGRAPHICS'!A395="","",'PART III-DEMOGRAPHICS'!A395)</f>
        <v/>
      </c>
      <c r="B385" s="28"/>
      <c r="C385" s="27"/>
      <c r="D385" s="28"/>
      <c r="E385" s="21"/>
      <c r="F385" s="36" t="str">
        <f t="shared" si="14"/>
        <v>Did Not</v>
      </c>
      <c r="G385" s="28"/>
      <c r="H385" s="28"/>
      <c r="I385" s="28"/>
      <c r="J385" s="28"/>
      <c r="K385" s="28"/>
      <c r="L385" s="28"/>
      <c r="M385" s="28"/>
      <c r="N385" s="21"/>
      <c r="O385" s="28"/>
      <c r="P385" s="37"/>
      <c r="Q385" s="21"/>
      <c r="R385" s="21"/>
      <c r="S385" s="47"/>
      <c r="T385" s="25">
        <f t="shared" si="13"/>
        <v>0</v>
      </c>
      <c r="U385" s="25" t="str">
        <f>IF('PART III-DEMOGRAPHICS'!Q395="","",'PART III-DEMOGRAPHICS'!Q395)</f>
        <v/>
      </c>
    </row>
    <row r="386" spans="1:21" ht="33.6" customHeight="1">
      <c r="A386" s="25" t="str">
        <f>IF('PART III-DEMOGRAPHICS'!A396="","",'PART III-DEMOGRAPHICS'!A396)</f>
        <v/>
      </c>
      <c r="B386" s="28"/>
      <c r="C386" s="27"/>
      <c r="D386" s="28"/>
      <c r="E386" s="21"/>
      <c r="F386" s="36" t="str">
        <f t="shared" si="14"/>
        <v>Did Not</v>
      </c>
      <c r="G386" s="28"/>
      <c r="H386" s="28"/>
      <c r="I386" s="28"/>
      <c r="J386" s="28"/>
      <c r="K386" s="28"/>
      <c r="L386" s="28"/>
      <c r="M386" s="28"/>
      <c r="N386" s="21"/>
      <c r="O386" s="28"/>
      <c r="P386" s="37"/>
      <c r="Q386" s="21"/>
      <c r="R386" s="21"/>
      <c r="S386" s="47"/>
      <c r="T386" s="25">
        <f t="shared" si="13"/>
        <v>0</v>
      </c>
      <c r="U386" s="25" t="str">
        <f>IF('PART III-DEMOGRAPHICS'!Q396="","",'PART III-DEMOGRAPHICS'!Q396)</f>
        <v/>
      </c>
    </row>
    <row r="387" spans="1:21" ht="33.6" customHeight="1">
      <c r="A387" s="25" t="str">
        <f>IF('PART III-DEMOGRAPHICS'!A397="","",'PART III-DEMOGRAPHICS'!A397)</f>
        <v/>
      </c>
      <c r="B387" s="28"/>
      <c r="C387" s="27"/>
      <c r="D387" s="28"/>
      <c r="E387" s="21"/>
      <c r="F387" s="36" t="str">
        <f t="shared" si="14"/>
        <v>Did Not</v>
      </c>
      <c r="G387" s="28"/>
      <c r="H387" s="28"/>
      <c r="I387" s="28"/>
      <c r="J387" s="28"/>
      <c r="K387" s="28"/>
      <c r="L387" s="28"/>
      <c r="M387" s="28"/>
      <c r="N387" s="21"/>
      <c r="O387" s="28"/>
      <c r="P387" s="37"/>
      <c r="Q387" s="21"/>
      <c r="R387" s="21"/>
      <c r="S387" s="47"/>
      <c r="T387" s="25">
        <f t="shared" si="13"/>
        <v>0</v>
      </c>
      <c r="U387" s="25" t="str">
        <f>IF('PART III-DEMOGRAPHICS'!Q397="","",'PART III-DEMOGRAPHICS'!Q397)</f>
        <v/>
      </c>
    </row>
    <row r="388" spans="1:21" ht="33.6" customHeight="1">
      <c r="A388" s="25" t="str">
        <f>IF('PART III-DEMOGRAPHICS'!A398="","",'PART III-DEMOGRAPHICS'!A398)</f>
        <v/>
      </c>
      <c r="B388" s="28"/>
      <c r="C388" s="27"/>
      <c r="D388" s="28"/>
      <c r="E388" s="21"/>
      <c r="F388" s="36" t="str">
        <f t="shared" si="14"/>
        <v>Did Not</v>
      </c>
      <c r="G388" s="28"/>
      <c r="H388" s="28"/>
      <c r="I388" s="28"/>
      <c r="J388" s="28"/>
      <c r="K388" s="28"/>
      <c r="L388" s="28"/>
      <c r="M388" s="28"/>
      <c r="N388" s="21"/>
      <c r="O388" s="28"/>
      <c r="P388" s="37"/>
      <c r="Q388" s="21"/>
      <c r="R388" s="21"/>
      <c r="S388" s="47"/>
      <c r="T388" s="25">
        <f t="shared" si="13"/>
        <v>0</v>
      </c>
      <c r="U388" s="25" t="str">
        <f>IF('PART III-DEMOGRAPHICS'!Q398="","",'PART III-DEMOGRAPHICS'!Q398)</f>
        <v/>
      </c>
    </row>
    <row r="389" spans="1:21" ht="33.6" customHeight="1">
      <c r="A389" s="25" t="str">
        <f>IF('PART III-DEMOGRAPHICS'!A399="","",'PART III-DEMOGRAPHICS'!A399)</f>
        <v/>
      </c>
      <c r="B389" s="28"/>
      <c r="C389" s="27"/>
      <c r="D389" s="28"/>
      <c r="E389" s="21"/>
      <c r="F389" s="36" t="str">
        <f t="shared" si="14"/>
        <v>Did Not</v>
      </c>
      <c r="G389" s="28"/>
      <c r="H389" s="28"/>
      <c r="I389" s="28"/>
      <c r="J389" s="28"/>
      <c r="K389" s="28"/>
      <c r="L389" s="28"/>
      <c r="M389" s="28"/>
      <c r="N389" s="21"/>
      <c r="O389" s="28"/>
      <c r="P389" s="37"/>
      <c r="Q389" s="21"/>
      <c r="R389" s="21"/>
      <c r="S389" s="47"/>
      <c r="T389" s="25">
        <f t="shared" si="13"/>
        <v>0</v>
      </c>
      <c r="U389" s="25" t="str">
        <f>IF('PART III-DEMOGRAPHICS'!Q399="","",'PART III-DEMOGRAPHICS'!Q399)</f>
        <v/>
      </c>
    </row>
    <row r="390" spans="1:21" ht="33.6" customHeight="1">
      <c r="A390" s="25" t="str">
        <f>IF('PART III-DEMOGRAPHICS'!A400="","",'PART III-DEMOGRAPHICS'!A400)</f>
        <v/>
      </c>
      <c r="B390" s="28"/>
      <c r="C390" s="27"/>
      <c r="D390" s="28"/>
      <c r="E390" s="21"/>
      <c r="F390" s="36" t="str">
        <f t="shared" si="14"/>
        <v>Did Not</v>
      </c>
      <c r="G390" s="28"/>
      <c r="H390" s="28"/>
      <c r="I390" s="28"/>
      <c r="J390" s="28"/>
      <c r="K390" s="28"/>
      <c r="L390" s="28"/>
      <c r="M390" s="28"/>
      <c r="N390" s="21"/>
      <c r="O390" s="28"/>
      <c r="P390" s="37"/>
      <c r="Q390" s="21"/>
      <c r="R390" s="21"/>
      <c r="S390" s="47"/>
      <c r="T390" s="25">
        <f t="shared" si="13"/>
        <v>0</v>
      </c>
      <c r="U390" s="25" t="str">
        <f>IF('PART III-DEMOGRAPHICS'!Q400="","",'PART III-DEMOGRAPHICS'!Q400)</f>
        <v/>
      </c>
    </row>
    <row r="391" spans="1:21" ht="33.6" customHeight="1">
      <c r="A391" s="25" t="str">
        <f>IF('PART III-DEMOGRAPHICS'!A401="","",'PART III-DEMOGRAPHICS'!A401)</f>
        <v/>
      </c>
      <c r="B391" s="28"/>
      <c r="C391" s="27"/>
      <c r="D391" s="28"/>
      <c r="E391" s="21"/>
      <c r="F391" s="36" t="str">
        <f t="shared" si="14"/>
        <v>Did Not</v>
      </c>
      <c r="G391" s="28"/>
      <c r="H391" s="28"/>
      <c r="I391" s="28"/>
      <c r="J391" s="28"/>
      <c r="K391" s="28"/>
      <c r="L391" s="28"/>
      <c r="M391" s="28"/>
      <c r="N391" s="21"/>
      <c r="O391" s="28"/>
      <c r="P391" s="37"/>
      <c r="Q391" s="21"/>
      <c r="R391" s="21"/>
      <c r="S391" s="47"/>
      <c r="T391" s="25">
        <f t="shared" ref="T391:T454" si="15">COUNTIF(A391:R391,"Yes")</f>
        <v>0</v>
      </c>
      <c r="U391" s="25" t="str">
        <f>IF('PART III-DEMOGRAPHICS'!Q401="","",'PART III-DEMOGRAPHICS'!Q401)</f>
        <v/>
      </c>
    </row>
    <row r="392" spans="1:21" ht="33.6" customHeight="1">
      <c r="A392" s="25" t="str">
        <f>IF('PART III-DEMOGRAPHICS'!A402="","",'PART III-DEMOGRAPHICS'!A402)</f>
        <v/>
      </c>
      <c r="B392" s="28"/>
      <c r="C392" s="27"/>
      <c r="D392" s="28"/>
      <c r="E392" s="21"/>
      <c r="F392" s="36" t="str">
        <f t="shared" si="14"/>
        <v>Did Not</v>
      </c>
      <c r="G392" s="28"/>
      <c r="H392" s="28"/>
      <c r="I392" s="28"/>
      <c r="J392" s="28"/>
      <c r="K392" s="28"/>
      <c r="L392" s="28"/>
      <c r="M392" s="28"/>
      <c r="N392" s="21"/>
      <c r="O392" s="28"/>
      <c r="P392" s="37"/>
      <c r="Q392" s="21"/>
      <c r="R392" s="21"/>
      <c r="S392" s="47"/>
      <c r="T392" s="25">
        <f t="shared" si="15"/>
        <v>0</v>
      </c>
      <c r="U392" s="25" t="str">
        <f>IF('PART III-DEMOGRAPHICS'!Q402="","",'PART III-DEMOGRAPHICS'!Q402)</f>
        <v/>
      </c>
    </row>
    <row r="393" spans="1:21" ht="33.6" customHeight="1">
      <c r="A393" s="25" t="str">
        <f>IF('PART III-DEMOGRAPHICS'!A403="","",'PART III-DEMOGRAPHICS'!A403)</f>
        <v/>
      </c>
      <c r="B393" s="28"/>
      <c r="C393" s="27"/>
      <c r="D393" s="28"/>
      <c r="E393" s="21"/>
      <c r="F393" s="36" t="str">
        <f t="shared" si="14"/>
        <v>Did Not</v>
      </c>
      <c r="G393" s="28"/>
      <c r="H393" s="28"/>
      <c r="I393" s="28"/>
      <c r="J393" s="28"/>
      <c r="K393" s="28"/>
      <c r="L393" s="28"/>
      <c r="M393" s="28"/>
      <c r="N393" s="21"/>
      <c r="O393" s="28"/>
      <c r="P393" s="37"/>
      <c r="Q393" s="21"/>
      <c r="R393" s="21"/>
      <c r="S393" s="47"/>
      <c r="T393" s="25">
        <f t="shared" si="15"/>
        <v>0</v>
      </c>
      <c r="U393" s="25" t="str">
        <f>IF('PART III-DEMOGRAPHICS'!Q403="","",'PART III-DEMOGRAPHICS'!Q403)</f>
        <v/>
      </c>
    </row>
    <row r="394" spans="1:21" ht="33.6" customHeight="1">
      <c r="A394" s="25" t="str">
        <f>IF('PART III-DEMOGRAPHICS'!A404="","",'PART III-DEMOGRAPHICS'!A404)</f>
        <v/>
      </c>
      <c r="B394" s="28"/>
      <c r="C394" s="27"/>
      <c r="D394" s="28"/>
      <c r="E394" s="21"/>
      <c r="F394" s="36" t="str">
        <f t="shared" si="14"/>
        <v>Did Not</v>
      </c>
      <c r="G394" s="28"/>
      <c r="H394" s="28"/>
      <c r="I394" s="28"/>
      <c r="J394" s="28"/>
      <c r="K394" s="28"/>
      <c r="L394" s="28"/>
      <c r="M394" s="28"/>
      <c r="N394" s="21"/>
      <c r="O394" s="28"/>
      <c r="P394" s="37"/>
      <c r="Q394" s="21"/>
      <c r="R394" s="21"/>
      <c r="S394" s="47"/>
      <c r="T394" s="25">
        <f t="shared" si="15"/>
        <v>0</v>
      </c>
      <c r="U394" s="25" t="str">
        <f>IF('PART III-DEMOGRAPHICS'!Q404="","",'PART III-DEMOGRAPHICS'!Q404)</f>
        <v/>
      </c>
    </row>
    <row r="395" spans="1:21" ht="33.6" customHeight="1">
      <c r="A395" s="25" t="str">
        <f>IF('PART III-DEMOGRAPHICS'!A405="","",'PART III-DEMOGRAPHICS'!A405)</f>
        <v/>
      </c>
      <c r="B395" s="28"/>
      <c r="C395" s="27"/>
      <c r="D395" s="28"/>
      <c r="E395" s="21"/>
      <c r="F395" s="36" t="str">
        <f t="shared" si="14"/>
        <v>Did Not</v>
      </c>
      <c r="G395" s="28"/>
      <c r="H395" s="28"/>
      <c r="I395" s="28"/>
      <c r="J395" s="28"/>
      <c r="K395" s="28"/>
      <c r="L395" s="28"/>
      <c r="M395" s="28"/>
      <c r="N395" s="21"/>
      <c r="O395" s="28"/>
      <c r="P395" s="37"/>
      <c r="Q395" s="21"/>
      <c r="R395" s="21"/>
      <c r="S395" s="47"/>
      <c r="T395" s="25">
        <f t="shared" si="15"/>
        <v>0</v>
      </c>
      <c r="U395" s="25" t="str">
        <f>IF('PART III-DEMOGRAPHICS'!Q405="","",'PART III-DEMOGRAPHICS'!Q405)</f>
        <v/>
      </c>
    </row>
    <row r="396" spans="1:21" ht="33.6" customHeight="1">
      <c r="A396" s="25" t="str">
        <f>IF('PART III-DEMOGRAPHICS'!A406="","",'PART III-DEMOGRAPHICS'!A406)</f>
        <v/>
      </c>
      <c r="B396" s="28"/>
      <c r="C396" s="27"/>
      <c r="D396" s="28"/>
      <c r="E396" s="21"/>
      <c r="F396" s="36" t="str">
        <f t="shared" si="14"/>
        <v>Did Not</v>
      </c>
      <c r="G396" s="28"/>
      <c r="H396" s="28"/>
      <c r="I396" s="28"/>
      <c r="J396" s="28"/>
      <c r="K396" s="28"/>
      <c r="L396" s="28"/>
      <c r="M396" s="28"/>
      <c r="N396" s="21"/>
      <c r="O396" s="28"/>
      <c r="P396" s="37"/>
      <c r="Q396" s="21"/>
      <c r="R396" s="21"/>
      <c r="S396" s="47"/>
      <c r="T396" s="25">
        <f t="shared" si="15"/>
        <v>0</v>
      </c>
      <c r="U396" s="25" t="str">
        <f>IF('PART III-DEMOGRAPHICS'!Q406="","",'PART III-DEMOGRAPHICS'!Q406)</f>
        <v/>
      </c>
    </row>
    <row r="397" spans="1:21" ht="33.6" customHeight="1">
      <c r="A397" s="25" t="str">
        <f>IF('PART III-DEMOGRAPHICS'!A407="","",'PART III-DEMOGRAPHICS'!A407)</f>
        <v/>
      </c>
      <c r="B397" s="28"/>
      <c r="C397" s="27"/>
      <c r="D397" s="28"/>
      <c r="E397" s="21"/>
      <c r="F397" s="36" t="str">
        <f t="shared" si="14"/>
        <v>Did Not</v>
      </c>
      <c r="G397" s="28"/>
      <c r="H397" s="28"/>
      <c r="I397" s="28"/>
      <c r="J397" s="28"/>
      <c r="K397" s="28"/>
      <c r="L397" s="28"/>
      <c r="M397" s="28"/>
      <c r="N397" s="21"/>
      <c r="O397" s="28"/>
      <c r="P397" s="37"/>
      <c r="Q397" s="21"/>
      <c r="R397" s="21"/>
      <c r="S397" s="47"/>
      <c r="T397" s="25">
        <f t="shared" si="15"/>
        <v>0</v>
      </c>
      <c r="U397" s="25" t="str">
        <f>IF('PART III-DEMOGRAPHICS'!Q407="","",'PART III-DEMOGRAPHICS'!Q407)</f>
        <v/>
      </c>
    </row>
    <row r="398" spans="1:21" ht="33.6" customHeight="1">
      <c r="A398" s="25" t="str">
        <f>IF('PART III-DEMOGRAPHICS'!A408="","",'PART III-DEMOGRAPHICS'!A408)</f>
        <v/>
      </c>
      <c r="B398" s="28"/>
      <c r="C398" s="27"/>
      <c r="D398" s="28"/>
      <c r="E398" s="21"/>
      <c r="F398" s="36" t="str">
        <f t="shared" ref="F398:F461" si="16">IF(OR(G398="Yes",H398="Yes",I398="Yes",J398="Yes",K398="Yes",L398="Yes",M398="Yes"),"Did","Did Not")</f>
        <v>Did Not</v>
      </c>
      <c r="G398" s="28"/>
      <c r="H398" s="28"/>
      <c r="I398" s="28"/>
      <c r="J398" s="28"/>
      <c r="K398" s="28"/>
      <c r="L398" s="28"/>
      <c r="M398" s="28"/>
      <c r="N398" s="21"/>
      <c r="O398" s="28"/>
      <c r="P398" s="37"/>
      <c r="Q398" s="21"/>
      <c r="R398" s="21"/>
      <c r="S398" s="47"/>
      <c r="T398" s="25">
        <f t="shared" si="15"/>
        <v>0</v>
      </c>
      <c r="U398" s="25" t="str">
        <f>IF('PART III-DEMOGRAPHICS'!Q408="","",'PART III-DEMOGRAPHICS'!Q408)</f>
        <v/>
      </c>
    </row>
    <row r="399" spans="1:21" ht="33.6" customHeight="1">
      <c r="A399" s="25" t="str">
        <f>IF('PART III-DEMOGRAPHICS'!A409="","",'PART III-DEMOGRAPHICS'!A409)</f>
        <v/>
      </c>
      <c r="B399" s="28"/>
      <c r="C399" s="27"/>
      <c r="D399" s="28"/>
      <c r="E399" s="21"/>
      <c r="F399" s="36" t="str">
        <f t="shared" si="16"/>
        <v>Did Not</v>
      </c>
      <c r="G399" s="28"/>
      <c r="H399" s="28"/>
      <c r="I399" s="28"/>
      <c r="J399" s="28"/>
      <c r="K399" s="28"/>
      <c r="L399" s="28"/>
      <c r="M399" s="28"/>
      <c r="N399" s="21"/>
      <c r="O399" s="28"/>
      <c r="P399" s="37"/>
      <c r="Q399" s="21"/>
      <c r="R399" s="21"/>
      <c r="S399" s="47"/>
      <c r="T399" s="25">
        <f t="shared" si="15"/>
        <v>0</v>
      </c>
      <c r="U399" s="25" t="str">
        <f>IF('PART III-DEMOGRAPHICS'!Q409="","",'PART III-DEMOGRAPHICS'!Q409)</f>
        <v/>
      </c>
    </row>
    <row r="400" spans="1:21" ht="33.6" customHeight="1">
      <c r="A400" s="25" t="str">
        <f>IF('PART III-DEMOGRAPHICS'!A410="","",'PART III-DEMOGRAPHICS'!A410)</f>
        <v/>
      </c>
      <c r="B400" s="28"/>
      <c r="C400" s="27"/>
      <c r="D400" s="28"/>
      <c r="E400" s="21"/>
      <c r="F400" s="36" t="str">
        <f t="shared" si="16"/>
        <v>Did Not</v>
      </c>
      <c r="G400" s="28"/>
      <c r="H400" s="28"/>
      <c r="I400" s="28"/>
      <c r="J400" s="28"/>
      <c r="K400" s="28"/>
      <c r="L400" s="28"/>
      <c r="M400" s="28"/>
      <c r="N400" s="21"/>
      <c r="O400" s="28"/>
      <c r="P400" s="37"/>
      <c r="Q400" s="21"/>
      <c r="R400" s="21"/>
      <c r="S400" s="47"/>
      <c r="T400" s="25">
        <f t="shared" si="15"/>
        <v>0</v>
      </c>
      <c r="U400" s="25" t="str">
        <f>IF('PART III-DEMOGRAPHICS'!Q410="","",'PART III-DEMOGRAPHICS'!Q410)</f>
        <v/>
      </c>
    </row>
    <row r="401" spans="1:21" ht="33.6" customHeight="1">
      <c r="A401" s="25" t="str">
        <f>IF('PART III-DEMOGRAPHICS'!A411="","",'PART III-DEMOGRAPHICS'!A411)</f>
        <v/>
      </c>
      <c r="B401" s="28"/>
      <c r="C401" s="27"/>
      <c r="D401" s="28"/>
      <c r="E401" s="21"/>
      <c r="F401" s="36" t="str">
        <f t="shared" si="16"/>
        <v>Did Not</v>
      </c>
      <c r="G401" s="28"/>
      <c r="H401" s="28"/>
      <c r="I401" s="28"/>
      <c r="J401" s="28"/>
      <c r="K401" s="28"/>
      <c r="L401" s="28"/>
      <c r="M401" s="28"/>
      <c r="N401" s="21"/>
      <c r="O401" s="28"/>
      <c r="P401" s="37"/>
      <c r="Q401" s="21"/>
      <c r="R401" s="21"/>
      <c r="S401" s="47"/>
      <c r="T401" s="25">
        <f t="shared" si="15"/>
        <v>0</v>
      </c>
      <c r="U401" s="25" t="str">
        <f>IF('PART III-DEMOGRAPHICS'!Q411="","",'PART III-DEMOGRAPHICS'!Q411)</f>
        <v/>
      </c>
    </row>
    <row r="402" spans="1:21" ht="33.6" customHeight="1">
      <c r="A402" s="25" t="str">
        <f>IF('PART III-DEMOGRAPHICS'!A412="","",'PART III-DEMOGRAPHICS'!A412)</f>
        <v/>
      </c>
      <c r="B402" s="28"/>
      <c r="C402" s="27"/>
      <c r="D402" s="28"/>
      <c r="E402" s="21"/>
      <c r="F402" s="36" t="str">
        <f t="shared" si="16"/>
        <v>Did Not</v>
      </c>
      <c r="G402" s="28"/>
      <c r="H402" s="28"/>
      <c r="I402" s="28"/>
      <c r="J402" s="28"/>
      <c r="K402" s="28"/>
      <c r="L402" s="28"/>
      <c r="M402" s="28"/>
      <c r="N402" s="21"/>
      <c r="O402" s="28"/>
      <c r="P402" s="37"/>
      <c r="Q402" s="21"/>
      <c r="R402" s="21"/>
      <c r="S402" s="47"/>
      <c r="T402" s="25">
        <f t="shared" si="15"/>
        <v>0</v>
      </c>
      <c r="U402" s="25" t="str">
        <f>IF('PART III-DEMOGRAPHICS'!Q412="","",'PART III-DEMOGRAPHICS'!Q412)</f>
        <v/>
      </c>
    </row>
    <row r="403" spans="1:21" ht="33.6" customHeight="1">
      <c r="A403" s="25" t="str">
        <f>IF('PART III-DEMOGRAPHICS'!A413="","",'PART III-DEMOGRAPHICS'!A413)</f>
        <v/>
      </c>
      <c r="B403" s="28"/>
      <c r="C403" s="27"/>
      <c r="D403" s="28"/>
      <c r="E403" s="21"/>
      <c r="F403" s="36" t="str">
        <f t="shared" si="16"/>
        <v>Did Not</v>
      </c>
      <c r="G403" s="28"/>
      <c r="H403" s="28"/>
      <c r="I403" s="28"/>
      <c r="J403" s="28"/>
      <c r="K403" s="28"/>
      <c r="L403" s="28"/>
      <c r="M403" s="28"/>
      <c r="N403" s="21"/>
      <c r="O403" s="28"/>
      <c r="P403" s="37"/>
      <c r="Q403" s="21"/>
      <c r="R403" s="21"/>
      <c r="S403" s="47"/>
      <c r="T403" s="25">
        <f t="shared" si="15"/>
        <v>0</v>
      </c>
      <c r="U403" s="25" t="str">
        <f>IF('PART III-DEMOGRAPHICS'!Q413="","",'PART III-DEMOGRAPHICS'!Q413)</f>
        <v/>
      </c>
    </row>
    <row r="404" spans="1:21" ht="33.6" customHeight="1">
      <c r="A404" s="25" t="str">
        <f>IF('PART III-DEMOGRAPHICS'!A414="","",'PART III-DEMOGRAPHICS'!A414)</f>
        <v/>
      </c>
      <c r="B404" s="28"/>
      <c r="C404" s="27"/>
      <c r="D404" s="28"/>
      <c r="E404" s="21"/>
      <c r="F404" s="36" t="str">
        <f t="shared" si="16"/>
        <v>Did Not</v>
      </c>
      <c r="G404" s="28"/>
      <c r="H404" s="28"/>
      <c r="I404" s="28"/>
      <c r="J404" s="28"/>
      <c r="K404" s="28"/>
      <c r="L404" s="28"/>
      <c r="M404" s="28"/>
      <c r="N404" s="21"/>
      <c r="O404" s="28"/>
      <c r="P404" s="37"/>
      <c r="Q404" s="21"/>
      <c r="R404" s="21"/>
      <c r="S404" s="47"/>
      <c r="T404" s="25">
        <f t="shared" si="15"/>
        <v>0</v>
      </c>
      <c r="U404" s="25" t="str">
        <f>IF('PART III-DEMOGRAPHICS'!Q414="","",'PART III-DEMOGRAPHICS'!Q414)</f>
        <v/>
      </c>
    </row>
    <row r="405" spans="1:21" ht="33.6" customHeight="1">
      <c r="A405" s="25" t="str">
        <f>IF('PART III-DEMOGRAPHICS'!A415="","",'PART III-DEMOGRAPHICS'!A415)</f>
        <v/>
      </c>
      <c r="B405" s="28"/>
      <c r="C405" s="27"/>
      <c r="D405" s="28"/>
      <c r="E405" s="21"/>
      <c r="F405" s="36" t="str">
        <f t="shared" si="16"/>
        <v>Did Not</v>
      </c>
      <c r="G405" s="28"/>
      <c r="H405" s="28"/>
      <c r="I405" s="28"/>
      <c r="J405" s="28"/>
      <c r="K405" s="28"/>
      <c r="L405" s="28"/>
      <c r="M405" s="28"/>
      <c r="N405" s="21"/>
      <c r="O405" s="28"/>
      <c r="P405" s="37"/>
      <c r="Q405" s="21"/>
      <c r="R405" s="21"/>
      <c r="S405" s="47"/>
      <c r="T405" s="25">
        <f t="shared" si="15"/>
        <v>0</v>
      </c>
      <c r="U405" s="25" t="str">
        <f>IF('PART III-DEMOGRAPHICS'!Q415="","",'PART III-DEMOGRAPHICS'!Q415)</f>
        <v/>
      </c>
    </row>
    <row r="406" spans="1:21" ht="33.6" customHeight="1">
      <c r="A406" s="25" t="str">
        <f>IF('PART III-DEMOGRAPHICS'!A416="","",'PART III-DEMOGRAPHICS'!A416)</f>
        <v/>
      </c>
      <c r="B406" s="28"/>
      <c r="C406" s="27"/>
      <c r="D406" s="28"/>
      <c r="E406" s="21"/>
      <c r="F406" s="36" t="str">
        <f t="shared" si="16"/>
        <v>Did Not</v>
      </c>
      <c r="G406" s="28"/>
      <c r="H406" s="28"/>
      <c r="I406" s="28"/>
      <c r="J406" s="28"/>
      <c r="K406" s="28"/>
      <c r="L406" s="28"/>
      <c r="M406" s="28"/>
      <c r="N406" s="21"/>
      <c r="O406" s="28"/>
      <c r="P406" s="37"/>
      <c r="Q406" s="21"/>
      <c r="R406" s="21"/>
      <c r="S406" s="47"/>
      <c r="T406" s="25">
        <f t="shared" si="15"/>
        <v>0</v>
      </c>
      <c r="U406" s="25" t="str">
        <f>IF('PART III-DEMOGRAPHICS'!Q416="","",'PART III-DEMOGRAPHICS'!Q416)</f>
        <v/>
      </c>
    </row>
    <row r="407" spans="1:21" ht="33.6" customHeight="1">
      <c r="A407" s="25" t="str">
        <f>IF('PART III-DEMOGRAPHICS'!A417="","",'PART III-DEMOGRAPHICS'!A417)</f>
        <v/>
      </c>
      <c r="B407" s="28"/>
      <c r="C407" s="27"/>
      <c r="D407" s="28"/>
      <c r="E407" s="21"/>
      <c r="F407" s="36" t="str">
        <f t="shared" si="16"/>
        <v>Did Not</v>
      </c>
      <c r="G407" s="28"/>
      <c r="H407" s="28"/>
      <c r="I407" s="28"/>
      <c r="J407" s="28"/>
      <c r="K407" s="28"/>
      <c r="L407" s="28"/>
      <c r="M407" s="28"/>
      <c r="N407" s="21"/>
      <c r="O407" s="28"/>
      <c r="P407" s="37"/>
      <c r="Q407" s="21"/>
      <c r="R407" s="21"/>
      <c r="S407" s="47"/>
      <c r="T407" s="25">
        <f t="shared" si="15"/>
        <v>0</v>
      </c>
      <c r="U407" s="25" t="str">
        <f>IF('PART III-DEMOGRAPHICS'!Q417="","",'PART III-DEMOGRAPHICS'!Q417)</f>
        <v/>
      </c>
    </row>
    <row r="408" spans="1:21" ht="33.6" customHeight="1">
      <c r="A408" s="25" t="str">
        <f>IF('PART III-DEMOGRAPHICS'!A418="","",'PART III-DEMOGRAPHICS'!A418)</f>
        <v/>
      </c>
      <c r="B408" s="28"/>
      <c r="C408" s="27"/>
      <c r="D408" s="28"/>
      <c r="E408" s="21"/>
      <c r="F408" s="36" t="str">
        <f t="shared" si="16"/>
        <v>Did Not</v>
      </c>
      <c r="G408" s="28"/>
      <c r="H408" s="28"/>
      <c r="I408" s="28"/>
      <c r="J408" s="28"/>
      <c r="K408" s="28"/>
      <c r="L408" s="28"/>
      <c r="M408" s="28"/>
      <c r="N408" s="21"/>
      <c r="O408" s="28"/>
      <c r="P408" s="37"/>
      <c r="Q408" s="21"/>
      <c r="R408" s="21"/>
      <c r="S408" s="47"/>
      <c r="T408" s="25">
        <f t="shared" si="15"/>
        <v>0</v>
      </c>
      <c r="U408" s="25" t="str">
        <f>IF('PART III-DEMOGRAPHICS'!Q418="","",'PART III-DEMOGRAPHICS'!Q418)</f>
        <v/>
      </c>
    </row>
    <row r="409" spans="1:21" ht="33.6" customHeight="1">
      <c r="A409" s="25" t="str">
        <f>IF('PART III-DEMOGRAPHICS'!A419="","",'PART III-DEMOGRAPHICS'!A419)</f>
        <v/>
      </c>
      <c r="B409" s="28"/>
      <c r="C409" s="27"/>
      <c r="D409" s="28"/>
      <c r="E409" s="21"/>
      <c r="F409" s="36" t="str">
        <f t="shared" si="16"/>
        <v>Did Not</v>
      </c>
      <c r="G409" s="28"/>
      <c r="H409" s="28"/>
      <c r="I409" s="28"/>
      <c r="J409" s="28"/>
      <c r="K409" s="28"/>
      <c r="L409" s="28"/>
      <c r="M409" s="28"/>
      <c r="N409" s="21"/>
      <c r="O409" s="28"/>
      <c r="P409" s="37"/>
      <c r="Q409" s="21"/>
      <c r="R409" s="21"/>
      <c r="S409" s="47"/>
      <c r="T409" s="25">
        <f t="shared" si="15"/>
        <v>0</v>
      </c>
      <c r="U409" s="25" t="str">
        <f>IF('PART III-DEMOGRAPHICS'!Q419="","",'PART III-DEMOGRAPHICS'!Q419)</f>
        <v/>
      </c>
    </row>
    <row r="410" spans="1:21" ht="33.6" customHeight="1">
      <c r="A410" s="25" t="str">
        <f>IF('PART III-DEMOGRAPHICS'!A420="","",'PART III-DEMOGRAPHICS'!A420)</f>
        <v/>
      </c>
      <c r="B410" s="28"/>
      <c r="C410" s="27"/>
      <c r="D410" s="28"/>
      <c r="E410" s="21"/>
      <c r="F410" s="36" t="str">
        <f t="shared" si="16"/>
        <v>Did Not</v>
      </c>
      <c r="G410" s="28"/>
      <c r="H410" s="28"/>
      <c r="I410" s="28"/>
      <c r="J410" s="28"/>
      <c r="K410" s="28"/>
      <c r="L410" s="28"/>
      <c r="M410" s="28"/>
      <c r="N410" s="21"/>
      <c r="O410" s="28"/>
      <c r="P410" s="37"/>
      <c r="Q410" s="21"/>
      <c r="R410" s="21"/>
      <c r="S410" s="47"/>
      <c r="T410" s="25">
        <f t="shared" si="15"/>
        <v>0</v>
      </c>
      <c r="U410" s="25" t="str">
        <f>IF('PART III-DEMOGRAPHICS'!Q420="","",'PART III-DEMOGRAPHICS'!Q420)</f>
        <v/>
      </c>
    </row>
    <row r="411" spans="1:21" ht="33.6" customHeight="1">
      <c r="A411" s="25" t="str">
        <f>IF('PART III-DEMOGRAPHICS'!A421="","",'PART III-DEMOGRAPHICS'!A421)</f>
        <v/>
      </c>
      <c r="B411" s="28"/>
      <c r="C411" s="27"/>
      <c r="D411" s="28"/>
      <c r="E411" s="21"/>
      <c r="F411" s="36" t="str">
        <f t="shared" si="16"/>
        <v>Did Not</v>
      </c>
      <c r="G411" s="28"/>
      <c r="H411" s="28"/>
      <c r="I411" s="28"/>
      <c r="J411" s="28"/>
      <c r="K411" s="28"/>
      <c r="L411" s="28"/>
      <c r="M411" s="28"/>
      <c r="N411" s="21"/>
      <c r="O411" s="28"/>
      <c r="P411" s="37"/>
      <c r="Q411" s="21"/>
      <c r="R411" s="21"/>
      <c r="S411" s="47"/>
      <c r="T411" s="25">
        <f t="shared" si="15"/>
        <v>0</v>
      </c>
      <c r="U411" s="25" t="str">
        <f>IF('PART III-DEMOGRAPHICS'!Q421="","",'PART III-DEMOGRAPHICS'!Q421)</f>
        <v/>
      </c>
    </row>
    <row r="412" spans="1:21" ht="33.6" customHeight="1">
      <c r="A412" s="25" t="str">
        <f>IF('PART III-DEMOGRAPHICS'!A422="","",'PART III-DEMOGRAPHICS'!A422)</f>
        <v/>
      </c>
      <c r="B412" s="28"/>
      <c r="C412" s="27"/>
      <c r="D412" s="28"/>
      <c r="E412" s="21"/>
      <c r="F412" s="36" t="str">
        <f t="shared" si="16"/>
        <v>Did Not</v>
      </c>
      <c r="G412" s="28"/>
      <c r="H412" s="28"/>
      <c r="I412" s="28"/>
      <c r="J412" s="28"/>
      <c r="K412" s="28"/>
      <c r="L412" s="28"/>
      <c r="M412" s="28"/>
      <c r="N412" s="21"/>
      <c r="O412" s="28"/>
      <c r="P412" s="37"/>
      <c r="Q412" s="21"/>
      <c r="R412" s="21"/>
      <c r="S412" s="47"/>
      <c r="T412" s="25">
        <f t="shared" si="15"/>
        <v>0</v>
      </c>
      <c r="U412" s="25" t="str">
        <f>IF('PART III-DEMOGRAPHICS'!Q422="","",'PART III-DEMOGRAPHICS'!Q422)</f>
        <v/>
      </c>
    </row>
    <row r="413" spans="1:21" ht="33.6" customHeight="1">
      <c r="A413" s="25" t="str">
        <f>IF('PART III-DEMOGRAPHICS'!A423="","",'PART III-DEMOGRAPHICS'!A423)</f>
        <v/>
      </c>
      <c r="B413" s="28"/>
      <c r="C413" s="27"/>
      <c r="D413" s="28"/>
      <c r="E413" s="21"/>
      <c r="F413" s="36" t="str">
        <f t="shared" si="16"/>
        <v>Did Not</v>
      </c>
      <c r="G413" s="28"/>
      <c r="H413" s="28"/>
      <c r="I413" s="28"/>
      <c r="J413" s="28"/>
      <c r="K413" s="28"/>
      <c r="L413" s="28"/>
      <c r="M413" s="28"/>
      <c r="N413" s="21"/>
      <c r="O413" s="28"/>
      <c r="P413" s="37"/>
      <c r="Q413" s="21"/>
      <c r="R413" s="21"/>
      <c r="S413" s="47"/>
      <c r="T413" s="25">
        <f t="shared" si="15"/>
        <v>0</v>
      </c>
      <c r="U413" s="25" t="str">
        <f>IF('PART III-DEMOGRAPHICS'!Q423="","",'PART III-DEMOGRAPHICS'!Q423)</f>
        <v/>
      </c>
    </row>
    <row r="414" spans="1:21" ht="33.6" customHeight="1">
      <c r="A414" s="25" t="str">
        <f>IF('PART III-DEMOGRAPHICS'!A424="","",'PART III-DEMOGRAPHICS'!A424)</f>
        <v/>
      </c>
      <c r="B414" s="28"/>
      <c r="C414" s="27"/>
      <c r="D414" s="28"/>
      <c r="E414" s="21"/>
      <c r="F414" s="36" t="str">
        <f t="shared" si="16"/>
        <v>Did Not</v>
      </c>
      <c r="G414" s="28"/>
      <c r="H414" s="28"/>
      <c r="I414" s="28"/>
      <c r="J414" s="28"/>
      <c r="K414" s="28"/>
      <c r="L414" s="28"/>
      <c r="M414" s="28"/>
      <c r="N414" s="21"/>
      <c r="O414" s="28"/>
      <c r="P414" s="37"/>
      <c r="Q414" s="21"/>
      <c r="R414" s="21"/>
      <c r="S414" s="47"/>
      <c r="T414" s="25">
        <f t="shared" si="15"/>
        <v>0</v>
      </c>
      <c r="U414" s="25" t="str">
        <f>IF('PART III-DEMOGRAPHICS'!Q424="","",'PART III-DEMOGRAPHICS'!Q424)</f>
        <v/>
      </c>
    </row>
    <row r="415" spans="1:21" ht="33.6" customHeight="1">
      <c r="A415" s="25" t="str">
        <f>IF('PART III-DEMOGRAPHICS'!A425="","",'PART III-DEMOGRAPHICS'!A425)</f>
        <v/>
      </c>
      <c r="B415" s="28"/>
      <c r="C415" s="27"/>
      <c r="D415" s="28"/>
      <c r="E415" s="21"/>
      <c r="F415" s="36" t="str">
        <f t="shared" si="16"/>
        <v>Did Not</v>
      </c>
      <c r="G415" s="28"/>
      <c r="H415" s="28"/>
      <c r="I415" s="28"/>
      <c r="J415" s="28"/>
      <c r="K415" s="28"/>
      <c r="L415" s="28"/>
      <c r="M415" s="28"/>
      <c r="N415" s="21"/>
      <c r="O415" s="28"/>
      <c r="P415" s="37"/>
      <c r="Q415" s="21"/>
      <c r="R415" s="21"/>
      <c r="S415" s="47"/>
      <c r="T415" s="25">
        <f t="shared" si="15"/>
        <v>0</v>
      </c>
      <c r="U415" s="25" t="str">
        <f>IF('PART III-DEMOGRAPHICS'!Q425="","",'PART III-DEMOGRAPHICS'!Q425)</f>
        <v/>
      </c>
    </row>
    <row r="416" spans="1:21" ht="33.6" customHeight="1">
      <c r="A416" s="25" t="str">
        <f>IF('PART III-DEMOGRAPHICS'!A426="","",'PART III-DEMOGRAPHICS'!A426)</f>
        <v/>
      </c>
      <c r="B416" s="28"/>
      <c r="C416" s="27"/>
      <c r="D416" s="28"/>
      <c r="E416" s="21"/>
      <c r="F416" s="36" t="str">
        <f t="shared" si="16"/>
        <v>Did Not</v>
      </c>
      <c r="G416" s="28"/>
      <c r="H416" s="28"/>
      <c r="I416" s="28"/>
      <c r="J416" s="28"/>
      <c r="K416" s="28"/>
      <c r="L416" s="28"/>
      <c r="M416" s="28"/>
      <c r="N416" s="21"/>
      <c r="O416" s="28"/>
      <c r="P416" s="37"/>
      <c r="Q416" s="21"/>
      <c r="R416" s="21"/>
      <c r="S416" s="47"/>
      <c r="T416" s="25">
        <f t="shared" si="15"/>
        <v>0</v>
      </c>
      <c r="U416" s="25" t="str">
        <f>IF('PART III-DEMOGRAPHICS'!Q426="","",'PART III-DEMOGRAPHICS'!Q426)</f>
        <v/>
      </c>
    </row>
    <row r="417" spans="1:21" ht="33.6" customHeight="1">
      <c r="A417" s="25" t="str">
        <f>IF('PART III-DEMOGRAPHICS'!A427="","",'PART III-DEMOGRAPHICS'!A427)</f>
        <v/>
      </c>
      <c r="B417" s="28"/>
      <c r="C417" s="27"/>
      <c r="D417" s="28"/>
      <c r="E417" s="21"/>
      <c r="F417" s="36" t="str">
        <f t="shared" si="16"/>
        <v>Did Not</v>
      </c>
      <c r="G417" s="28"/>
      <c r="H417" s="28"/>
      <c r="I417" s="28"/>
      <c r="J417" s="28"/>
      <c r="K417" s="28"/>
      <c r="L417" s="28"/>
      <c r="M417" s="28"/>
      <c r="N417" s="21"/>
      <c r="O417" s="28"/>
      <c r="P417" s="37"/>
      <c r="Q417" s="21"/>
      <c r="R417" s="21"/>
      <c r="S417" s="47"/>
      <c r="T417" s="25">
        <f t="shared" si="15"/>
        <v>0</v>
      </c>
      <c r="U417" s="25" t="str">
        <f>IF('PART III-DEMOGRAPHICS'!Q427="","",'PART III-DEMOGRAPHICS'!Q427)</f>
        <v/>
      </c>
    </row>
    <row r="418" spans="1:21" ht="33.6" customHeight="1">
      <c r="A418" s="25" t="str">
        <f>IF('PART III-DEMOGRAPHICS'!A428="","",'PART III-DEMOGRAPHICS'!A428)</f>
        <v/>
      </c>
      <c r="B418" s="28"/>
      <c r="C418" s="27"/>
      <c r="D418" s="28"/>
      <c r="E418" s="21"/>
      <c r="F418" s="36" t="str">
        <f t="shared" si="16"/>
        <v>Did Not</v>
      </c>
      <c r="G418" s="28"/>
      <c r="H418" s="28"/>
      <c r="I418" s="28"/>
      <c r="J418" s="28"/>
      <c r="K418" s="28"/>
      <c r="L418" s="28"/>
      <c r="M418" s="28"/>
      <c r="N418" s="21"/>
      <c r="O418" s="28"/>
      <c r="P418" s="37"/>
      <c r="Q418" s="21"/>
      <c r="R418" s="21"/>
      <c r="S418" s="47"/>
      <c r="T418" s="25">
        <f t="shared" si="15"/>
        <v>0</v>
      </c>
      <c r="U418" s="25" t="str">
        <f>IF('PART III-DEMOGRAPHICS'!Q428="","",'PART III-DEMOGRAPHICS'!Q428)</f>
        <v/>
      </c>
    </row>
    <row r="419" spans="1:21" ht="33.6" customHeight="1">
      <c r="A419" s="25" t="str">
        <f>IF('PART III-DEMOGRAPHICS'!A429="","",'PART III-DEMOGRAPHICS'!A429)</f>
        <v/>
      </c>
      <c r="B419" s="28"/>
      <c r="C419" s="27"/>
      <c r="D419" s="28"/>
      <c r="E419" s="21"/>
      <c r="F419" s="36" t="str">
        <f t="shared" si="16"/>
        <v>Did Not</v>
      </c>
      <c r="G419" s="28"/>
      <c r="H419" s="28"/>
      <c r="I419" s="28"/>
      <c r="J419" s="28"/>
      <c r="K419" s="28"/>
      <c r="L419" s="28"/>
      <c r="M419" s="28"/>
      <c r="N419" s="21"/>
      <c r="O419" s="28"/>
      <c r="P419" s="37"/>
      <c r="Q419" s="21"/>
      <c r="R419" s="21"/>
      <c r="S419" s="47"/>
      <c r="T419" s="25">
        <f t="shared" si="15"/>
        <v>0</v>
      </c>
      <c r="U419" s="25" t="str">
        <f>IF('PART III-DEMOGRAPHICS'!Q429="","",'PART III-DEMOGRAPHICS'!Q429)</f>
        <v/>
      </c>
    </row>
    <row r="420" spans="1:21" ht="33.6" customHeight="1">
      <c r="A420" s="25" t="str">
        <f>IF('PART III-DEMOGRAPHICS'!A430="","",'PART III-DEMOGRAPHICS'!A430)</f>
        <v/>
      </c>
      <c r="B420" s="28"/>
      <c r="C420" s="27"/>
      <c r="D420" s="28"/>
      <c r="E420" s="21"/>
      <c r="F420" s="36" t="str">
        <f t="shared" si="16"/>
        <v>Did Not</v>
      </c>
      <c r="G420" s="28"/>
      <c r="H420" s="28"/>
      <c r="I420" s="28"/>
      <c r="J420" s="28"/>
      <c r="K420" s="28"/>
      <c r="L420" s="28"/>
      <c r="M420" s="28"/>
      <c r="N420" s="21"/>
      <c r="O420" s="28"/>
      <c r="P420" s="37"/>
      <c r="Q420" s="21"/>
      <c r="R420" s="21"/>
      <c r="S420" s="47"/>
      <c r="T420" s="25">
        <f t="shared" si="15"/>
        <v>0</v>
      </c>
      <c r="U420" s="25" t="str">
        <f>IF('PART III-DEMOGRAPHICS'!Q430="","",'PART III-DEMOGRAPHICS'!Q430)</f>
        <v/>
      </c>
    </row>
    <row r="421" spans="1:21" ht="33.6" customHeight="1">
      <c r="A421" s="25" t="str">
        <f>IF('PART III-DEMOGRAPHICS'!A431="","",'PART III-DEMOGRAPHICS'!A431)</f>
        <v/>
      </c>
      <c r="B421" s="28"/>
      <c r="C421" s="27"/>
      <c r="D421" s="28"/>
      <c r="E421" s="21"/>
      <c r="F421" s="36" t="str">
        <f t="shared" si="16"/>
        <v>Did Not</v>
      </c>
      <c r="G421" s="28"/>
      <c r="H421" s="28"/>
      <c r="I421" s="28"/>
      <c r="J421" s="28"/>
      <c r="K421" s="28"/>
      <c r="L421" s="28"/>
      <c r="M421" s="28"/>
      <c r="N421" s="21"/>
      <c r="O421" s="28"/>
      <c r="P421" s="37"/>
      <c r="Q421" s="21"/>
      <c r="R421" s="21"/>
      <c r="S421" s="47"/>
      <c r="T421" s="25">
        <f t="shared" si="15"/>
        <v>0</v>
      </c>
      <c r="U421" s="25" t="str">
        <f>IF('PART III-DEMOGRAPHICS'!Q431="","",'PART III-DEMOGRAPHICS'!Q431)</f>
        <v/>
      </c>
    </row>
    <row r="422" spans="1:21" ht="33.6" customHeight="1">
      <c r="A422" s="25" t="str">
        <f>IF('PART III-DEMOGRAPHICS'!A432="","",'PART III-DEMOGRAPHICS'!A432)</f>
        <v/>
      </c>
      <c r="B422" s="28"/>
      <c r="C422" s="27"/>
      <c r="D422" s="28"/>
      <c r="E422" s="21"/>
      <c r="F422" s="36" t="str">
        <f t="shared" si="16"/>
        <v>Did Not</v>
      </c>
      <c r="G422" s="28"/>
      <c r="H422" s="28"/>
      <c r="I422" s="28"/>
      <c r="J422" s="28"/>
      <c r="K422" s="28"/>
      <c r="L422" s="28"/>
      <c r="M422" s="28"/>
      <c r="N422" s="21"/>
      <c r="O422" s="28"/>
      <c r="P422" s="37"/>
      <c r="Q422" s="21"/>
      <c r="R422" s="21"/>
      <c r="S422" s="47"/>
      <c r="T422" s="25">
        <f t="shared" si="15"/>
        <v>0</v>
      </c>
      <c r="U422" s="25" t="str">
        <f>IF('PART III-DEMOGRAPHICS'!Q432="","",'PART III-DEMOGRAPHICS'!Q432)</f>
        <v/>
      </c>
    </row>
    <row r="423" spans="1:21" ht="33.6" customHeight="1">
      <c r="A423" s="25" t="str">
        <f>IF('PART III-DEMOGRAPHICS'!A433="","",'PART III-DEMOGRAPHICS'!A433)</f>
        <v/>
      </c>
      <c r="B423" s="28"/>
      <c r="C423" s="27"/>
      <c r="D423" s="28"/>
      <c r="E423" s="21"/>
      <c r="F423" s="36" t="str">
        <f t="shared" si="16"/>
        <v>Did Not</v>
      </c>
      <c r="G423" s="28"/>
      <c r="H423" s="28"/>
      <c r="I423" s="28"/>
      <c r="J423" s="28"/>
      <c r="K423" s="28"/>
      <c r="L423" s="28"/>
      <c r="M423" s="28"/>
      <c r="N423" s="21"/>
      <c r="O423" s="28"/>
      <c r="P423" s="37"/>
      <c r="Q423" s="21"/>
      <c r="R423" s="21"/>
      <c r="S423" s="47"/>
      <c r="T423" s="25">
        <f t="shared" si="15"/>
        <v>0</v>
      </c>
      <c r="U423" s="25" t="str">
        <f>IF('PART III-DEMOGRAPHICS'!Q433="","",'PART III-DEMOGRAPHICS'!Q433)</f>
        <v/>
      </c>
    </row>
    <row r="424" spans="1:21" ht="33.6" customHeight="1">
      <c r="A424" s="25" t="str">
        <f>IF('PART III-DEMOGRAPHICS'!A434="","",'PART III-DEMOGRAPHICS'!A434)</f>
        <v/>
      </c>
      <c r="B424" s="28"/>
      <c r="C424" s="27"/>
      <c r="D424" s="28"/>
      <c r="E424" s="21"/>
      <c r="F424" s="36" t="str">
        <f t="shared" si="16"/>
        <v>Did Not</v>
      </c>
      <c r="G424" s="28"/>
      <c r="H424" s="28"/>
      <c r="I424" s="28"/>
      <c r="J424" s="28"/>
      <c r="K424" s="28"/>
      <c r="L424" s="28"/>
      <c r="M424" s="28"/>
      <c r="N424" s="21"/>
      <c r="O424" s="28"/>
      <c r="P424" s="37"/>
      <c r="Q424" s="21"/>
      <c r="R424" s="21"/>
      <c r="S424" s="47"/>
      <c r="T424" s="25">
        <f t="shared" si="15"/>
        <v>0</v>
      </c>
      <c r="U424" s="25" t="str">
        <f>IF('PART III-DEMOGRAPHICS'!Q434="","",'PART III-DEMOGRAPHICS'!Q434)</f>
        <v/>
      </c>
    </row>
    <row r="425" spans="1:21" ht="33.6" customHeight="1">
      <c r="A425" s="25" t="str">
        <f>IF('PART III-DEMOGRAPHICS'!A435="","",'PART III-DEMOGRAPHICS'!A435)</f>
        <v/>
      </c>
      <c r="B425" s="28"/>
      <c r="C425" s="27"/>
      <c r="D425" s="28"/>
      <c r="E425" s="21"/>
      <c r="F425" s="36" t="str">
        <f t="shared" si="16"/>
        <v>Did Not</v>
      </c>
      <c r="G425" s="28"/>
      <c r="H425" s="28"/>
      <c r="I425" s="28"/>
      <c r="J425" s="28"/>
      <c r="K425" s="28"/>
      <c r="L425" s="28"/>
      <c r="M425" s="28"/>
      <c r="N425" s="21"/>
      <c r="O425" s="28"/>
      <c r="P425" s="37"/>
      <c r="Q425" s="21"/>
      <c r="R425" s="21"/>
      <c r="S425" s="47"/>
      <c r="T425" s="25">
        <f t="shared" si="15"/>
        <v>0</v>
      </c>
      <c r="U425" s="25" t="str">
        <f>IF('PART III-DEMOGRAPHICS'!Q435="","",'PART III-DEMOGRAPHICS'!Q435)</f>
        <v/>
      </c>
    </row>
    <row r="426" spans="1:21" ht="33.6" customHeight="1">
      <c r="A426" s="25" t="str">
        <f>IF('PART III-DEMOGRAPHICS'!A436="","",'PART III-DEMOGRAPHICS'!A436)</f>
        <v/>
      </c>
      <c r="B426" s="28"/>
      <c r="C426" s="27"/>
      <c r="D426" s="28"/>
      <c r="E426" s="21"/>
      <c r="F426" s="36" t="str">
        <f t="shared" si="16"/>
        <v>Did Not</v>
      </c>
      <c r="G426" s="28"/>
      <c r="H426" s="28"/>
      <c r="I426" s="28"/>
      <c r="J426" s="28"/>
      <c r="K426" s="28"/>
      <c r="L426" s="28"/>
      <c r="M426" s="28"/>
      <c r="N426" s="21"/>
      <c r="O426" s="28"/>
      <c r="P426" s="37"/>
      <c r="Q426" s="21"/>
      <c r="R426" s="21"/>
      <c r="S426" s="47"/>
      <c r="T426" s="25">
        <f t="shared" si="15"/>
        <v>0</v>
      </c>
      <c r="U426" s="25" t="str">
        <f>IF('PART III-DEMOGRAPHICS'!Q436="","",'PART III-DEMOGRAPHICS'!Q436)</f>
        <v/>
      </c>
    </row>
    <row r="427" spans="1:21" ht="33.6" customHeight="1">
      <c r="A427" s="25" t="str">
        <f>IF('PART III-DEMOGRAPHICS'!A437="","",'PART III-DEMOGRAPHICS'!A437)</f>
        <v/>
      </c>
      <c r="B427" s="28"/>
      <c r="C427" s="27"/>
      <c r="D427" s="28"/>
      <c r="E427" s="21"/>
      <c r="F427" s="36" t="str">
        <f t="shared" si="16"/>
        <v>Did Not</v>
      </c>
      <c r="G427" s="28"/>
      <c r="H427" s="28"/>
      <c r="I427" s="28"/>
      <c r="J427" s="28"/>
      <c r="K427" s="28"/>
      <c r="L427" s="28"/>
      <c r="M427" s="28"/>
      <c r="N427" s="21"/>
      <c r="O427" s="28"/>
      <c r="P427" s="37"/>
      <c r="Q427" s="21"/>
      <c r="R427" s="21"/>
      <c r="S427" s="47"/>
      <c r="T427" s="25">
        <f t="shared" si="15"/>
        <v>0</v>
      </c>
      <c r="U427" s="25" t="str">
        <f>IF('PART III-DEMOGRAPHICS'!Q437="","",'PART III-DEMOGRAPHICS'!Q437)</f>
        <v/>
      </c>
    </row>
    <row r="428" spans="1:21" ht="33.6" customHeight="1">
      <c r="A428" s="25" t="str">
        <f>IF('PART III-DEMOGRAPHICS'!A438="","",'PART III-DEMOGRAPHICS'!A438)</f>
        <v/>
      </c>
      <c r="B428" s="28"/>
      <c r="C428" s="27"/>
      <c r="D428" s="28"/>
      <c r="E428" s="21"/>
      <c r="F428" s="36" t="str">
        <f t="shared" si="16"/>
        <v>Did Not</v>
      </c>
      <c r="G428" s="28"/>
      <c r="H428" s="28"/>
      <c r="I428" s="28"/>
      <c r="J428" s="28"/>
      <c r="K428" s="28"/>
      <c r="L428" s="28"/>
      <c r="M428" s="28"/>
      <c r="N428" s="21"/>
      <c r="O428" s="28"/>
      <c r="P428" s="37"/>
      <c r="Q428" s="21"/>
      <c r="R428" s="21"/>
      <c r="S428" s="47"/>
      <c r="T428" s="25">
        <f t="shared" si="15"/>
        <v>0</v>
      </c>
      <c r="U428" s="25" t="str">
        <f>IF('PART III-DEMOGRAPHICS'!Q438="","",'PART III-DEMOGRAPHICS'!Q438)</f>
        <v/>
      </c>
    </row>
    <row r="429" spans="1:21" ht="33.6" customHeight="1">
      <c r="A429" s="25" t="str">
        <f>IF('PART III-DEMOGRAPHICS'!A439="","",'PART III-DEMOGRAPHICS'!A439)</f>
        <v/>
      </c>
      <c r="B429" s="28"/>
      <c r="C429" s="27"/>
      <c r="D429" s="28"/>
      <c r="E429" s="21"/>
      <c r="F429" s="36" t="str">
        <f t="shared" si="16"/>
        <v>Did Not</v>
      </c>
      <c r="G429" s="28"/>
      <c r="H429" s="28"/>
      <c r="I429" s="28"/>
      <c r="J429" s="28"/>
      <c r="K429" s="28"/>
      <c r="L429" s="28"/>
      <c r="M429" s="28"/>
      <c r="N429" s="21"/>
      <c r="O429" s="28"/>
      <c r="P429" s="37"/>
      <c r="Q429" s="21"/>
      <c r="R429" s="21"/>
      <c r="S429" s="47"/>
      <c r="T429" s="25">
        <f t="shared" si="15"/>
        <v>0</v>
      </c>
      <c r="U429" s="25" t="str">
        <f>IF('PART III-DEMOGRAPHICS'!Q439="","",'PART III-DEMOGRAPHICS'!Q439)</f>
        <v/>
      </c>
    </row>
    <row r="430" spans="1:21" ht="33.6" customHeight="1">
      <c r="A430" s="25" t="str">
        <f>IF('PART III-DEMOGRAPHICS'!A440="","",'PART III-DEMOGRAPHICS'!A440)</f>
        <v/>
      </c>
      <c r="B430" s="28"/>
      <c r="C430" s="27"/>
      <c r="D430" s="28"/>
      <c r="E430" s="21"/>
      <c r="F430" s="36" t="str">
        <f t="shared" si="16"/>
        <v>Did Not</v>
      </c>
      <c r="G430" s="28"/>
      <c r="H430" s="28"/>
      <c r="I430" s="28"/>
      <c r="J430" s="28"/>
      <c r="K430" s="28"/>
      <c r="L430" s="28"/>
      <c r="M430" s="28"/>
      <c r="N430" s="21"/>
      <c r="O430" s="28"/>
      <c r="P430" s="37"/>
      <c r="Q430" s="21"/>
      <c r="R430" s="21"/>
      <c r="S430" s="47"/>
      <c r="T430" s="25">
        <f t="shared" si="15"/>
        <v>0</v>
      </c>
      <c r="U430" s="25" t="str">
        <f>IF('PART III-DEMOGRAPHICS'!Q440="","",'PART III-DEMOGRAPHICS'!Q440)</f>
        <v/>
      </c>
    </row>
    <row r="431" spans="1:21" ht="33.6" customHeight="1">
      <c r="A431" s="25" t="str">
        <f>IF('PART III-DEMOGRAPHICS'!A441="","",'PART III-DEMOGRAPHICS'!A441)</f>
        <v/>
      </c>
      <c r="B431" s="28"/>
      <c r="C431" s="27"/>
      <c r="D431" s="28"/>
      <c r="E431" s="21"/>
      <c r="F431" s="36" t="str">
        <f t="shared" si="16"/>
        <v>Did Not</v>
      </c>
      <c r="G431" s="28"/>
      <c r="H431" s="28"/>
      <c r="I431" s="28"/>
      <c r="J431" s="28"/>
      <c r="K431" s="28"/>
      <c r="L431" s="28"/>
      <c r="M431" s="28"/>
      <c r="N431" s="21"/>
      <c r="O431" s="28"/>
      <c r="P431" s="37"/>
      <c r="Q431" s="21"/>
      <c r="R431" s="21"/>
      <c r="S431" s="47"/>
      <c r="T431" s="25">
        <f t="shared" si="15"/>
        <v>0</v>
      </c>
      <c r="U431" s="25" t="str">
        <f>IF('PART III-DEMOGRAPHICS'!Q441="","",'PART III-DEMOGRAPHICS'!Q441)</f>
        <v/>
      </c>
    </row>
    <row r="432" spans="1:21" ht="33.6" customHeight="1">
      <c r="A432" s="25" t="str">
        <f>IF('PART III-DEMOGRAPHICS'!A442="","",'PART III-DEMOGRAPHICS'!A442)</f>
        <v/>
      </c>
      <c r="B432" s="28"/>
      <c r="C432" s="27"/>
      <c r="D432" s="28"/>
      <c r="E432" s="21"/>
      <c r="F432" s="36" t="str">
        <f t="shared" si="16"/>
        <v>Did Not</v>
      </c>
      <c r="G432" s="28"/>
      <c r="H432" s="28"/>
      <c r="I432" s="28"/>
      <c r="J432" s="28"/>
      <c r="K432" s="28"/>
      <c r="L432" s="28"/>
      <c r="M432" s="28"/>
      <c r="N432" s="21"/>
      <c r="O432" s="28"/>
      <c r="P432" s="37"/>
      <c r="Q432" s="21"/>
      <c r="R432" s="21"/>
      <c r="S432" s="47"/>
      <c r="T432" s="25">
        <f t="shared" si="15"/>
        <v>0</v>
      </c>
      <c r="U432" s="25" t="str">
        <f>IF('PART III-DEMOGRAPHICS'!Q442="","",'PART III-DEMOGRAPHICS'!Q442)</f>
        <v/>
      </c>
    </row>
    <row r="433" spans="1:21" ht="33.6" customHeight="1">
      <c r="A433" s="25" t="str">
        <f>IF('PART III-DEMOGRAPHICS'!A443="","",'PART III-DEMOGRAPHICS'!A443)</f>
        <v/>
      </c>
      <c r="B433" s="28"/>
      <c r="C433" s="27"/>
      <c r="D433" s="28"/>
      <c r="E433" s="21"/>
      <c r="F433" s="36" t="str">
        <f t="shared" si="16"/>
        <v>Did Not</v>
      </c>
      <c r="G433" s="28"/>
      <c r="H433" s="28"/>
      <c r="I433" s="28"/>
      <c r="J433" s="28"/>
      <c r="K433" s="28"/>
      <c r="L433" s="28"/>
      <c r="M433" s="28"/>
      <c r="N433" s="21"/>
      <c r="O433" s="28"/>
      <c r="P433" s="37"/>
      <c r="Q433" s="21"/>
      <c r="R433" s="21"/>
      <c r="S433" s="47"/>
      <c r="T433" s="25">
        <f t="shared" si="15"/>
        <v>0</v>
      </c>
      <c r="U433" s="25" t="str">
        <f>IF('PART III-DEMOGRAPHICS'!Q443="","",'PART III-DEMOGRAPHICS'!Q443)</f>
        <v/>
      </c>
    </row>
    <row r="434" spans="1:21" ht="33.6" customHeight="1">
      <c r="A434" s="25" t="str">
        <f>IF('PART III-DEMOGRAPHICS'!A444="","",'PART III-DEMOGRAPHICS'!A444)</f>
        <v/>
      </c>
      <c r="B434" s="28"/>
      <c r="C434" s="27"/>
      <c r="D434" s="28"/>
      <c r="E434" s="21"/>
      <c r="F434" s="36" t="str">
        <f t="shared" si="16"/>
        <v>Did Not</v>
      </c>
      <c r="G434" s="28"/>
      <c r="H434" s="28"/>
      <c r="I434" s="28"/>
      <c r="J434" s="28"/>
      <c r="K434" s="28"/>
      <c r="L434" s="28"/>
      <c r="M434" s="28"/>
      <c r="N434" s="21"/>
      <c r="O434" s="28"/>
      <c r="P434" s="37"/>
      <c r="Q434" s="21"/>
      <c r="R434" s="21"/>
      <c r="S434" s="47"/>
      <c r="T434" s="25">
        <f t="shared" si="15"/>
        <v>0</v>
      </c>
      <c r="U434" s="25" t="str">
        <f>IF('PART III-DEMOGRAPHICS'!Q444="","",'PART III-DEMOGRAPHICS'!Q444)</f>
        <v/>
      </c>
    </row>
    <row r="435" spans="1:21" ht="33.6" customHeight="1">
      <c r="A435" s="25" t="str">
        <f>IF('PART III-DEMOGRAPHICS'!A445="","",'PART III-DEMOGRAPHICS'!A445)</f>
        <v/>
      </c>
      <c r="B435" s="28"/>
      <c r="C435" s="27"/>
      <c r="D435" s="28"/>
      <c r="E435" s="21"/>
      <c r="F435" s="36" t="str">
        <f t="shared" si="16"/>
        <v>Did Not</v>
      </c>
      <c r="G435" s="28"/>
      <c r="H435" s="28"/>
      <c r="I435" s="28"/>
      <c r="J435" s="28"/>
      <c r="K435" s="28"/>
      <c r="L435" s="28"/>
      <c r="M435" s="28"/>
      <c r="N435" s="21"/>
      <c r="O435" s="28"/>
      <c r="P435" s="37"/>
      <c r="Q435" s="21"/>
      <c r="R435" s="21"/>
      <c r="S435" s="47"/>
      <c r="T435" s="25">
        <f t="shared" si="15"/>
        <v>0</v>
      </c>
      <c r="U435" s="25" t="str">
        <f>IF('PART III-DEMOGRAPHICS'!Q445="","",'PART III-DEMOGRAPHICS'!Q445)</f>
        <v/>
      </c>
    </row>
    <row r="436" spans="1:21" ht="33.6" customHeight="1">
      <c r="A436" s="25" t="str">
        <f>IF('PART III-DEMOGRAPHICS'!A446="","",'PART III-DEMOGRAPHICS'!A446)</f>
        <v/>
      </c>
      <c r="B436" s="28"/>
      <c r="C436" s="27"/>
      <c r="D436" s="28"/>
      <c r="E436" s="21"/>
      <c r="F436" s="36" t="str">
        <f t="shared" si="16"/>
        <v>Did Not</v>
      </c>
      <c r="G436" s="28"/>
      <c r="H436" s="28"/>
      <c r="I436" s="28"/>
      <c r="J436" s="28"/>
      <c r="K436" s="28"/>
      <c r="L436" s="28"/>
      <c r="M436" s="28"/>
      <c r="N436" s="21"/>
      <c r="O436" s="28"/>
      <c r="P436" s="37"/>
      <c r="Q436" s="21"/>
      <c r="R436" s="21"/>
      <c r="S436" s="47"/>
      <c r="T436" s="25">
        <f t="shared" si="15"/>
        <v>0</v>
      </c>
      <c r="U436" s="25" t="str">
        <f>IF('PART III-DEMOGRAPHICS'!Q446="","",'PART III-DEMOGRAPHICS'!Q446)</f>
        <v/>
      </c>
    </row>
    <row r="437" spans="1:21" ht="33.6" customHeight="1">
      <c r="A437" s="25" t="str">
        <f>IF('PART III-DEMOGRAPHICS'!A447="","",'PART III-DEMOGRAPHICS'!A447)</f>
        <v/>
      </c>
      <c r="B437" s="28"/>
      <c r="C437" s="27"/>
      <c r="D437" s="28"/>
      <c r="E437" s="21"/>
      <c r="F437" s="36" t="str">
        <f t="shared" si="16"/>
        <v>Did Not</v>
      </c>
      <c r="G437" s="28"/>
      <c r="H437" s="28"/>
      <c r="I437" s="28"/>
      <c r="J437" s="28"/>
      <c r="K437" s="28"/>
      <c r="L437" s="28"/>
      <c r="M437" s="28"/>
      <c r="N437" s="21"/>
      <c r="O437" s="28"/>
      <c r="P437" s="37"/>
      <c r="Q437" s="21"/>
      <c r="R437" s="21"/>
      <c r="S437" s="47"/>
      <c r="T437" s="25">
        <f t="shared" si="15"/>
        <v>0</v>
      </c>
      <c r="U437" s="25" t="str">
        <f>IF('PART III-DEMOGRAPHICS'!Q447="","",'PART III-DEMOGRAPHICS'!Q447)</f>
        <v/>
      </c>
    </row>
    <row r="438" spans="1:21" ht="33.6" customHeight="1">
      <c r="A438" s="25" t="str">
        <f>IF('PART III-DEMOGRAPHICS'!A448="","",'PART III-DEMOGRAPHICS'!A448)</f>
        <v/>
      </c>
      <c r="B438" s="28"/>
      <c r="C438" s="27"/>
      <c r="D438" s="28"/>
      <c r="E438" s="21"/>
      <c r="F438" s="36" t="str">
        <f t="shared" si="16"/>
        <v>Did Not</v>
      </c>
      <c r="G438" s="28"/>
      <c r="H438" s="28"/>
      <c r="I438" s="28"/>
      <c r="J438" s="28"/>
      <c r="K438" s="28"/>
      <c r="L438" s="28"/>
      <c r="M438" s="28"/>
      <c r="N438" s="21"/>
      <c r="O438" s="28"/>
      <c r="P438" s="37"/>
      <c r="Q438" s="21"/>
      <c r="R438" s="21"/>
      <c r="S438" s="47"/>
      <c r="T438" s="25">
        <f t="shared" si="15"/>
        <v>0</v>
      </c>
      <c r="U438" s="25" t="str">
        <f>IF('PART III-DEMOGRAPHICS'!Q448="","",'PART III-DEMOGRAPHICS'!Q448)</f>
        <v/>
      </c>
    </row>
    <row r="439" spans="1:21" ht="33.6" customHeight="1">
      <c r="A439" s="25" t="str">
        <f>IF('PART III-DEMOGRAPHICS'!A449="","",'PART III-DEMOGRAPHICS'!A449)</f>
        <v/>
      </c>
      <c r="B439" s="28"/>
      <c r="C439" s="27"/>
      <c r="D439" s="28"/>
      <c r="E439" s="21"/>
      <c r="F439" s="36" t="str">
        <f t="shared" si="16"/>
        <v>Did Not</v>
      </c>
      <c r="G439" s="28"/>
      <c r="H439" s="28"/>
      <c r="I439" s="28"/>
      <c r="J439" s="28"/>
      <c r="K439" s="28"/>
      <c r="L439" s="28"/>
      <c r="M439" s="28"/>
      <c r="N439" s="21"/>
      <c r="O439" s="28"/>
      <c r="P439" s="37"/>
      <c r="Q439" s="21"/>
      <c r="R439" s="21"/>
      <c r="S439" s="47"/>
      <c r="T439" s="25">
        <f t="shared" si="15"/>
        <v>0</v>
      </c>
      <c r="U439" s="25" t="str">
        <f>IF('PART III-DEMOGRAPHICS'!Q449="","",'PART III-DEMOGRAPHICS'!Q449)</f>
        <v/>
      </c>
    </row>
    <row r="440" spans="1:21" ht="33.6" customHeight="1">
      <c r="A440" s="25" t="str">
        <f>IF('PART III-DEMOGRAPHICS'!A450="","",'PART III-DEMOGRAPHICS'!A450)</f>
        <v/>
      </c>
      <c r="B440" s="28"/>
      <c r="C440" s="27"/>
      <c r="D440" s="28"/>
      <c r="E440" s="21"/>
      <c r="F440" s="36" t="str">
        <f t="shared" si="16"/>
        <v>Did Not</v>
      </c>
      <c r="G440" s="28"/>
      <c r="H440" s="28"/>
      <c r="I440" s="28"/>
      <c r="J440" s="28"/>
      <c r="K440" s="28"/>
      <c r="L440" s="28"/>
      <c r="M440" s="28"/>
      <c r="N440" s="21"/>
      <c r="O440" s="28"/>
      <c r="P440" s="37"/>
      <c r="Q440" s="21"/>
      <c r="R440" s="21"/>
      <c r="S440" s="47"/>
      <c r="T440" s="25">
        <f t="shared" si="15"/>
        <v>0</v>
      </c>
      <c r="U440" s="25" t="str">
        <f>IF('PART III-DEMOGRAPHICS'!Q450="","",'PART III-DEMOGRAPHICS'!Q450)</f>
        <v/>
      </c>
    </row>
    <row r="441" spans="1:21" ht="33.6" customHeight="1">
      <c r="A441" s="25" t="str">
        <f>IF('PART III-DEMOGRAPHICS'!A451="","",'PART III-DEMOGRAPHICS'!A451)</f>
        <v/>
      </c>
      <c r="B441" s="28"/>
      <c r="C441" s="27"/>
      <c r="D441" s="28"/>
      <c r="E441" s="21"/>
      <c r="F441" s="36" t="str">
        <f t="shared" si="16"/>
        <v>Did Not</v>
      </c>
      <c r="G441" s="28"/>
      <c r="H441" s="28"/>
      <c r="I441" s="28"/>
      <c r="J441" s="28"/>
      <c r="K441" s="28"/>
      <c r="L441" s="28"/>
      <c r="M441" s="28"/>
      <c r="N441" s="21"/>
      <c r="O441" s="28"/>
      <c r="P441" s="37"/>
      <c r="Q441" s="21"/>
      <c r="R441" s="21"/>
      <c r="S441" s="47"/>
      <c r="T441" s="25">
        <f t="shared" si="15"/>
        <v>0</v>
      </c>
      <c r="U441" s="25" t="str">
        <f>IF('PART III-DEMOGRAPHICS'!Q451="","",'PART III-DEMOGRAPHICS'!Q451)</f>
        <v/>
      </c>
    </row>
    <row r="442" spans="1:21" ht="33.6" customHeight="1">
      <c r="A442" s="25" t="str">
        <f>IF('PART III-DEMOGRAPHICS'!A452="","",'PART III-DEMOGRAPHICS'!A452)</f>
        <v/>
      </c>
      <c r="B442" s="28"/>
      <c r="C442" s="27"/>
      <c r="D442" s="28"/>
      <c r="E442" s="21"/>
      <c r="F442" s="36" t="str">
        <f t="shared" si="16"/>
        <v>Did Not</v>
      </c>
      <c r="G442" s="28"/>
      <c r="H442" s="28"/>
      <c r="I442" s="28"/>
      <c r="J442" s="28"/>
      <c r="K442" s="28"/>
      <c r="L442" s="28"/>
      <c r="M442" s="28"/>
      <c r="N442" s="21"/>
      <c r="O442" s="28"/>
      <c r="P442" s="37"/>
      <c r="Q442" s="21"/>
      <c r="R442" s="21"/>
      <c r="S442" s="47"/>
      <c r="T442" s="25">
        <f t="shared" si="15"/>
        <v>0</v>
      </c>
      <c r="U442" s="25" t="str">
        <f>IF('PART III-DEMOGRAPHICS'!Q452="","",'PART III-DEMOGRAPHICS'!Q452)</f>
        <v/>
      </c>
    </row>
    <row r="443" spans="1:21" ht="33.6" customHeight="1">
      <c r="A443" s="25" t="str">
        <f>IF('PART III-DEMOGRAPHICS'!A453="","",'PART III-DEMOGRAPHICS'!A453)</f>
        <v/>
      </c>
      <c r="B443" s="28"/>
      <c r="C443" s="27"/>
      <c r="D443" s="28"/>
      <c r="E443" s="21"/>
      <c r="F443" s="36" t="str">
        <f t="shared" si="16"/>
        <v>Did Not</v>
      </c>
      <c r="G443" s="28"/>
      <c r="H443" s="28"/>
      <c r="I443" s="28"/>
      <c r="J443" s="28"/>
      <c r="K443" s="28"/>
      <c r="L443" s="28"/>
      <c r="M443" s="28"/>
      <c r="N443" s="21"/>
      <c r="O443" s="28"/>
      <c r="P443" s="37"/>
      <c r="Q443" s="21"/>
      <c r="R443" s="21"/>
      <c r="S443" s="47"/>
      <c r="T443" s="25">
        <f t="shared" si="15"/>
        <v>0</v>
      </c>
      <c r="U443" s="25" t="str">
        <f>IF('PART III-DEMOGRAPHICS'!Q453="","",'PART III-DEMOGRAPHICS'!Q453)</f>
        <v/>
      </c>
    </row>
    <row r="444" spans="1:21" ht="33.6" customHeight="1">
      <c r="A444" s="25" t="str">
        <f>IF('PART III-DEMOGRAPHICS'!A454="","",'PART III-DEMOGRAPHICS'!A454)</f>
        <v/>
      </c>
      <c r="B444" s="28"/>
      <c r="C444" s="27"/>
      <c r="D444" s="28"/>
      <c r="E444" s="21"/>
      <c r="F444" s="36" t="str">
        <f t="shared" si="16"/>
        <v>Did Not</v>
      </c>
      <c r="G444" s="28"/>
      <c r="H444" s="28"/>
      <c r="I444" s="28"/>
      <c r="J444" s="28"/>
      <c r="K444" s="28"/>
      <c r="L444" s="28"/>
      <c r="M444" s="28"/>
      <c r="N444" s="21"/>
      <c r="O444" s="28"/>
      <c r="P444" s="37"/>
      <c r="Q444" s="21"/>
      <c r="R444" s="21"/>
      <c r="S444" s="47"/>
      <c r="T444" s="25">
        <f t="shared" si="15"/>
        <v>0</v>
      </c>
      <c r="U444" s="25" t="str">
        <f>IF('PART III-DEMOGRAPHICS'!Q454="","",'PART III-DEMOGRAPHICS'!Q454)</f>
        <v/>
      </c>
    </row>
    <row r="445" spans="1:21" ht="33.6" customHeight="1">
      <c r="A445" s="25" t="str">
        <f>IF('PART III-DEMOGRAPHICS'!A455="","",'PART III-DEMOGRAPHICS'!A455)</f>
        <v/>
      </c>
      <c r="B445" s="28"/>
      <c r="C445" s="27"/>
      <c r="D445" s="28"/>
      <c r="E445" s="21"/>
      <c r="F445" s="36" t="str">
        <f t="shared" si="16"/>
        <v>Did Not</v>
      </c>
      <c r="G445" s="28"/>
      <c r="H445" s="28"/>
      <c r="I445" s="28"/>
      <c r="J445" s="28"/>
      <c r="K445" s="28"/>
      <c r="L445" s="28"/>
      <c r="M445" s="28"/>
      <c r="N445" s="21"/>
      <c r="O445" s="28"/>
      <c r="P445" s="37"/>
      <c r="Q445" s="21"/>
      <c r="R445" s="21"/>
      <c r="S445" s="47"/>
      <c r="T445" s="25">
        <f t="shared" si="15"/>
        <v>0</v>
      </c>
      <c r="U445" s="25" t="str">
        <f>IF('PART III-DEMOGRAPHICS'!Q455="","",'PART III-DEMOGRAPHICS'!Q455)</f>
        <v/>
      </c>
    </row>
    <row r="446" spans="1:21" ht="33.6" customHeight="1">
      <c r="A446" s="25" t="str">
        <f>IF('PART III-DEMOGRAPHICS'!A456="","",'PART III-DEMOGRAPHICS'!A456)</f>
        <v/>
      </c>
      <c r="B446" s="28"/>
      <c r="C446" s="27"/>
      <c r="D446" s="28"/>
      <c r="E446" s="21"/>
      <c r="F446" s="36" t="str">
        <f t="shared" si="16"/>
        <v>Did Not</v>
      </c>
      <c r="G446" s="28"/>
      <c r="H446" s="28"/>
      <c r="I446" s="28"/>
      <c r="J446" s="28"/>
      <c r="K446" s="28"/>
      <c r="L446" s="28"/>
      <c r="M446" s="28"/>
      <c r="N446" s="21"/>
      <c r="O446" s="28"/>
      <c r="P446" s="37"/>
      <c r="Q446" s="21"/>
      <c r="R446" s="21"/>
      <c r="S446" s="47"/>
      <c r="T446" s="25">
        <f t="shared" si="15"/>
        <v>0</v>
      </c>
      <c r="U446" s="25" t="str">
        <f>IF('PART III-DEMOGRAPHICS'!Q456="","",'PART III-DEMOGRAPHICS'!Q456)</f>
        <v/>
      </c>
    </row>
    <row r="447" spans="1:21" ht="33.6" customHeight="1">
      <c r="A447" s="25" t="str">
        <f>IF('PART III-DEMOGRAPHICS'!A457="","",'PART III-DEMOGRAPHICS'!A457)</f>
        <v/>
      </c>
      <c r="B447" s="28"/>
      <c r="C447" s="27"/>
      <c r="D447" s="28"/>
      <c r="E447" s="21"/>
      <c r="F447" s="36" t="str">
        <f t="shared" si="16"/>
        <v>Did Not</v>
      </c>
      <c r="G447" s="28"/>
      <c r="H447" s="28"/>
      <c r="I447" s="28"/>
      <c r="J447" s="28"/>
      <c r="K447" s="28"/>
      <c r="L447" s="28"/>
      <c r="M447" s="28"/>
      <c r="N447" s="21"/>
      <c r="O447" s="28"/>
      <c r="P447" s="37"/>
      <c r="Q447" s="21"/>
      <c r="R447" s="21"/>
      <c r="S447" s="47"/>
      <c r="T447" s="25">
        <f t="shared" si="15"/>
        <v>0</v>
      </c>
      <c r="U447" s="25" t="str">
        <f>IF('PART III-DEMOGRAPHICS'!Q457="","",'PART III-DEMOGRAPHICS'!Q457)</f>
        <v/>
      </c>
    </row>
    <row r="448" spans="1:21" ht="33.6" customHeight="1">
      <c r="A448" s="25" t="str">
        <f>IF('PART III-DEMOGRAPHICS'!A458="","",'PART III-DEMOGRAPHICS'!A458)</f>
        <v/>
      </c>
      <c r="B448" s="28"/>
      <c r="C448" s="27"/>
      <c r="D448" s="28"/>
      <c r="E448" s="21"/>
      <c r="F448" s="36" t="str">
        <f t="shared" si="16"/>
        <v>Did Not</v>
      </c>
      <c r="G448" s="28"/>
      <c r="H448" s="28"/>
      <c r="I448" s="28"/>
      <c r="J448" s="28"/>
      <c r="K448" s="28"/>
      <c r="L448" s="28"/>
      <c r="M448" s="28"/>
      <c r="N448" s="21"/>
      <c r="O448" s="28"/>
      <c r="P448" s="37"/>
      <c r="Q448" s="21"/>
      <c r="R448" s="21"/>
      <c r="S448" s="47"/>
      <c r="T448" s="25">
        <f t="shared" si="15"/>
        <v>0</v>
      </c>
      <c r="U448" s="25" t="str">
        <f>IF('PART III-DEMOGRAPHICS'!Q458="","",'PART III-DEMOGRAPHICS'!Q458)</f>
        <v/>
      </c>
    </row>
    <row r="449" spans="1:21" ht="33.6" customHeight="1">
      <c r="A449" s="25" t="str">
        <f>IF('PART III-DEMOGRAPHICS'!A459="","",'PART III-DEMOGRAPHICS'!A459)</f>
        <v/>
      </c>
      <c r="B449" s="28"/>
      <c r="C449" s="27"/>
      <c r="D449" s="28"/>
      <c r="E449" s="21"/>
      <c r="F449" s="36" t="str">
        <f t="shared" si="16"/>
        <v>Did Not</v>
      </c>
      <c r="G449" s="28"/>
      <c r="H449" s="28"/>
      <c r="I449" s="28"/>
      <c r="J449" s="28"/>
      <c r="K449" s="28"/>
      <c r="L449" s="28"/>
      <c r="M449" s="28"/>
      <c r="N449" s="21"/>
      <c r="O449" s="28"/>
      <c r="P449" s="37"/>
      <c r="Q449" s="21"/>
      <c r="R449" s="21"/>
      <c r="S449" s="47"/>
      <c r="T449" s="25">
        <f t="shared" si="15"/>
        <v>0</v>
      </c>
      <c r="U449" s="25" t="str">
        <f>IF('PART III-DEMOGRAPHICS'!Q459="","",'PART III-DEMOGRAPHICS'!Q459)</f>
        <v/>
      </c>
    </row>
    <row r="450" spans="1:21" ht="33.6" customHeight="1">
      <c r="A450" s="25" t="str">
        <f>IF('PART III-DEMOGRAPHICS'!A460="","",'PART III-DEMOGRAPHICS'!A460)</f>
        <v/>
      </c>
      <c r="B450" s="28"/>
      <c r="C450" s="27"/>
      <c r="D450" s="28"/>
      <c r="E450" s="21"/>
      <c r="F450" s="36" t="str">
        <f t="shared" si="16"/>
        <v>Did Not</v>
      </c>
      <c r="G450" s="28"/>
      <c r="H450" s="28"/>
      <c r="I450" s="28"/>
      <c r="J450" s="28"/>
      <c r="K450" s="28"/>
      <c r="L450" s="28"/>
      <c r="M450" s="28"/>
      <c r="N450" s="21"/>
      <c r="O450" s="28"/>
      <c r="P450" s="37"/>
      <c r="Q450" s="21"/>
      <c r="R450" s="21"/>
      <c r="S450" s="47"/>
      <c r="T450" s="25">
        <f t="shared" si="15"/>
        <v>0</v>
      </c>
      <c r="U450" s="25" t="str">
        <f>IF('PART III-DEMOGRAPHICS'!Q460="","",'PART III-DEMOGRAPHICS'!Q460)</f>
        <v/>
      </c>
    </row>
    <row r="451" spans="1:21" ht="33.6" customHeight="1">
      <c r="A451" s="25" t="str">
        <f>IF('PART III-DEMOGRAPHICS'!A461="","",'PART III-DEMOGRAPHICS'!A461)</f>
        <v/>
      </c>
      <c r="B451" s="28"/>
      <c r="C451" s="27"/>
      <c r="D451" s="28"/>
      <c r="E451" s="21"/>
      <c r="F451" s="36" t="str">
        <f t="shared" si="16"/>
        <v>Did Not</v>
      </c>
      <c r="G451" s="28"/>
      <c r="H451" s="28"/>
      <c r="I451" s="28"/>
      <c r="J451" s="28"/>
      <c r="K451" s="28"/>
      <c r="L451" s="28"/>
      <c r="M451" s="28"/>
      <c r="N451" s="21"/>
      <c r="O451" s="28"/>
      <c r="P451" s="37"/>
      <c r="Q451" s="21"/>
      <c r="R451" s="21"/>
      <c r="S451" s="47"/>
      <c r="T451" s="25">
        <f t="shared" si="15"/>
        <v>0</v>
      </c>
      <c r="U451" s="25" t="str">
        <f>IF('PART III-DEMOGRAPHICS'!Q461="","",'PART III-DEMOGRAPHICS'!Q461)</f>
        <v/>
      </c>
    </row>
    <row r="452" spans="1:21" ht="33.6" customHeight="1">
      <c r="A452" s="25" t="str">
        <f>IF('PART III-DEMOGRAPHICS'!A462="","",'PART III-DEMOGRAPHICS'!A462)</f>
        <v/>
      </c>
      <c r="B452" s="28"/>
      <c r="C452" s="27"/>
      <c r="D452" s="28"/>
      <c r="E452" s="21"/>
      <c r="F452" s="36" t="str">
        <f t="shared" si="16"/>
        <v>Did Not</v>
      </c>
      <c r="G452" s="28"/>
      <c r="H452" s="28"/>
      <c r="I452" s="28"/>
      <c r="J452" s="28"/>
      <c r="K452" s="28"/>
      <c r="L452" s="28"/>
      <c r="M452" s="28"/>
      <c r="N452" s="21"/>
      <c r="O452" s="28"/>
      <c r="P452" s="37"/>
      <c r="Q452" s="21"/>
      <c r="R452" s="21"/>
      <c r="S452" s="47"/>
      <c r="T452" s="25">
        <f t="shared" si="15"/>
        <v>0</v>
      </c>
      <c r="U452" s="25" t="str">
        <f>IF('PART III-DEMOGRAPHICS'!Q462="","",'PART III-DEMOGRAPHICS'!Q462)</f>
        <v/>
      </c>
    </row>
    <row r="453" spans="1:21" ht="33.6" customHeight="1">
      <c r="A453" s="25" t="str">
        <f>IF('PART III-DEMOGRAPHICS'!A463="","",'PART III-DEMOGRAPHICS'!A463)</f>
        <v/>
      </c>
      <c r="B453" s="28"/>
      <c r="C453" s="27"/>
      <c r="D453" s="28"/>
      <c r="E453" s="21"/>
      <c r="F453" s="36" t="str">
        <f t="shared" si="16"/>
        <v>Did Not</v>
      </c>
      <c r="G453" s="28"/>
      <c r="H453" s="28"/>
      <c r="I453" s="28"/>
      <c r="J453" s="28"/>
      <c r="K453" s="28"/>
      <c r="L453" s="28"/>
      <c r="M453" s="28"/>
      <c r="N453" s="21"/>
      <c r="O453" s="28"/>
      <c r="P453" s="37"/>
      <c r="Q453" s="21"/>
      <c r="R453" s="21"/>
      <c r="S453" s="47"/>
      <c r="T453" s="25">
        <f t="shared" si="15"/>
        <v>0</v>
      </c>
      <c r="U453" s="25" t="str">
        <f>IF('PART III-DEMOGRAPHICS'!Q463="","",'PART III-DEMOGRAPHICS'!Q463)</f>
        <v/>
      </c>
    </row>
    <row r="454" spans="1:21" ht="33.6" customHeight="1">
      <c r="A454" s="25" t="str">
        <f>IF('PART III-DEMOGRAPHICS'!A464="","",'PART III-DEMOGRAPHICS'!A464)</f>
        <v/>
      </c>
      <c r="B454" s="28"/>
      <c r="C454" s="27"/>
      <c r="D454" s="28"/>
      <c r="E454" s="21"/>
      <c r="F454" s="36" t="str">
        <f t="shared" si="16"/>
        <v>Did Not</v>
      </c>
      <c r="G454" s="28"/>
      <c r="H454" s="28"/>
      <c r="I454" s="28"/>
      <c r="J454" s="28"/>
      <c r="K454" s="28"/>
      <c r="L454" s="28"/>
      <c r="M454" s="28"/>
      <c r="N454" s="21"/>
      <c r="O454" s="28"/>
      <c r="P454" s="37"/>
      <c r="Q454" s="21"/>
      <c r="R454" s="21"/>
      <c r="S454" s="47"/>
      <c r="T454" s="25">
        <f t="shared" si="15"/>
        <v>0</v>
      </c>
      <c r="U454" s="25" t="str">
        <f>IF('PART III-DEMOGRAPHICS'!Q464="","",'PART III-DEMOGRAPHICS'!Q464)</f>
        <v/>
      </c>
    </row>
    <row r="455" spans="1:21" ht="33.6" customHeight="1">
      <c r="A455" s="25" t="str">
        <f>IF('PART III-DEMOGRAPHICS'!A465="","",'PART III-DEMOGRAPHICS'!A465)</f>
        <v/>
      </c>
      <c r="B455" s="28"/>
      <c r="C455" s="27"/>
      <c r="D455" s="28"/>
      <c r="E455" s="21"/>
      <c r="F455" s="36" t="str">
        <f t="shared" si="16"/>
        <v>Did Not</v>
      </c>
      <c r="G455" s="28"/>
      <c r="H455" s="28"/>
      <c r="I455" s="28"/>
      <c r="J455" s="28"/>
      <c r="K455" s="28"/>
      <c r="L455" s="28"/>
      <c r="M455" s="28"/>
      <c r="N455" s="21"/>
      <c r="O455" s="28"/>
      <c r="P455" s="37"/>
      <c r="Q455" s="21"/>
      <c r="R455" s="21"/>
      <c r="S455" s="47"/>
      <c r="T455" s="25">
        <f t="shared" ref="T455:T518" si="17">COUNTIF(A455:R455,"Yes")</f>
        <v>0</v>
      </c>
      <c r="U455" s="25" t="str">
        <f>IF('PART III-DEMOGRAPHICS'!Q465="","",'PART III-DEMOGRAPHICS'!Q465)</f>
        <v/>
      </c>
    </row>
    <row r="456" spans="1:21" ht="33.6" customHeight="1">
      <c r="A456" s="25" t="str">
        <f>IF('PART III-DEMOGRAPHICS'!A466="","",'PART III-DEMOGRAPHICS'!A466)</f>
        <v/>
      </c>
      <c r="B456" s="28"/>
      <c r="C456" s="27"/>
      <c r="D456" s="28"/>
      <c r="E456" s="21"/>
      <c r="F456" s="36" t="str">
        <f t="shared" si="16"/>
        <v>Did Not</v>
      </c>
      <c r="G456" s="28"/>
      <c r="H456" s="28"/>
      <c r="I456" s="28"/>
      <c r="J456" s="28"/>
      <c r="K456" s="28"/>
      <c r="L456" s="28"/>
      <c r="M456" s="28"/>
      <c r="N456" s="21"/>
      <c r="O456" s="28"/>
      <c r="P456" s="37"/>
      <c r="Q456" s="21"/>
      <c r="R456" s="21"/>
      <c r="S456" s="47"/>
      <c r="T456" s="25">
        <f t="shared" si="17"/>
        <v>0</v>
      </c>
      <c r="U456" s="25" t="str">
        <f>IF('PART III-DEMOGRAPHICS'!Q466="","",'PART III-DEMOGRAPHICS'!Q466)</f>
        <v/>
      </c>
    </row>
    <row r="457" spans="1:21" ht="33.6" customHeight="1">
      <c r="A457" s="25" t="str">
        <f>IF('PART III-DEMOGRAPHICS'!A467="","",'PART III-DEMOGRAPHICS'!A467)</f>
        <v/>
      </c>
      <c r="B457" s="28"/>
      <c r="C457" s="27"/>
      <c r="D457" s="28"/>
      <c r="E457" s="21"/>
      <c r="F457" s="36" t="str">
        <f t="shared" si="16"/>
        <v>Did Not</v>
      </c>
      <c r="G457" s="28"/>
      <c r="H457" s="28"/>
      <c r="I457" s="28"/>
      <c r="J457" s="28"/>
      <c r="K457" s="28"/>
      <c r="L457" s="28"/>
      <c r="M457" s="28"/>
      <c r="N457" s="21"/>
      <c r="O457" s="28"/>
      <c r="P457" s="37"/>
      <c r="Q457" s="21"/>
      <c r="R457" s="21"/>
      <c r="S457" s="47"/>
      <c r="T457" s="25">
        <f t="shared" si="17"/>
        <v>0</v>
      </c>
      <c r="U457" s="25" t="str">
        <f>IF('PART III-DEMOGRAPHICS'!Q467="","",'PART III-DEMOGRAPHICS'!Q467)</f>
        <v/>
      </c>
    </row>
    <row r="458" spans="1:21" ht="33.6" customHeight="1">
      <c r="A458" s="25" t="str">
        <f>IF('PART III-DEMOGRAPHICS'!A468="","",'PART III-DEMOGRAPHICS'!A468)</f>
        <v/>
      </c>
      <c r="B458" s="28"/>
      <c r="C458" s="27"/>
      <c r="D458" s="28"/>
      <c r="E458" s="21"/>
      <c r="F458" s="36" t="str">
        <f t="shared" si="16"/>
        <v>Did Not</v>
      </c>
      <c r="G458" s="28"/>
      <c r="H458" s="28"/>
      <c r="I458" s="28"/>
      <c r="J458" s="28"/>
      <c r="K458" s="28"/>
      <c r="L458" s="28"/>
      <c r="M458" s="28"/>
      <c r="N458" s="21"/>
      <c r="O458" s="28"/>
      <c r="P458" s="37"/>
      <c r="Q458" s="21"/>
      <c r="R458" s="21"/>
      <c r="S458" s="47"/>
      <c r="T458" s="25">
        <f t="shared" si="17"/>
        <v>0</v>
      </c>
      <c r="U458" s="25" t="str">
        <f>IF('PART III-DEMOGRAPHICS'!Q468="","",'PART III-DEMOGRAPHICS'!Q468)</f>
        <v/>
      </c>
    </row>
    <row r="459" spans="1:21" ht="33.6" customHeight="1">
      <c r="A459" s="25" t="str">
        <f>IF('PART III-DEMOGRAPHICS'!A469="","",'PART III-DEMOGRAPHICS'!A469)</f>
        <v/>
      </c>
      <c r="B459" s="28"/>
      <c r="C459" s="27"/>
      <c r="D459" s="28"/>
      <c r="E459" s="21"/>
      <c r="F459" s="36" t="str">
        <f t="shared" si="16"/>
        <v>Did Not</v>
      </c>
      <c r="G459" s="28"/>
      <c r="H459" s="28"/>
      <c r="I459" s="28"/>
      <c r="J459" s="28"/>
      <c r="K459" s="28"/>
      <c r="L459" s="28"/>
      <c r="M459" s="28"/>
      <c r="N459" s="21"/>
      <c r="O459" s="28"/>
      <c r="P459" s="37"/>
      <c r="Q459" s="21"/>
      <c r="R459" s="21"/>
      <c r="S459" s="47"/>
      <c r="T459" s="25">
        <f t="shared" si="17"/>
        <v>0</v>
      </c>
      <c r="U459" s="25" t="str">
        <f>IF('PART III-DEMOGRAPHICS'!Q469="","",'PART III-DEMOGRAPHICS'!Q469)</f>
        <v/>
      </c>
    </row>
    <row r="460" spans="1:21" ht="33.6" customHeight="1">
      <c r="A460" s="25" t="str">
        <f>IF('PART III-DEMOGRAPHICS'!A470="","",'PART III-DEMOGRAPHICS'!A470)</f>
        <v/>
      </c>
      <c r="B460" s="28"/>
      <c r="C460" s="27"/>
      <c r="D460" s="28"/>
      <c r="E460" s="21"/>
      <c r="F460" s="36" t="str">
        <f t="shared" si="16"/>
        <v>Did Not</v>
      </c>
      <c r="G460" s="28"/>
      <c r="H460" s="28"/>
      <c r="I460" s="28"/>
      <c r="J460" s="28"/>
      <c r="K460" s="28"/>
      <c r="L460" s="28"/>
      <c r="M460" s="28"/>
      <c r="N460" s="21"/>
      <c r="O460" s="28"/>
      <c r="P460" s="37"/>
      <c r="Q460" s="21"/>
      <c r="R460" s="21"/>
      <c r="S460" s="47"/>
      <c r="T460" s="25">
        <f t="shared" si="17"/>
        <v>0</v>
      </c>
      <c r="U460" s="25" t="str">
        <f>IF('PART III-DEMOGRAPHICS'!Q470="","",'PART III-DEMOGRAPHICS'!Q470)</f>
        <v/>
      </c>
    </row>
    <row r="461" spans="1:21" ht="33.6" customHeight="1">
      <c r="A461" s="25" t="str">
        <f>IF('PART III-DEMOGRAPHICS'!A471="","",'PART III-DEMOGRAPHICS'!A471)</f>
        <v/>
      </c>
      <c r="B461" s="28"/>
      <c r="C461" s="27"/>
      <c r="D461" s="28"/>
      <c r="E461" s="21"/>
      <c r="F461" s="36" t="str">
        <f t="shared" si="16"/>
        <v>Did Not</v>
      </c>
      <c r="G461" s="28"/>
      <c r="H461" s="28"/>
      <c r="I461" s="28"/>
      <c r="J461" s="28"/>
      <c r="K461" s="28"/>
      <c r="L461" s="28"/>
      <c r="M461" s="28"/>
      <c r="N461" s="21"/>
      <c r="O461" s="28"/>
      <c r="P461" s="37"/>
      <c r="Q461" s="21"/>
      <c r="R461" s="21"/>
      <c r="S461" s="47"/>
      <c r="T461" s="25">
        <f t="shared" si="17"/>
        <v>0</v>
      </c>
      <c r="U461" s="25" t="str">
        <f>IF('PART III-DEMOGRAPHICS'!Q471="","",'PART III-DEMOGRAPHICS'!Q471)</f>
        <v/>
      </c>
    </row>
    <row r="462" spans="1:21" ht="33.6" customHeight="1">
      <c r="A462" s="25" t="str">
        <f>IF('PART III-DEMOGRAPHICS'!A472="","",'PART III-DEMOGRAPHICS'!A472)</f>
        <v/>
      </c>
      <c r="B462" s="28"/>
      <c r="C462" s="27"/>
      <c r="D462" s="28"/>
      <c r="E462" s="21"/>
      <c r="F462" s="36" t="str">
        <f t="shared" ref="F462:F525" si="18">IF(OR(G462="Yes",H462="Yes",I462="Yes",J462="Yes",K462="Yes",L462="Yes",M462="Yes"),"Did","Did Not")</f>
        <v>Did Not</v>
      </c>
      <c r="G462" s="28"/>
      <c r="H462" s="28"/>
      <c r="I462" s="28"/>
      <c r="J462" s="28"/>
      <c r="K462" s="28"/>
      <c r="L462" s="28"/>
      <c r="M462" s="28"/>
      <c r="N462" s="21"/>
      <c r="O462" s="28"/>
      <c r="P462" s="37"/>
      <c r="Q462" s="21"/>
      <c r="R462" s="21"/>
      <c r="S462" s="47"/>
      <c r="T462" s="25">
        <f t="shared" si="17"/>
        <v>0</v>
      </c>
      <c r="U462" s="25" t="str">
        <f>IF('PART III-DEMOGRAPHICS'!Q472="","",'PART III-DEMOGRAPHICS'!Q472)</f>
        <v/>
      </c>
    </row>
    <row r="463" spans="1:21" ht="33.6" customHeight="1">
      <c r="A463" s="25" t="str">
        <f>IF('PART III-DEMOGRAPHICS'!A473="","",'PART III-DEMOGRAPHICS'!A473)</f>
        <v/>
      </c>
      <c r="B463" s="28"/>
      <c r="C463" s="27"/>
      <c r="D463" s="28"/>
      <c r="E463" s="21"/>
      <c r="F463" s="36" t="str">
        <f t="shared" si="18"/>
        <v>Did Not</v>
      </c>
      <c r="G463" s="28"/>
      <c r="H463" s="28"/>
      <c r="I463" s="28"/>
      <c r="J463" s="28"/>
      <c r="K463" s="28"/>
      <c r="L463" s="28"/>
      <c r="M463" s="28"/>
      <c r="N463" s="21"/>
      <c r="O463" s="28"/>
      <c r="P463" s="37"/>
      <c r="Q463" s="21"/>
      <c r="R463" s="21"/>
      <c r="S463" s="47"/>
      <c r="T463" s="25">
        <f t="shared" si="17"/>
        <v>0</v>
      </c>
      <c r="U463" s="25" t="str">
        <f>IF('PART III-DEMOGRAPHICS'!Q473="","",'PART III-DEMOGRAPHICS'!Q473)</f>
        <v/>
      </c>
    </row>
    <row r="464" spans="1:21" ht="33.6" customHeight="1">
      <c r="A464" s="25" t="str">
        <f>IF('PART III-DEMOGRAPHICS'!A474="","",'PART III-DEMOGRAPHICS'!A474)</f>
        <v/>
      </c>
      <c r="B464" s="28"/>
      <c r="C464" s="27"/>
      <c r="D464" s="28"/>
      <c r="E464" s="21"/>
      <c r="F464" s="36" t="str">
        <f t="shared" si="18"/>
        <v>Did Not</v>
      </c>
      <c r="G464" s="28"/>
      <c r="H464" s="28"/>
      <c r="I464" s="28"/>
      <c r="J464" s="28"/>
      <c r="K464" s="28"/>
      <c r="L464" s="28"/>
      <c r="M464" s="28"/>
      <c r="N464" s="21"/>
      <c r="O464" s="28"/>
      <c r="P464" s="37"/>
      <c r="Q464" s="21"/>
      <c r="R464" s="21"/>
      <c r="S464" s="47"/>
      <c r="T464" s="25">
        <f t="shared" si="17"/>
        <v>0</v>
      </c>
      <c r="U464" s="25" t="str">
        <f>IF('PART III-DEMOGRAPHICS'!Q474="","",'PART III-DEMOGRAPHICS'!Q474)</f>
        <v/>
      </c>
    </row>
    <row r="465" spans="1:21" ht="33.6" customHeight="1">
      <c r="A465" s="25" t="str">
        <f>IF('PART III-DEMOGRAPHICS'!A475="","",'PART III-DEMOGRAPHICS'!A475)</f>
        <v/>
      </c>
      <c r="B465" s="28"/>
      <c r="C465" s="27"/>
      <c r="D465" s="28"/>
      <c r="E465" s="21"/>
      <c r="F465" s="36" t="str">
        <f t="shared" si="18"/>
        <v>Did Not</v>
      </c>
      <c r="G465" s="28"/>
      <c r="H465" s="28"/>
      <c r="I465" s="28"/>
      <c r="J465" s="28"/>
      <c r="K465" s="28"/>
      <c r="L465" s="28"/>
      <c r="M465" s="28"/>
      <c r="N465" s="21"/>
      <c r="O465" s="28"/>
      <c r="P465" s="37"/>
      <c r="Q465" s="21"/>
      <c r="R465" s="21"/>
      <c r="S465" s="47"/>
      <c r="T465" s="25">
        <f t="shared" si="17"/>
        <v>0</v>
      </c>
      <c r="U465" s="25" t="str">
        <f>IF('PART III-DEMOGRAPHICS'!Q475="","",'PART III-DEMOGRAPHICS'!Q475)</f>
        <v/>
      </c>
    </row>
    <row r="466" spans="1:21" ht="33.6" customHeight="1">
      <c r="A466" s="25" t="str">
        <f>IF('PART III-DEMOGRAPHICS'!A476="","",'PART III-DEMOGRAPHICS'!A476)</f>
        <v/>
      </c>
      <c r="B466" s="28"/>
      <c r="C466" s="27"/>
      <c r="D466" s="28"/>
      <c r="E466" s="21"/>
      <c r="F466" s="36" t="str">
        <f t="shared" si="18"/>
        <v>Did Not</v>
      </c>
      <c r="G466" s="28"/>
      <c r="H466" s="28"/>
      <c r="I466" s="28"/>
      <c r="J466" s="28"/>
      <c r="K466" s="28"/>
      <c r="L466" s="28"/>
      <c r="M466" s="28"/>
      <c r="N466" s="21"/>
      <c r="O466" s="28"/>
      <c r="P466" s="37"/>
      <c r="Q466" s="21"/>
      <c r="R466" s="21"/>
      <c r="S466" s="47"/>
      <c r="T466" s="25">
        <f t="shared" si="17"/>
        <v>0</v>
      </c>
      <c r="U466" s="25" t="str">
        <f>IF('PART III-DEMOGRAPHICS'!Q476="","",'PART III-DEMOGRAPHICS'!Q476)</f>
        <v/>
      </c>
    </row>
    <row r="467" spans="1:21" ht="33.6" customHeight="1">
      <c r="A467" s="25" t="str">
        <f>IF('PART III-DEMOGRAPHICS'!A477="","",'PART III-DEMOGRAPHICS'!A477)</f>
        <v/>
      </c>
      <c r="B467" s="28"/>
      <c r="C467" s="27"/>
      <c r="D467" s="28"/>
      <c r="E467" s="21"/>
      <c r="F467" s="36" t="str">
        <f t="shared" si="18"/>
        <v>Did Not</v>
      </c>
      <c r="G467" s="28"/>
      <c r="H467" s="28"/>
      <c r="I467" s="28"/>
      <c r="J467" s="28"/>
      <c r="K467" s="28"/>
      <c r="L467" s="28"/>
      <c r="M467" s="28"/>
      <c r="N467" s="21"/>
      <c r="O467" s="28"/>
      <c r="P467" s="37"/>
      <c r="Q467" s="21"/>
      <c r="R467" s="21"/>
      <c r="S467" s="47"/>
      <c r="T467" s="25">
        <f t="shared" si="17"/>
        <v>0</v>
      </c>
      <c r="U467" s="25" t="str">
        <f>IF('PART III-DEMOGRAPHICS'!Q477="","",'PART III-DEMOGRAPHICS'!Q477)</f>
        <v/>
      </c>
    </row>
    <row r="468" spans="1:21" ht="33.6" customHeight="1">
      <c r="A468" s="25" t="str">
        <f>IF('PART III-DEMOGRAPHICS'!A478="","",'PART III-DEMOGRAPHICS'!A478)</f>
        <v/>
      </c>
      <c r="B468" s="28"/>
      <c r="C468" s="27"/>
      <c r="D468" s="28"/>
      <c r="E468" s="21"/>
      <c r="F468" s="36" t="str">
        <f t="shared" si="18"/>
        <v>Did Not</v>
      </c>
      <c r="G468" s="28"/>
      <c r="H468" s="28"/>
      <c r="I468" s="28"/>
      <c r="J468" s="28"/>
      <c r="K468" s="28"/>
      <c r="L468" s="28"/>
      <c r="M468" s="28"/>
      <c r="N468" s="21"/>
      <c r="O468" s="28"/>
      <c r="P468" s="37"/>
      <c r="Q468" s="21"/>
      <c r="R468" s="21"/>
      <c r="S468" s="47"/>
      <c r="T468" s="25">
        <f t="shared" si="17"/>
        <v>0</v>
      </c>
      <c r="U468" s="25" t="str">
        <f>IF('PART III-DEMOGRAPHICS'!Q478="","",'PART III-DEMOGRAPHICS'!Q478)</f>
        <v/>
      </c>
    </row>
    <row r="469" spans="1:21" ht="33.6" customHeight="1">
      <c r="A469" s="25" t="str">
        <f>IF('PART III-DEMOGRAPHICS'!A479="","",'PART III-DEMOGRAPHICS'!A479)</f>
        <v/>
      </c>
      <c r="B469" s="28"/>
      <c r="C469" s="27"/>
      <c r="D469" s="28"/>
      <c r="E469" s="21"/>
      <c r="F469" s="36" t="str">
        <f t="shared" si="18"/>
        <v>Did Not</v>
      </c>
      <c r="G469" s="28"/>
      <c r="H469" s="28"/>
      <c r="I469" s="28"/>
      <c r="J469" s="28"/>
      <c r="K469" s="28"/>
      <c r="L469" s="28"/>
      <c r="M469" s="28"/>
      <c r="N469" s="21"/>
      <c r="O469" s="28"/>
      <c r="P469" s="37"/>
      <c r="Q469" s="21"/>
      <c r="R469" s="21"/>
      <c r="S469" s="47"/>
      <c r="T469" s="25">
        <f t="shared" si="17"/>
        <v>0</v>
      </c>
      <c r="U469" s="25" t="str">
        <f>IF('PART III-DEMOGRAPHICS'!Q479="","",'PART III-DEMOGRAPHICS'!Q479)</f>
        <v/>
      </c>
    </row>
    <row r="470" spans="1:21" ht="33.6" customHeight="1">
      <c r="A470" s="25" t="str">
        <f>IF('PART III-DEMOGRAPHICS'!A480="","",'PART III-DEMOGRAPHICS'!A480)</f>
        <v/>
      </c>
      <c r="B470" s="28"/>
      <c r="C470" s="27"/>
      <c r="D470" s="28"/>
      <c r="E470" s="21"/>
      <c r="F470" s="36" t="str">
        <f t="shared" si="18"/>
        <v>Did Not</v>
      </c>
      <c r="G470" s="28"/>
      <c r="H470" s="28"/>
      <c r="I470" s="28"/>
      <c r="J470" s="28"/>
      <c r="K470" s="28"/>
      <c r="L470" s="28"/>
      <c r="M470" s="28"/>
      <c r="N470" s="21"/>
      <c r="O470" s="28"/>
      <c r="P470" s="37"/>
      <c r="Q470" s="21"/>
      <c r="R470" s="21"/>
      <c r="S470" s="47"/>
      <c r="T470" s="25">
        <f t="shared" si="17"/>
        <v>0</v>
      </c>
      <c r="U470" s="25" t="str">
        <f>IF('PART III-DEMOGRAPHICS'!Q480="","",'PART III-DEMOGRAPHICS'!Q480)</f>
        <v/>
      </c>
    </row>
    <row r="471" spans="1:21" ht="33.6" customHeight="1">
      <c r="A471" s="25" t="str">
        <f>IF('PART III-DEMOGRAPHICS'!A481="","",'PART III-DEMOGRAPHICS'!A481)</f>
        <v/>
      </c>
      <c r="B471" s="28"/>
      <c r="C471" s="27"/>
      <c r="D471" s="28"/>
      <c r="E471" s="21"/>
      <c r="F471" s="36" t="str">
        <f t="shared" si="18"/>
        <v>Did Not</v>
      </c>
      <c r="G471" s="28"/>
      <c r="H471" s="28"/>
      <c r="I471" s="28"/>
      <c r="J471" s="28"/>
      <c r="K471" s="28"/>
      <c r="L471" s="28"/>
      <c r="M471" s="28"/>
      <c r="N471" s="21"/>
      <c r="O471" s="28"/>
      <c r="P471" s="37"/>
      <c r="Q471" s="21"/>
      <c r="R471" s="21"/>
      <c r="S471" s="47"/>
      <c r="T471" s="25">
        <f t="shared" si="17"/>
        <v>0</v>
      </c>
      <c r="U471" s="25" t="str">
        <f>IF('PART III-DEMOGRAPHICS'!Q481="","",'PART III-DEMOGRAPHICS'!Q481)</f>
        <v/>
      </c>
    </row>
    <row r="472" spans="1:21" ht="33.6" customHeight="1">
      <c r="A472" s="25" t="str">
        <f>IF('PART III-DEMOGRAPHICS'!A482="","",'PART III-DEMOGRAPHICS'!A482)</f>
        <v/>
      </c>
      <c r="B472" s="28"/>
      <c r="C472" s="27"/>
      <c r="D472" s="28"/>
      <c r="E472" s="21"/>
      <c r="F472" s="36" t="str">
        <f t="shared" si="18"/>
        <v>Did Not</v>
      </c>
      <c r="G472" s="28"/>
      <c r="H472" s="28"/>
      <c r="I472" s="28"/>
      <c r="J472" s="28"/>
      <c r="K472" s="28"/>
      <c r="L472" s="28"/>
      <c r="M472" s="28"/>
      <c r="N472" s="21"/>
      <c r="O472" s="28"/>
      <c r="P472" s="37"/>
      <c r="Q472" s="21"/>
      <c r="R472" s="21"/>
      <c r="S472" s="47"/>
      <c r="T472" s="25">
        <f t="shared" si="17"/>
        <v>0</v>
      </c>
      <c r="U472" s="25" t="str">
        <f>IF('PART III-DEMOGRAPHICS'!Q482="","",'PART III-DEMOGRAPHICS'!Q482)</f>
        <v/>
      </c>
    </row>
    <row r="473" spans="1:21" ht="33.6" customHeight="1">
      <c r="A473" s="25" t="str">
        <f>IF('PART III-DEMOGRAPHICS'!A483="","",'PART III-DEMOGRAPHICS'!A483)</f>
        <v/>
      </c>
      <c r="B473" s="28"/>
      <c r="C473" s="27"/>
      <c r="D473" s="28"/>
      <c r="E473" s="21"/>
      <c r="F473" s="36" t="str">
        <f t="shared" si="18"/>
        <v>Did Not</v>
      </c>
      <c r="G473" s="28"/>
      <c r="H473" s="28"/>
      <c r="I473" s="28"/>
      <c r="J473" s="28"/>
      <c r="K473" s="28"/>
      <c r="L473" s="28"/>
      <c r="M473" s="28"/>
      <c r="N473" s="21"/>
      <c r="O473" s="28"/>
      <c r="P473" s="37"/>
      <c r="Q473" s="21"/>
      <c r="R473" s="21"/>
      <c r="S473" s="47"/>
      <c r="T473" s="25">
        <f t="shared" si="17"/>
        <v>0</v>
      </c>
      <c r="U473" s="25" t="str">
        <f>IF('PART III-DEMOGRAPHICS'!Q483="","",'PART III-DEMOGRAPHICS'!Q483)</f>
        <v/>
      </c>
    </row>
    <row r="474" spans="1:21" ht="33.6" customHeight="1">
      <c r="A474" s="25" t="str">
        <f>IF('PART III-DEMOGRAPHICS'!A484="","",'PART III-DEMOGRAPHICS'!A484)</f>
        <v/>
      </c>
      <c r="B474" s="28"/>
      <c r="C474" s="27"/>
      <c r="D474" s="28"/>
      <c r="E474" s="21"/>
      <c r="F474" s="36" t="str">
        <f t="shared" si="18"/>
        <v>Did Not</v>
      </c>
      <c r="G474" s="28"/>
      <c r="H474" s="28"/>
      <c r="I474" s="28"/>
      <c r="J474" s="28"/>
      <c r="K474" s="28"/>
      <c r="L474" s="28"/>
      <c r="M474" s="28"/>
      <c r="N474" s="21"/>
      <c r="O474" s="28"/>
      <c r="P474" s="37"/>
      <c r="Q474" s="21"/>
      <c r="R474" s="21"/>
      <c r="S474" s="47"/>
      <c r="T474" s="25">
        <f t="shared" si="17"/>
        <v>0</v>
      </c>
      <c r="U474" s="25" t="str">
        <f>IF('PART III-DEMOGRAPHICS'!Q484="","",'PART III-DEMOGRAPHICS'!Q484)</f>
        <v/>
      </c>
    </row>
    <row r="475" spans="1:21" ht="33.6" customHeight="1">
      <c r="A475" s="25" t="str">
        <f>IF('PART III-DEMOGRAPHICS'!A485="","",'PART III-DEMOGRAPHICS'!A485)</f>
        <v/>
      </c>
      <c r="B475" s="28"/>
      <c r="C475" s="27"/>
      <c r="D475" s="28"/>
      <c r="E475" s="21"/>
      <c r="F475" s="36" t="str">
        <f t="shared" si="18"/>
        <v>Did Not</v>
      </c>
      <c r="G475" s="28"/>
      <c r="H475" s="28"/>
      <c r="I475" s="28"/>
      <c r="J475" s="28"/>
      <c r="K475" s="28"/>
      <c r="L475" s="28"/>
      <c r="M475" s="28"/>
      <c r="N475" s="21"/>
      <c r="O475" s="28"/>
      <c r="P475" s="37"/>
      <c r="Q475" s="21"/>
      <c r="R475" s="21"/>
      <c r="S475" s="47"/>
      <c r="T475" s="25">
        <f t="shared" si="17"/>
        <v>0</v>
      </c>
      <c r="U475" s="25" t="str">
        <f>IF('PART III-DEMOGRAPHICS'!Q485="","",'PART III-DEMOGRAPHICS'!Q485)</f>
        <v/>
      </c>
    </row>
    <row r="476" spans="1:21" ht="33.6" customHeight="1">
      <c r="A476" s="25" t="str">
        <f>IF('PART III-DEMOGRAPHICS'!A486="","",'PART III-DEMOGRAPHICS'!A486)</f>
        <v/>
      </c>
      <c r="B476" s="28"/>
      <c r="C476" s="27"/>
      <c r="D476" s="28"/>
      <c r="E476" s="21"/>
      <c r="F476" s="36" t="str">
        <f t="shared" si="18"/>
        <v>Did Not</v>
      </c>
      <c r="G476" s="28"/>
      <c r="H476" s="28"/>
      <c r="I476" s="28"/>
      <c r="J476" s="28"/>
      <c r="K476" s="28"/>
      <c r="L476" s="28"/>
      <c r="M476" s="28"/>
      <c r="N476" s="21"/>
      <c r="O476" s="28"/>
      <c r="P476" s="37"/>
      <c r="Q476" s="21"/>
      <c r="R476" s="21"/>
      <c r="S476" s="47"/>
      <c r="T476" s="25">
        <f t="shared" si="17"/>
        <v>0</v>
      </c>
      <c r="U476" s="25" t="str">
        <f>IF('PART III-DEMOGRAPHICS'!Q486="","",'PART III-DEMOGRAPHICS'!Q486)</f>
        <v/>
      </c>
    </row>
    <row r="477" spans="1:21" ht="33.6" customHeight="1">
      <c r="A477" s="25" t="str">
        <f>IF('PART III-DEMOGRAPHICS'!A487="","",'PART III-DEMOGRAPHICS'!A487)</f>
        <v/>
      </c>
      <c r="B477" s="28"/>
      <c r="C477" s="27"/>
      <c r="D477" s="28"/>
      <c r="E477" s="21"/>
      <c r="F477" s="36" t="str">
        <f t="shared" si="18"/>
        <v>Did Not</v>
      </c>
      <c r="G477" s="28"/>
      <c r="H477" s="28"/>
      <c r="I477" s="28"/>
      <c r="J477" s="28"/>
      <c r="K477" s="28"/>
      <c r="L477" s="28"/>
      <c r="M477" s="28"/>
      <c r="N477" s="21"/>
      <c r="O477" s="28"/>
      <c r="P477" s="37"/>
      <c r="Q477" s="21"/>
      <c r="R477" s="21"/>
      <c r="S477" s="47"/>
      <c r="T477" s="25">
        <f t="shared" si="17"/>
        <v>0</v>
      </c>
      <c r="U477" s="25" t="str">
        <f>IF('PART III-DEMOGRAPHICS'!Q487="","",'PART III-DEMOGRAPHICS'!Q487)</f>
        <v/>
      </c>
    </row>
    <row r="478" spans="1:21" ht="33.6" customHeight="1">
      <c r="A478" s="25" t="str">
        <f>IF('PART III-DEMOGRAPHICS'!A488="","",'PART III-DEMOGRAPHICS'!A488)</f>
        <v/>
      </c>
      <c r="B478" s="28"/>
      <c r="C478" s="27"/>
      <c r="D478" s="28"/>
      <c r="E478" s="21"/>
      <c r="F478" s="36" t="str">
        <f t="shared" si="18"/>
        <v>Did Not</v>
      </c>
      <c r="G478" s="28"/>
      <c r="H478" s="28"/>
      <c r="I478" s="28"/>
      <c r="J478" s="28"/>
      <c r="K478" s="28"/>
      <c r="L478" s="28"/>
      <c r="M478" s="28"/>
      <c r="N478" s="21"/>
      <c r="O478" s="28"/>
      <c r="P478" s="37"/>
      <c r="Q478" s="21"/>
      <c r="R478" s="21"/>
      <c r="S478" s="47"/>
      <c r="T478" s="25">
        <f t="shared" si="17"/>
        <v>0</v>
      </c>
      <c r="U478" s="25" t="str">
        <f>IF('PART III-DEMOGRAPHICS'!Q488="","",'PART III-DEMOGRAPHICS'!Q488)</f>
        <v/>
      </c>
    </row>
    <row r="479" spans="1:21" ht="33.6" customHeight="1">
      <c r="A479" s="25" t="str">
        <f>IF('PART III-DEMOGRAPHICS'!A489="","",'PART III-DEMOGRAPHICS'!A489)</f>
        <v/>
      </c>
      <c r="B479" s="28"/>
      <c r="C479" s="27"/>
      <c r="D479" s="28"/>
      <c r="E479" s="21"/>
      <c r="F479" s="36" t="str">
        <f t="shared" si="18"/>
        <v>Did Not</v>
      </c>
      <c r="G479" s="28"/>
      <c r="H479" s="28"/>
      <c r="I479" s="28"/>
      <c r="J479" s="28"/>
      <c r="K479" s="28"/>
      <c r="L479" s="28"/>
      <c r="M479" s="28"/>
      <c r="N479" s="21"/>
      <c r="O479" s="28"/>
      <c r="P479" s="37"/>
      <c r="Q479" s="21"/>
      <c r="R479" s="21"/>
      <c r="S479" s="47"/>
      <c r="T479" s="25">
        <f t="shared" si="17"/>
        <v>0</v>
      </c>
      <c r="U479" s="25" t="str">
        <f>IF('PART III-DEMOGRAPHICS'!Q489="","",'PART III-DEMOGRAPHICS'!Q489)</f>
        <v/>
      </c>
    </row>
    <row r="480" spans="1:21" ht="33.6" customHeight="1">
      <c r="A480" s="25" t="str">
        <f>IF('PART III-DEMOGRAPHICS'!A490="","",'PART III-DEMOGRAPHICS'!A490)</f>
        <v/>
      </c>
      <c r="B480" s="28"/>
      <c r="C480" s="27"/>
      <c r="D480" s="28"/>
      <c r="E480" s="21"/>
      <c r="F480" s="36" t="str">
        <f t="shared" si="18"/>
        <v>Did Not</v>
      </c>
      <c r="G480" s="28"/>
      <c r="H480" s="28"/>
      <c r="I480" s="28"/>
      <c r="J480" s="28"/>
      <c r="K480" s="28"/>
      <c r="L480" s="28"/>
      <c r="M480" s="28"/>
      <c r="N480" s="21"/>
      <c r="O480" s="28"/>
      <c r="P480" s="37"/>
      <c r="Q480" s="21"/>
      <c r="R480" s="21"/>
      <c r="S480" s="47"/>
      <c r="T480" s="25">
        <f t="shared" si="17"/>
        <v>0</v>
      </c>
      <c r="U480" s="25" t="str">
        <f>IF('PART III-DEMOGRAPHICS'!Q490="","",'PART III-DEMOGRAPHICS'!Q490)</f>
        <v/>
      </c>
    </row>
    <row r="481" spans="1:21" ht="33.6" customHeight="1">
      <c r="A481" s="25" t="str">
        <f>IF('PART III-DEMOGRAPHICS'!A491="","",'PART III-DEMOGRAPHICS'!A491)</f>
        <v/>
      </c>
      <c r="B481" s="28"/>
      <c r="C481" s="27"/>
      <c r="D481" s="28"/>
      <c r="E481" s="21"/>
      <c r="F481" s="36" t="str">
        <f t="shared" si="18"/>
        <v>Did Not</v>
      </c>
      <c r="G481" s="28"/>
      <c r="H481" s="28"/>
      <c r="I481" s="28"/>
      <c r="J481" s="28"/>
      <c r="K481" s="28"/>
      <c r="L481" s="28"/>
      <c r="M481" s="28"/>
      <c r="N481" s="21"/>
      <c r="O481" s="28"/>
      <c r="P481" s="37"/>
      <c r="Q481" s="21"/>
      <c r="R481" s="21"/>
      <c r="S481" s="47"/>
      <c r="T481" s="25">
        <f t="shared" si="17"/>
        <v>0</v>
      </c>
      <c r="U481" s="25" t="str">
        <f>IF('PART III-DEMOGRAPHICS'!Q491="","",'PART III-DEMOGRAPHICS'!Q491)</f>
        <v/>
      </c>
    </row>
    <row r="482" spans="1:21" ht="33.6" customHeight="1">
      <c r="A482" s="25" t="str">
        <f>IF('PART III-DEMOGRAPHICS'!A492="","",'PART III-DEMOGRAPHICS'!A492)</f>
        <v/>
      </c>
      <c r="B482" s="28"/>
      <c r="C482" s="27"/>
      <c r="D482" s="28"/>
      <c r="E482" s="21"/>
      <c r="F482" s="36" t="str">
        <f t="shared" si="18"/>
        <v>Did Not</v>
      </c>
      <c r="G482" s="28"/>
      <c r="H482" s="28"/>
      <c r="I482" s="28"/>
      <c r="J482" s="28"/>
      <c r="K482" s="28"/>
      <c r="L482" s="28"/>
      <c r="M482" s="28"/>
      <c r="N482" s="21"/>
      <c r="O482" s="28"/>
      <c r="P482" s="37"/>
      <c r="Q482" s="21"/>
      <c r="R482" s="21"/>
      <c r="S482" s="47"/>
      <c r="T482" s="25">
        <f t="shared" si="17"/>
        <v>0</v>
      </c>
      <c r="U482" s="25" t="str">
        <f>IF('PART III-DEMOGRAPHICS'!Q492="","",'PART III-DEMOGRAPHICS'!Q492)</f>
        <v/>
      </c>
    </row>
    <row r="483" spans="1:21" ht="33.6" customHeight="1">
      <c r="A483" s="25" t="str">
        <f>IF('PART III-DEMOGRAPHICS'!A493="","",'PART III-DEMOGRAPHICS'!A493)</f>
        <v/>
      </c>
      <c r="B483" s="28"/>
      <c r="C483" s="27"/>
      <c r="D483" s="28"/>
      <c r="E483" s="21"/>
      <c r="F483" s="36" t="str">
        <f t="shared" si="18"/>
        <v>Did Not</v>
      </c>
      <c r="G483" s="28"/>
      <c r="H483" s="28"/>
      <c r="I483" s="28"/>
      <c r="J483" s="28"/>
      <c r="K483" s="28"/>
      <c r="L483" s="28"/>
      <c r="M483" s="28"/>
      <c r="N483" s="21"/>
      <c r="O483" s="28"/>
      <c r="P483" s="37"/>
      <c r="Q483" s="21"/>
      <c r="R483" s="21"/>
      <c r="S483" s="47"/>
      <c r="T483" s="25">
        <f t="shared" si="17"/>
        <v>0</v>
      </c>
      <c r="U483" s="25" t="str">
        <f>IF('PART III-DEMOGRAPHICS'!Q493="","",'PART III-DEMOGRAPHICS'!Q493)</f>
        <v/>
      </c>
    </row>
    <row r="484" spans="1:21" ht="33.6" customHeight="1">
      <c r="A484" s="25" t="str">
        <f>IF('PART III-DEMOGRAPHICS'!A494="","",'PART III-DEMOGRAPHICS'!A494)</f>
        <v/>
      </c>
      <c r="B484" s="28"/>
      <c r="C484" s="27"/>
      <c r="D484" s="28"/>
      <c r="E484" s="21"/>
      <c r="F484" s="36" t="str">
        <f t="shared" si="18"/>
        <v>Did Not</v>
      </c>
      <c r="G484" s="28"/>
      <c r="H484" s="28"/>
      <c r="I484" s="28"/>
      <c r="J484" s="28"/>
      <c r="K484" s="28"/>
      <c r="L484" s="28"/>
      <c r="M484" s="28"/>
      <c r="N484" s="21"/>
      <c r="O484" s="28"/>
      <c r="P484" s="37"/>
      <c r="Q484" s="21"/>
      <c r="R484" s="21"/>
      <c r="S484" s="47"/>
      <c r="T484" s="25">
        <f t="shared" si="17"/>
        <v>0</v>
      </c>
      <c r="U484" s="25" t="str">
        <f>IF('PART III-DEMOGRAPHICS'!Q494="","",'PART III-DEMOGRAPHICS'!Q494)</f>
        <v/>
      </c>
    </row>
    <row r="485" spans="1:21" ht="33.6" customHeight="1">
      <c r="A485" s="25" t="str">
        <f>IF('PART III-DEMOGRAPHICS'!A495="","",'PART III-DEMOGRAPHICS'!A495)</f>
        <v/>
      </c>
      <c r="B485" s="28"/>
      <c r="C485" s="27"/>
      <c r="D485" s="28"/>
      <c r="E485" s="21"/>
      <c r="F485" s="36" t="str">
        <f t="shared" si="18"/>
        <v>Did Not</v>
      </c>
      <c r="G485" s="28"/>
      <c r="H485" s="28"/>
      <c r="I485" s="28"/>
      <c r="J485" s="28"/>
      <c r="K485" s="28"/>
      <c r="L485" s="28"/>
      <c r="M485" s="28"/>
      <c r="N485" s="21"/>
      <c r="O485" s="28"/>
      <c r="P485" s="37"/>
      <c r="Q485" s="21"/>
      <c r="R485" s="21"/>
      <c r="S485" s="47"/>
      <c r="T485" s="25">
        <f t="shared" si="17"/>
        <v>0</v>
      </c>
      <c r="U485" s="25" t="str">
        <f>IF('PART III-DEMOGRAPHICS'!Q495="","",'PART III-DEMOGRAPHICS'!Q495)</f>
        <v/>
      </c>
    </row>
    <row r="486" spans="1:21" ht="33.6" customHeight="1">
      <c r="A486" s="25" t="str">
        <f>IF('PART III-DEMOGRAPHICS'!A496="","",'PART III-DEMOGRAPHICS'!A496)</f>
        <v/>
      </c>
      <c r="B486" s="28"/>
      <c r="C486" s="27"/>
      <c r="D486" s="28"/>
      <c r="E486" s="21"/>
      <c r="F486" s="36" t="str">
        <f t="shared" si="18"/>
        <v>Did Not</v>
      </c>
      <c r="G486" s="28"/>
      <c r="H486" s="28"/>
      <c r="I486" s="28"/>
      <c r="J486" s="28"/>
      <c r="K486" s="28"/>
      <c r="L486" s="28"/>
      <c r="M486" s="28"/>
      <c r="N486" s="21"/>
      <c r="O486" s="28"/>
      <c r="P486" s="37"/>
      <c r="Q486" s="21"/>
      <c r="R486" s="21"/>
      <c r="S486" s="47"/>
      <c r="T486" s="25">
        <f t="shared" si="17"/>
        <v>0</v>
      </c>
      <c r="U486" s="25" t="str">
        <f>IF('PART III-DEMOGRAPHICS'!Q496="","",'PART III-DEMOGRAPHICS'!Q496)</f>
        <v/>
      </c>
    </row>
    <row r="487" spans="1:21" ht="33.6" customHeight="1">
      <c r="A487" s="25" t="str">
        <f>IF('PART III-DEMOGRAPHICS'!A497="","",'PART III-DEMOGRAPHICS'!A497)</f>
        <v/>
      </c>
      <c r="B487" s="28"/>
      <c r="C487" s="27"/>
      <c r="D487" s="28"/>
      <c r="E487" s="21"/>
      <c r="F487" s="36" t="str">
        <f t="shared" si="18"/>
        <v>Did Not</v>
      </c>
      <c r="G487" s="28"/>
      <c r="H487" s="28"/>
      <c r="I487" s="28"/>
      <c r="J487" s="28"/>
      <c r="K487" s="28"/>
      <c r="L487" s="28"/>
      <c r="M487" s="28"/>
      <c r="N487" s="21"/>
      <c r="O487" s="28"/>
      <c r="P487" s="37"/>
      <c r="Q487" s="21"/>
      <c r="R487" s="21"/>
      <c r="S487" s="47"/>
      <c r="T487" s="25">
        <f t="shared" si="17"/>
        <v>0</v>
      </c>
      <c r="U487" s="25" t="str">
        <f>IF('PART III-DEMOGRAPHICS'!Q497="","",'PART III-DEMOGRAPHICS'!Q497)</f>
        <v/>
      </c>
    </row>
    <row r="488" spans="1:21" ht="33.6" customHeight="1">
      <c r="A488" s="25" t="str">
        <f>IF('PART III-DEMOGRAPHICS'!A498="","",'PART III-DEMOGRAPHICS'!A498)</f>
        <v/>
      </c>
      <c r="B488" s="28"/>
      <c r="C488" s="27"/>
      <c r="D488" s="28"/>
      <c r="E488" s="21"/>
      <c r="F488" s="36" t="str">
        <f t="shared" si="18"/>
        <v>Did Not</v>
      </c>
      <c r="G488" s="28"/>
      <c r="H488" s="28"/>
      <c r="I488" s="28"/>
      <c r="J488" s="28"/>
      <c r="K488" s="28"/>
      <c r="L488" s="28"/>
      <c r="M488" s="28"/>
      <c r="N488" s="21"/>
      <c r="O488" s="28"/>
      <c r="P488" s="37"/>
      <c r="Q488" s="21"/>
      <c r="R488" s="21"/>
      <c r="S488" s="47"/>
      <c r="T488" s="25">
        <f t="shared" si="17"/>
        <v>0</v>
      </c>
      <c r="U488" s="25" t="str">
        <f>IF('PART III-DEMOGRAPHICS'!Q498="","",'PART III-DEMOGRAPHICS'!Q498)</f>
        <v/>
      </c>
    </row>
    <row r="489" spans="1:21" ht="33.6" customHeight="1">
      <c r="A489" s="25" t="str">
        <f>IF('PART III-DEMOGRAPHICS'!A499="","",'PART III-DEMOGRAPHICS'!A499)</f>
        <v/>
      </c>
      <c r="B489" s="28"/>
      <c r="C489" s="27"/>
      <c r="D489" s="28"/>
      <c r="E489" s="21"/>
      <c r="F489" s="36" t="str">
        <f t="shared" si="18"/>
        <v>Did Not</v>
      </c>
      <c r="G489" s="28"/>
      <c r="H489" s="28"/>
      <c r="I489" s="28"/>
      <c r="J489" s="28"/>
      <c r="K489" s="28"/>
      <c r="L489" s="28"/>
      <c r="M489" s="28"/>
      <c r="N489" s="21"/>
      <c r="O489" s="28"/>
      <c r="P489" s="37"/>
      <c r="Q489" s="21"/>
      <c r="R489" s="21"/>
      <c r="S489" s="47"/>
      <c r="T489" s="25">
        <f t="shared" si="17"/>
        <v>0</v>
      </c>
      <c r="U489" s="25" t="str">
        <f>IF('PART III-DEMOGRAPHICS'!Q499="","",'PART III-DEMOGRAPHICS'!Q499)</f>
        <v/>
      </c>
    </row>
    <row r="490" spans="1:21" ht="33.6" customHeight="1">
      <c r="A490" s="25" t="str">
        <f>IF('PART III-DEMOGRAPHICS'!A500="","",'PART III-DEMOGRAPHICS'!A500)</f>
        <v/>
      </c>
      <c r="B490" s="28"/>
      <c r="C490" s="27"/>
      <c r="D490" s="28"/>
      <c r="E490" s="21"/>
      <c r="F490" s="36" t="str">
        <f t="shared" si="18"/>
        <v>Did Not</v>
      </c>
      <c r="G490" s="28"/>
      <c r="H490" s="28"/>
      <c r="I490" s="28"/>
      <c r="J490" s="28"/>
      <c r="K490" s="28"/>
      <c r="L490" s="28"/>
      <c r="M490" s="28"/>
      <c r="N490" s="21"/>
      <c r="O490" s="28"/>
      <c r="P490" s="37"/>
      <c r="Q490" s="21"/>
      <c r="R490" s="21"/>
      <c r="S490" s="47"/>
      <c r="T490" s="25">
        <f t="shared" si="17"/>
        <v>0</v>
      </c>
      <c r="U490" s="25" t="str">
        <f>IF('PART III-DEMOGRAPHICS'!Q500="","",'PART III-DEMOGRAPHICS'!Q500)</f>
        <v/>
      </c>
    </row>
    <row r="491" spans="1:21" ht="33.6" customHeight="1">
      <c r="A491" s="25" t="str">
        <f>IF('PART III-DEMOGRAPHICS'!A501="","",'PART III-DEMOGRAPHICS'!A501)</f>
        <v/>
      </c>
      <c r="B491" s="28"/>
      <c r="C491" s="27"/>
      <c r="D491" s="28"/>
      <c r="E491" s="21"/>
      <c r="F491" s="36" t="str">
        <f t="shared" si="18"/>
        <v>Did Not</v>
      </c>
      <c r="G491" s="28"/>
      <c r="H491" s="28"/>
      <c r="I491" s="28"/>
      <c r="J491" s="28"/>
      <c r="K491" s="28"/>
      <c r="L491" s="28"/>
      <c r="M491" s="28"/>
      <c r="N491" s="21"/>
      <c r="O491" s="28"/>
      <c r="P491" s="37"/>
      <c r="Q491" s="21"/>
      <c r="R491" s="21"/>
      <c r="S491" s="47"/>
      <c r="T491" s="25">
        <f t="shared" si="17"/>
        <v>0</v>
      </c>
      <c r="U491" s="25" t="str">
        <f>IF('PART III-DEMOGRAPHICS'!Q501="","",'PART III-DEMOGRAPHICS'!Q501)</f>
        <v/>
      </c>
    </row>
    <row r="492" spans="1:21" ht="33.6" customHeight="1">
      <c r="A492" s="25" t="str">
        <f>IF('PART III-DEMOGRAPHICS'!A502="","",'PART III-DEMOGRAPHICS'!A502)</f>
        <v/>
      </c>
      <c r="B492" s="28"/>
      <c r="C492" s="27"/>
      <c r="D492" s="28"/>
      <c r="E492" s="21"/>
      <c r="F492" s="36" t="str">
        <f t="shared" si="18"/>
        <v>Did Not</v>
      </c>
      <c r="G492" s="28"/>
      <c r="H492" s="28"/>
      <c r="I492" s="28"/>
      <c r="J492" s="28"/>
      <c r="K492" s="28"/>
      <c r="L492" s="28"/>
      <c r="M492" s="28"/>
      <c r="N492" s="21"/>
      <c r="O492" s="28"/>
      <c r="P492" s="37"/>
      <c r="Q492" s="21"/>
      <c r="R492" s="21"/>
      <c r="S492" s="47"/>
      <c r="T492" s="25">
        <f t="shared" si="17"/>
        <v>0</v>
      </c>
      <c r="U492" s="25" t="str">
        <f>IF('PART III-DEMOGRAPHICS'!Q502="","",'PART III-DEMOGRAPHICS'!Q502)</f>
        <v/>
      </c>
    </row>
    <row r="493" spans="1:21" ht="33.6" customHeight="1">
      <c r="A493" s="25" t="str">
        <f>IF('PART III-DEMOGRAPHICS'!A503="","",'PART III-DEMOGRAPHICS'!A503)</f>
        <v/>
      </c>
      <c r="B493" s="28"/>
      <c r="C493" s="27"/>
      <c r="D493" s="28"/>
      <c r="E493" s="21"/>
      <c r="F493" s="36" t="str">
        <f t="shared" si="18"/>
        <v>Did Not</v>
      </c>
      <c r="G493" s="28"/>
      <c r="H493" s="28"/>
      <c r="I493" s="28"/>
      <c r="J493" s="28"/>
      <c r="K493" s="28"/>
      <c r="L493" s="28"/>
      <c r="M493" s="28"/>
      <c r="N493" s="21"/>
      <c r="O493" s="28"/>
      <c r="P493" s="37"/>
      <c r="Q493" s="21"/>
      <c r="R493" s="21"/>
      <c r="S493" s="47"/>
      <c r="T493" s="25">
        <f t="shared" si="17"/>
        <v>0</v>
      </c>
      <c r="U493" s="25" t="str">
        <f>IF('PART III-DEMOGRAPHICS'!Q503="","",'PART III-DEMOGRAPHICS'!Q503)</f>
        <v/>
      </c>
    </row>
    <row r="494" spans="1:21" ht="33.6" customHeight="1">
      <c r="A494" s="25" t="str">
        <f>IF('PART III-DEMOGRAPHICS'!A504="","",'PART III-DEMOGRAPHICS'!A504)</f>
        <v/>
      </c>
      <c r="B494" s="28"/>
      <c r="C494" s="27"/>
      <c r="D494" s="28"/>
      <c r="E494" s="21"/>
      <c r="F494" s="36" t="str">
        <f t="shared" si="18"/>
        <v>Did Not</v>
      </c>
      <c r="G494" s="28"/>
      <c r="H494" s="28"/>
      <c r="I494" s="28"/>
      <c r="J494" s="28"/>
      <c r="K494" s="28"/>
      <c r="L494" s="28"/>
      <c r="M494" s="28"/>
      <c r="N494" s="21"/>
      <c r="O494" s="28"/>
      <c r="P494" s="37"/>
      <c r="Q494" s="21"/>
      <c r="R494" s="21"/>
      <c r="S494" s="47"/>
      <c r="T494" s="25">
        <f t="shared" si="17"/>
        <v>0</v>
      </c>
      <c r="U494" s="25" t="str">
        <f>IF('PART III-DEMOGRAPHICS'!Q504="","",'PART III-DEMOGRAPHICS'!Q504)</f>
        <v/>
      </c>
    </row>
    <row r="495" spans="1:21" ht="33.6" customHeight="1">
      <c r="A495" s="25" t="str">
        <f>IF('PART III-DEMOGRAPHICS'!A505="","",'PART III-DEMOGRAPHICS'!A505)</f>
        <v/>
      </c>
      <c r="B495" s="28"/>
      <c r="C495" s="27"/>
      <c r="D495" s="28"/>
      <c r="E495" s="21"/>
      <c r="F495" s="36" t="str">
        <f t="shared" si="18"/>
        <v>Did Not</v>
      </c>
      <c r="G495" s="28"/>
      <c r="H495" s="28"/>
      <c r="I495" s="28"/>
      <c r="J495" s="28"/>
      <c r="K495" s="28"/>
      <c r="L495" s="28"/>
      <c r="M495" s="28"/>
      <c r="N495" s="21"/>
      <c r="O495" s="28"/>
      <c r="P495" s="37"/>
      <c r="Q495" s="21"/>
      <c r="R495" s="21"/>
      <c r="S495" s="47"/>
      <c r="T495" s="25">
        <f t="shared" si="17"/>
        <v>0</v>
      </c>
      <c r="U495" s="25" t="str">
        <f>IF('PART III-DEMOGRAPHICS'!Q505="","",'PART III-DEMOGRAPHICS'!Q505)</f>
        <v/>
      </c>
    </row>
    <row r="496" spans="1:21" ht="33.6" customHeight="1">
      <c r="A496" s="25" t="str">
        <f>IF('PART III-DEMOGRAPHICS'!A506="","",'PART III-DEMOGRAPHICS'!A506)</f>
        <v/>
      </c>
      <c r="B496" s="28"/>
      <c r="C496" s="27"/>
      <c r="D496" s="28"/>
      <c r="E496" s="21"/>
      <c r="F496" s="36" t="str">
        <f t="shared" si="18"/>
        <v>Did Not</v>
      </c>
      <c r="G496" s="28"/>
      <c r="H496" s="28"/>
      <c r="I496" s="28"/>
      <c r="J496" s="28"/>
      <c r="K496" s="28"/>
      <c r="L496" s="28"/>
      <c r="M496" s="28"/>
      <c r="N496" s="21"/>
      <c r="O496" s="28"/>
      <c r="P496" s="37"/>
      <c r="Q496" s="21"/>
      <c r="R496" s="21"/>
      <c r="S496" s="47"/>
      <c r="T496" s="25">
        <f t="shared" si="17"/>
        <v>0</v>
      </c>
      <c r="U496" s="25" t="str">
        <f>IF('PART III-DEMOGRAPHICS'!Q506="","",'PART III-DEMOGRAPHICS'!Q506)</f>
        <v/>
      </c>
    </row>
    <row r="497" spans="1:21" ht="33.6" customHeight="1">
      <c r="A497" s="25" t="str">
        <f>IF('PART III-DEMOGRAPHICS'!A507="","",'PART III-DEMOGRAPHICS'!A507)</f>
        <v/>
      </c>
      <c r="B497" s="28"/>
      <c r="C497" s="27"/>
      <c r="D497" s="28"/>
      <c r="E497" s="21"/>
      <c r="F497" s="36" t="str">
        <f t="shared" si="18"/>
        <v>Did Not</v>
      </c>
      <c r="G497" s="28"/>
      <c r="H497" s="28"/>
      <c r="I497" s="28"/>
      <c r="J497" s="28"/>
      <c r="K497" s="28"/>
      <c r="L497" s="28"/>
      <c r="M497" s="28"/>
      <c r="N497" s="21"/>
      <c r="O497" s="28"/>
      <c r="P497" s="37"/>
      <c r="Q497" s="21"/>
      <c r="R497" s="21"/>
      <c r="S497" s="47"/>
      <c r="T497" s="25">
        <f t="shared" si="17"/>
        <v>0</v>
      </c>
      <c r="U497" s="25" t="str">
        <f>IF('PART III-DEMOGRAPHICS'!Q507="","",'PART III-DEMOGRAPHICS'!Q507)</f>
        <v/>
      </c>
    </row>
    <row r="498" spans="1:21" ht="33.6" customHeight="1">
      <c r="A498" s="25" t="str">
        <f>IF('PART III-DEMOGRAPHICS'!A508="","",'PART III-DEMOGRAPHICS'!A508)</f>
        <v/>
      </c>
      <c r="B498" s="28"/>
      <c r="C498" s="27"/>
      <c r="D498" s="28"/>
      <c r="E498" s="21"/>
      <c r="F498" s="36" t="str">
        <f t="shared" si="18"/>
        <v>Did Not</v>
      </c>
      <c r="G498" s="28"/>
      <c r="H498" s="28"/>
      <c r="I498" s="28"/>
      <c r="J498" s="28"/>
      <c r="K498" s="28"/>
      <c r="L498" s="28"/>
      <c r="M498" s="28"/>
      <c r="N498" s="21"/>
      <c r="O498" s="28"/>
      <c r="P498" s="37"/>
      <c r="Q498" s="21"/>
      <c r="R498" s="21"/>
      <c r="S498" s="47"/>
      <c r="T498" s="25">
        <f t="shared" si="17"/>
        <v>0</v>
      </c>
      <c r="U498" s="25" t="str">
        <f>IF('PART III-DEMOGRAPHICS'!Q508="","",'PART III-DEMOGRAPHICS'!Q508)</f>
        <v/>
      </c>
    </row>
    <row r="499" spans="1:21" ht="33.6" customHeight="1">
      <c r="A499" s="25" t="str">
        <f>IF('PART III-DEMOGRAPHICS'!A509="","",'PART III-DEMOGRAPHICS'!A509)</f>
        <v/>
      </c>
      <c r="B499" s="28"/>
      <c r="C499" s="27"/>
      <c r="D499" s="28"/>
      <c r="E499" s="21"/>
      <c r="F499" s="36" t="str">
        <f t="shared" si="18"/>
        <v>Did Not</v>
      </c>
      <c r="G499" s="28"/>
      <c r="H499" s="28"/>
      <c r="I499" s="28"/>
      <c r="J499" s="28"/>
      <c r="K499" s="28"/>
      <c r="L499" s="28"/>
      <c r="M499" s="28"/>
      <c r="N499" s="21"/>
      <c r="O499" s="28"/>
      <c r="P499" s="37"/>
      <c r="Q499" s="21"/>
      <c r="R499" s="21"/>
      <c r="S499" s="47"/>
      <c r="T499" s="25">
        <f t="shared" si="17"/>
        <v>0</v>
      </c>
      <c r="U499" s="25" t="str">
        <f>IF('PART III-DEMOGRAPHICS'!Q509="","",'PART III-DEMOGRAPHICS'!Q509)</f>
        <v/>
      </c>
    </row>
    <row r="500" spans="1:21" ht="33.6" customHeight="1">
      <c r="A500" s="25" t="str">
        <f>IF('PART III-DEMOGRAPHICS'!A510="","",'PART III-DEMOGRAPHICS'!A510)</f>
        <v/>
      </c>
      <c r="B500" s="28"/>
      <c r="C500" s="27"/>
      <c r="D500" s="28"/>
      <c r="E500" s="21"/>
      <c r="F500" s="36" t="str">
        <f t="shared" si="18"/>
        <v>Did Not</v>
      </c>
      <c r="G500" s="28"/>
      <c r="H500" s="28"/>
      <c r="I500" s="28"/>
      <c r="J500" s="28"/>
      <c r="K500" s="28"/>
      <c r="L500" s="28"/>
      <c r="M500" s="28"/>
      <c r="N500" s="21"/>
      <c r="O500" s="28"/>
      <c r="P500" s="37"/>
      <c r="Q500" s="21"/>
      <c r="R500" s="21"/>
      <c r="S500" s="47"/>
      <c r="T500" s="25">
        <f t="shared" si="17"/>
        <v>0</v>
      </c>
      <c r="U500" s="25" t="str">
        <f>IF('PART III-DEMOGRAPHICS'!Q510="","",'PART III-DEMOGRAPHICS'!Q510)</f>
        <v/>
      </c>
    </row>
    <row r="501" spans="1:21" ht="33.6" customHeight="1">
      <c r="A501" s="25" t="str">
        <f>IF('PART III-DEMOGRAPHICS'!A511="","",'PART III-DEMOGRAPHICS'!A511)</f>
        <v/>
      </c>
      <c r="B501" s="28"/>
      <c r="C501" s="27"/>
      <c r="D501" s="28"/>
      <c r="E501" s="21"/>
      <c r="F501" s="36" t="str">
        <f t="shared" si="18"/>
        <v>Did Not</v>
      </c>
      <c r="G501" s="28"/>
      <c r="H501" s="28"/>
      <c r="I501" s="28"/>
      <c r="J501" s="28"/>
      <c r="K501" s="28"/>
      <c r="L501" s="28"/>
      <c r="M501" s="28"/>
      <c r="N501" s="21"/>
      <c r="O501" s="28"/>
      <c r="P501" s="37"/>
      <c r="Q501" s="21"/>
      <c r="R501" s="21"/>
      <c r="S501" s="47"/>
      <c r="T501" s="25">
        <f t="shared" si="17"/>
        <v>0</v>
      </c>
      <c r="U501" s="25" t="str">
        <f>IF('PART III-DEMOGRAPHICS'!Q511="","",'PART III-DEMOGRAPHICS'!Q511)</f>
        <v/>
      </c>
    </row>
    <row r="502" spans="1:21" ht="33.6" customHeight="1">
      <c r="A502" s="25" t="str">
        <f>IF('PART III-DEMOGRAPHICS'!A512="","",'PART III-DEMOGRAPHICS'!A512)</f>
        <v/>
      </c>
      <c r="B502" s="28"/>
      <c r="C502" s="27"/>
      <c r="D502" s="28"/>
      <c r="E502" s="21"/>
      <c r="F502" s="36" t="str">
        <f t="shared" si="18"/>
        <v>Did Not</v>
      </c>
      <c r="G502" s="28"/>
      <c r="H502" s="28"/>
      <c r="I502" s="28"/>
      <c r="J502" s="28"/>
      <c r="K502" s="28"/>
      <c r="L502" s="28"/>
      <c r="M502" s="28"/>
      <c r="N502" s="21"/>
      <c r="O502" s="28"/>
      <c r="P502" s="37"/>
      <c r="Q502" s="21"/>
      <c r="R502" s="21"/>
      <c r="S502" s="47"/>
      <c r="T502" s="25">
        <f t="shared" si="17"/>
        <v>0</v>
      </c>
      <c r="U502" s="25" t="str">
        <f>IF('PART III-DEMOGRAPHICS'!Q512="","",'PART III-DEMOGRAPHICS'!Q512)</f>
        <v/>
      </c>
    </row>
    <row r="503" spans="1:21" ht="33.6" customHeight="1">
      <c r="A503" s="25" t="str">
        <f>IF('PART III-DEMOGRAPHICS'!A513="","",'PART III-DEMOGRAPHICS'!A513)</f>
        <v/>
      </c>
      <c r="B503" s="28"/>
      <c r="C503" s="27"/>
      <c r="D503" s="28"/>
      <c r="E503" s="21"/>
      <c r="F503" s="36" t="str">
        <f t="shared" si="18"/>
        <v>Did Not</v>
      </c>
      <c r="G503" s="28"/>
      <c r="H503" s="28"/>
      <c r="I503" s="28"/>
      <c r="J503" s="28"/>
      <c r="K503" s="28"/>
      <c r="L503" s="28"/>
      <c r="M503" s="28"/>
      <c r="N503" s="21"/>
      <c r="O503" s="28"/>
      <c r="P503" s="37"/>
      <c r="Q503" s="21"/>
      <c r="R503" s="21"/>
      <c r="S503" s="47"/>
      <c r="T503" s="25">
        <f t="shared" si="17"/>
        <v>0</v>
      </c>
      <c r="U503" s="25" t="str">
        <f>IF('PART III-DEMOGRAPHICS'!Q513="","",'PART III-DEMOGRAPHICS'!Q513)</f>
        <v/>
      </c>
    </row>
    <row r="504" spans="1:21" ht="33.6" customHeight="1">
      <c r="A504" s="25" t="str">
        <f>IF('PART III-DEMOGRAPHICS'!A514="","",'PART III-DEMOGRAPHICS'!A514)</f>
        <v/>
      </c>
      <c r="B504" s="28"/>
      <c r="C504" s="27"/>
      <c r="D504" s="28"/>
      <c r="E504" s="21"/>
      <c r="F504" s="36" t="str">
        <f t="shared" si="18"/>
        <v>Did Not</v>
      </c>
      <c r="G504" s="28"/>
      <c r="H504" s="28"/>
      <c r="I504" s="28"/>
      <c r="J504" s="28"/>
      <c r="K504" s="28"/>
      <c r="L504" s="28"/>
      <c r="M504" s="28"/>
      <c r="N504" s="21"/>
      <c r="O504" s="28"/>
      <c r="P504" s="37"/>
      <c r="Q504" s="21"/>
      <c r="R504" s="21"/>
      <c r="S504" s="47"/>
      <c r="T504" s="25">
        <f t="shared" si="17"/>
        <v>0</v>
      </c>
      <c r="U504" s="25" t="str">
        <f>IF('PART III-DEMOGRAPHICS'!Q514="","",'PART III-DEMOGRAPHICS'!Q514)</f>
        <v/>
      </c>
    </row>
    <row r="505" spans="1:21" ht="33.6" customHeight="1">
      <c r="A505" s="25" t="str">
        <f>IF('PART III-DEMOGRAPHICS'!A515="","",'PART III-DEMOGRAPHICS'!A515)</f>
        <v/>
      </c>
      <c r="B505" s="28"/>
      <c r="C505" s="27"/>
      <c r="D505" s="28"/>
      <c r="E505" s="21"/>
      <c r="F505" s="36" t="str">
        <f t="shared" si="18"/>
        <v>Did Not</v>
      </c>
      <c r="G505" s="28"/>
      <c r="H505" s="28"/>
      <c r="I505" s="28"/>
      <c r="J505" s="28"/>
      <c r="K505" s="28"/>
      <c r="L505" s="28"/>
      <c r="M505" s="28"/>
      <c r="N505" s="21"/>
      <c r="O505" s="28"/>
      <c r="P505" s="37"/>
      <c r="Q505" s="21"/>
      <c r="R505" s="21"/>
      <c r="S505" s="47"/>
      <c r="T505" s="25">
        <f t="shared" si="17"/>
        <v>0</v>
      </c>
      <c r="U505" s="25" t="str">
        <f>IF('PART III-DEMOGRAPHICS'!Q515="","",'PART III-DEMOGRAPHICS'!Q515)</f>
        <v/>
      </c>
    </row>
    <row r="506" spans="1:21" ht="33.6" customHeight="1">
      <c r="A506" s="25" t="str">
        <f>IF('PART III-DEMOGRAPHICS'!A516="","",'PART III-DEMOGRAPHICS'!A516)</f>
        <v/>
      </c>
      <c r="B506" s="28"/>
      <c r="C506" s="27"/>
      <c r="D506" s="28"/>
      <c r="E506" s="21"/>
      <c r="F506" s="36" t="str">
        <f t="shared" si="18"/>
        <v>Did Not</v>
      </c>
      <c r="G506" s="28"/>
      <c r="H506" s="28"/>
      <c r="I506" s="28"/>
      <c r="J506" s="28"/>
      <c r="K506" s="28"/>
      <c r="L506" s="28"/>
      <c r="M506" s="28"/>
      <c r="N506" s="21"/>
      <c r="O506" s="28"/>
      <c r="P506" s="37"/>
      <c r="Q506" s="21"/>
      <c r="R506" s="21"/>
      <c r="S506" s="47"/>
      <c r="T506" s="25">
        <f t="shared" si="17"/>
        <v>0</v>
      </c>
      <c r="U506" s="25" t="str">
        <f>IF('PART III-DEMOGRAPHICS'!Q516="","",'PART III-DEMOGRAPHICS'!Q516)</f>
        <v/>
      </c>
    </row>
    <row r="507" spans="1:21" ht="33.6" customHeight="1">
      <c r="A507" s="25" t="str">
        <f>IF('PART III-DEMOGRAPHICS'!A517="","",'PART III-DEMOGRAPHICS'!A517)</f>
        <v/>
      </c>
      <c r="B507" s="28"/>
      <c r="C507" s="27"/>
      <c r="D507" s="28"/>
      <c r="E507" s="21"/>
      <c r="F507" s="36" t="str">
        <f t="shared" si="18"/>
        <v>Did Not</v>
      </c>
      <c r="G507" s="28"/>
      <c r="H507" s="28"/>
      <c r="I507" s="28"/>
      <c r="J507" s="28"/>
      <c r="K507" s="28"/>
      <c r="L507" s="28"/>
      <c r="M507" s="28"/>
      <c r="N507" s="21"/>
      <c r="O507" s="28"/>
      <c r="P507" s="37"/>
      <c r="Q507" s="21"/>
      <c r="R507" s="21"/>
      <c r="S507" s="47"/>
      <c r="T507" s="25">
        <f t="shared" si="17"/>
        <v>0</v>
      </c>
      <c r="U507" s="25" t="str">
        <f>IF('PART III-DEMOGRAPHICS'!Q517="","",'PART III-DEMOGRAPHICS'!Q517)</f>
        <v/>
      </c>
    </row>
    <row r="508" spans="1:21" ht="33.6" customHeight="1">
      <c r="A508" s="25" t="str">
        <f>IF('PART III-DEMOGRAPHICS'!A518="","",'PART III-DEMOGRAPHICS'!A518)</f>
        <v/>
      </c>
      <c r="B508" s="28"/>
      <c r="C508" s="27"/>
      <c r="D508" s="28"/>
      <c r="E508" s="21"/>
      <c r="F508" s="36" t="str">
        <f t="shared" si="18"/>
        <v>Did Not</v>
      </c>
      <c r="G508" s="28"/>
      <c r="H508" s="28"/>
      <c r="I508" s="28"/>
      <c r="J508" s="28"/>
      <c r="K508" s="28"/>
      <c r="L508" s="28"/>
      <c r="M508" s="28"/>
      <c r="N508" s="21"/>
      <c r="O508" s="28"/>
      <c r="P508" s="37"/>
      <c r="Q508" s="21"/>
      <c r="R508" s="21"/>
      <c r="S508" s="47"/>
      <c r="T508" s="25">
        <f t="shared" si="17"/>
        <v>0</v>
      </c>
      <c r="U508" s="25" t="str">
        <f>IF('PART III-DEMOGRAPHICS'!Q518="","",'PART III-DEMOGRAPHICS'!Q518)</f>
        <v/>
      </c>
    </row>
    <row r="509" spans="1:21" ht="33.6" customHeight="1">
      <c r="A509" s="25" t="str">
        <f>IF('PART III-DEMOGRAPHICS'!A519="","",'PART III-DEMOGRAPHICS'!A519)</f>
        <v/>
      </c>
      <c r="B509" s="28"/>
      <c r="C509" s="27"/>
      <c r="D509" s="28"/>
      <c r="E509" s="21"/>
      <c r="F509" s="36" t="str">
        <f t="shared" si="18"/>
        <v>Did Not</v>
      </c>
      <c r="G509" s="28"/>
      <c r="H509" s="28"/>
      <c r="I509" s="28"/>
      <c r="J509" s="28"/>
      <c r="K509" s="28"/>
      <c r="L509" s="28"/>
      <c r="M509" s="28"/>
      <c r="N509" s="21"/>
      <c r="O509" s="28"/>
      <c r="P509" s="37"/>
      <c r="Q509" s="21"/>
      <c r="R509" s="21"/>
      <c r="S509" s="47"/>
      <c r="T509" s="25">
        <f t="shared" si="17"/>
        <v>0</v>
      </c>
      <c r="U509" s="25" t="str">
        <f>IF('PART III-DEMOGRAPHICS'!Q519="","",'PART III-DEMOGRAPHICS'!Q519)</f>
        <v/>
      </c>
    </row>
    <row r="510" spans="1:21" ht="33.6" customHeight="1">
      <c r="A510" s="25" t="str">
        <f>IF('PART III-DEMOGRAPHICS'!A520="","",'PART III-DEMOGRAPHICS'!A520)</f>
        <v/>
      </c>
      <c r="B510" s="28"/>
      <c r="C510" s="27"/>
      <c r="D510" s="28"/>
      <c r="E510" s="21"/>
      <c r="F510" s="36" t="str">
        <f t="shared" si="18"/>
        <v>Did Not</v>
      </c>
      <c r="G510" s="28"/>
      <c r="H510" s="28"/>
      <c r="I510" s="28"/>
      <c r="J510" s="28"/>
      <c r="K510" s="28"/>
      <c r="L510" s="28"/>
      <c r="M510" s="28"/>
      <c r="N510" s="21"/>
      <c r="O510" s="28"/>
      <c r="P510" s="37"/>
      <c r="Q510" s="21"/>
      <c r="R510" s="21"/>
      <c r="S510" s="47"/>
      <c r="T510" s="25">
        <f t="shared" si="17"/>
        <v>0</v>
      </c>
      <c r="U510" s="25" t="str">
        <f>IF('PART III-DEMOGRAPHICS'!Q520="","",'PART III-DEMOGRAPHICS'!Q520)</f>
        <v/>
      </c>
    </row>
    <row r="511" spans="1:21" ht="33.6" customHeight="1">
      <c r="A511" s="25" t="str">
        <f>IF('PART III-DEMOGRAPHICS'!A521="","",'PART III-DEMOGRAPHICS'!A521)</f>
        <v/>
      </c>
      <c r="B511" s="28"/>
      <c r="C511" s="27"/>
      <c r="D511" s="28"/>
      <c r="E511" s="21"/>
      <c r="F511" s="36" t="str">
        <f t="shared" si="18"/>
        <v>Did Not</v>
      </c>
      <c r="G511" s="28"/>
      <c r="H511" s="28"/>
      <c r="I511" s="28"/>
      <c r="J511" s="28"/>
      <c r="K511" s="28"/>
      <c r="L511" s="28"/>
      <c r="M511" s="28"/>
      <c r="N511" s="21"/>
      <c r="O511" s="28"/>
      <c r="P511" s="37"/>
      <c r="Q511" s="21"/>
      <c r="R511" s="21"/>
      <c r="S511" s="47"/>
      <c r="T511" s="25">
        <f t="shared" si="17"/>
        <v>0</v>
      </c>
      <c r="U511" s="25" t="str">
        <f>IF('PART III-DEMOGRAPHICS'!Q521="","",'PART III-DEMOGRAPHICS'!Q521)</f>
        <v/>
      </c>
    </row>
    <row r="512" spans="1:21" ht="33.6" customHeight="1">
      <c r="A512" s="25" t="str">
        <f>IF('PART III-DEMOGRAPHICS'!A522="","",'PART III-DEMOGRAPHICS'!A522)</f>
        <v/>
      </c>
      <c r="B512" s="28"/>
      <c r="C512" s="27"/>
      <c r="D512" s="28"/>
      <c r="E512" s="21"/>
      <c r="F512" s="36" t="str">
        <f t="shared" si="18"/>
        <v>Did Not</v>
      </c>
      <c r="G512" s="28"/>
      <c r="H512" s="28"/>
      <c r="I512" s="28"/>
      <c r="J512" s="28"/>
      <c r="K512" s="28"/>
      <c r="L512" s="28"/>
      <c r="M512" s="28"/>
      <c r="N512" s="21"/>
      <c r="O512" s="28"/>
      <c r="P512" s="37"/>
      <c r="Q512" s="21"/>
      <c r="R512" s="21"/>
      <c r="S512" s="47"/>
      <c r="T512" s="25">
        <f t="shared" si="17"/>
        <v>0</v>
      </c>
      <c r="U512" s="25" t="str">
        <f>IF('PART III-DEMOGRAPHICS'!Q522="","",'PART III-DEMOGRAPHICS'!Q522)</f>
        <v/>
      </c>
    </row>
    <row r="513" spans="1:21" ht="33.6" customHeight="1">
      <c r="A513" s="25" t="str">
        <f>IF('PART III-DEMOGRAPHICS'!A523="","",'PART III-DEMOGRAPHICS'!A523)</f>
        <v/>
      </c>
      <c r="B513" s="28"/>
      <c r="C513" s="27"/>
      <c r="D513" s="28"/>
      <c r="E513" s="21"/>
      <c r="F513" s="36" t="str">
        <f t="shared" si="18"/>
        <v>Did Not</v>
      </c>
      <c r="G513" s="28"/>
      <c r="H513" s="28"/>
      <c r="I513" s="28"/>
      <c r="J513" s="28"/>
      <c r="K513" s="28"/>
      <c r="L513" s="28"/>
      <c r="M513" s="28"/>
      <c r="N513" s="21"/>
      <c r="O513" s="28"/>
      <c r="P513" s="37"/>
      <c r="Q513" s="21"/>
      <c r="R513" s="21"/>
      <c r="S513" s="47"/>
      <c r="T513" s="25">
        <f t="shared" si="17"/>
        <v>0</v>
      </c>
      <c r="U513" s="25" t="str">
        <f>IF('PART III-DEMOGRAPHICS'!Q523="","",'PART III-DEMOGRAPHICS'!Q523)</f>
        <v/>
      </c>
    </row>
    <row r="514" spans="1:21" ht="33.6" customHeight="1">
      <c r="A514" s="25" t="str">
        <f>IF('PART III-DEMOGRAPHICS'!A524="","",'PART III-DEMOGRAPHICS'!A524)</f>
        <v/>
      </c>
      <c r="B514" s="28"/>
      <c r="C514" s="27"/>
      <c r="D514" s="28"/>
      <c r="E514" s="21"/>
      <c r="F514" s="36" t="str">
        <f t="shared" si="18"/>
        <v>Did Not</v>
      </c>
      <c r="G514" s="28"/>
      <c r="H514" s="28"/>
      <c r="I514" s="28"/>
      <c r="J514" s="28"/>
      <c r="K514" s="28"/>
      <c r="L514" s="28"/>
      <c r="M514" s="28"/>
      <c r="N514" s="21"/>
      <c r="O514" s="28"/>
      <c r="P514" s="37"/>
      <c r="Q514" s="21"/>
      <c r="R514" s="21"/>
      <c r="S514" s="47"/>
      <c r="T514" s="25">
        <f t="shared" si="17"/>
        <v>0</v>
      </c>
      <c r="U514" s="25" t="str">
        <f>IF('PART III-DEMOGRAPHICS'!Q524="","",'PART III-DEMOGRAPHICS'!Q524)</f>
        <v/>
      </c>
    </row>
    <row r="515" spans="1:21" ht="33.6" customHeight="1">
      <c r="A515" s="25" t="str">
        <f>IF('PART III-DEMOGRAPHICS'!A525="","",'PART III-DEMOGRAPHICS'!A525)</f>
        <v/>
      </c>
      <c r="B515" s="28"/>
      <c r="C515" s="27"/>
      <c r="D515" s="28"/>
      <c r="E515" s="21"/>
      <c r="F515" s="36" t="str">
        <f t="shared" si="18"/>
        <v>Did Not</v>
      </c>
      <c r="G515" s="28"/>
      <c r="H515" s="28"/>
      <c r="I515" s="28"/>
      <c r="J515" s="28"/>
      <c r="K515" s="28"/>
      <c r="L515" s="28"/>
      <c r="M515" s="28"/>
      <c r="N515" s="21"/>
      <c r="O515" s="28"/>
      <c r="P515" s="37"/>
      <c r="Q515" s="21"/>
      <c r="R515" s="21"/>
      <c r="S515" s="47"/>
      <c r="T515" s="25">
        <f t="shared" si="17"/>
        <v>0</v>
      </c>
      <c r="U515" s="25" t="str">
        <f>IF('PART III-DEMOGRAPHICS'!Q525="","",'PART III-DEMOGRAPHICS'!Q525)</f>
        <v/>
      </c>
    </row>
    <row r="516" spans="1:21" ht="33.6" customHeight="1">
      <c r="A516" s="25" t="str">
        <f>IF('PART III-DEMOGRAPHICS'!A526="","",'PART III-DEMOGRAPHICS'!A526)</f>
        <v/>
      </c>
      <c r="B516" s="28"/>
      <c r="C516" s="27"/>
      <c r="D516" s="28"/>
      <c r="E516" s="21"/>
      <c r="F516" s="36" t="str">
        <f t="shared" si="18"/>
        <v>Did Not</v>
      </c>
      <c r="G516" s="28"/>
      <c r="H516" s="28"/>
      <c r="I516" s="28"/>
      <c r="J516" s="28"/>
      <c r="K516" s="28"/>
      <c r="L516" s="28"/>
      <c r="M516" s="28"/>
      <c r="N516" s="21"/>
      <c r="O516" s="28"/>
      <c r="P516" s="37"/>
      <c r="Q516" s="21"/>
      <c r="R516" s="21"/>
      <c r="S516" s="47"/>
      <c r="T516" s="25">
        <f t="shared" si="17"/>
        <v>0</v>
      </c>
      <c r="U516" s="25" t="str">
        <f>IF('PART III-DEMOGRAPHICS'!Q526="","",'PART III-DEMOGRAPHICS'!Q526)</f>
        <v/>
      </c>
    </row>
    <row r="517" spans="1:21" ht="33.6" customHeight="1">
      <c r="A517" s="25" t="str">
        <f>IF('PART III-DEMOGRAPHICS'!A527="","",'PART III-DEMOGRAPHICS'!A527)</f>
        <v/>
      </c>
      <c r="B517" s="28"/>
      <c r="C517" s="27"/>
      <c r="D517" s="28"/>
      <c r="E517" s="21"/>
      <c r="F517" s="36" t="str">
        <f t="shared" si="18"/>
        <v>Did Not</v>
      </c>
      <c r="G517" s="28"/>
      <c r="H517" s="28"/>
      <c r="I517" s="28"/>
      <c r="J517" s="28"/>
      <c r="K517" s="28"/>
      <c r="L517" s="28"/>
      <c r="M517" s="28"/>
      <c r="N517" s="21"/>
      <c r="O517" s="28"/>
      <c r="P517" s="37"/>
      <c r="Q517" s="21"/>
      <c r="R517" s="21"/>
      <c r="S517" s="47"/>
      <c r="T517" s="25">
        <f t="shared" si="17"/>
        <v>0</v>
      </c>
      <c r="U517" s="25" t="str">
        <f>IF('PART III-DEMOGRAPHICS'!Q527="","",'PART III-DEMOGRAPHICS'!Q527)</f>
        <v/>
      </c>
    </row>
    <row r="518" spans="1:21" ht="33.6" customHeight="1">
      <c r="A518" s="25" t="str">
        <f>IF('PART III-DEMOGRAPHICS'!A528="","",'PART III-DEMOGRAPHICS'!A528)</f>
        <v/>
      </c>
      <c r="B518" s="28"/>
      <c r="C518" s="27"/>
      <c r="D518" s="28"/>
      <c r="E518" s="21"/>
      <c r="F518" s="36" t="str">
        <f t="shared" si="18"/>
        <v>Did Not</v>
      </c>
      <c r="G518" s="28"/>
      <c r="H518" s="28"/>
      <c r="I518" s="28"/>
      <c r="J518" s="28"/>
      <c r="K518" s="28"/>
      <c r="L518" s="28"/>
      <c r="M518" s="28"/>
      <c r="N518" s="21"/>
      <c r="O518" s="28"/>
      <c r="P518" s="37"/>
      <c r="Q518" s="21"/>
      <c r="R518" s="21"/>
      <c r="S518" s="47"/>
      <c r="T518" s="25">
        <f t="shared" si="17"/>
        <v>0</v>
      </c>
      <c r="U518" s="25" t="str">
        <f>IF('PART III-DEMOGRAPHICS'!Q528="","",'PART III-DEMOGRAPHICS'!Q528)</f>
        <v/>
      </c>
    </row>
    <row r="519" spans="1:21" ht="33.6" customHeight="1">
      <c r="A519" s="25" t="str">
        <f>IF('PART III-DEMOGRAPHICS'!A529="","",'PART III-DEMOGRAPHICS'!A529)</f>
        <v/>
      </c>
      <c r="B519" s="28"/>
      <c r="C519" s="27"/>
      <c r="D519" s="28"/>
      <c r="E519" s="21"/>
      <c r="F519" s="36" t="str">
        <f t="shared" si="18"/>
        <v>Did Not</v>
      </c>
      <c r="G519" s="28"/>
      <c r="H519" s="28"/>
      <c r="I519" s="28"/>
      <c r="J519" s="28"/>
      <c r="K519" s="28"/>
      <c r="L519" s="28"/>
      <c r="M519" s="28"/>
      <c r="N519" s="21"/>
      <c r="O519" s="28"/>
      <c r="P519" s="37"/>
      <c r="Q519" s="21"/>
      <c r="R519" s="21"/>
      <c r="S519" s="47"/>
      <c r="T519" s="25">
        <f t="shared" ref="T519:T582" si="19">COUNTIF(A519:R519,"Yes")</f>
        <v>0</v>
      </c>
      <c r="U519" s="25" t="str">
        <f>IF('PART III-DEMOGRAPHICS'!Q529="","",'PART III-DEMOGRAPHICS'!Q529)</f>
        <v/>
      </c>
    </row>
    <row r="520" spans="1:21" ht="33.6" customHeight="1">
      <c r="A520" s="25" t="str">
        <f>IF('PART III-DEMOGRAPHICS'!A530="","",'PART III-DEMOGRAPHICS'!A530)</f>
        <v/>
      </c>
      <c r="B520" s="28"/>
      <c r="C520" s="27"/>
      <c r="D520" s="28"/>
      <c r="E520" s="21"/>
      <c r="F520" s="36" t="str">
        <f t="shared" si="18"/>
        <v>Did Not</v>
      </c>
      <c r="G520" s="28"/>
      <c r="H520" s="28"/>
      <c r="I520" s="28"/>
      <c r="J520" s="28"/>
      <c r="K520" s="28"/>
      <c r="L520" s="28"/>
      <c r="M520" s="28"/>
      <c r="N520" s="21"/>
      <c r="O520" s="28"/>
      <c r="P520" s="37"/>
      <c r="Q520" s="21"/>
      <c r="R520" s="21"/>
      <c r="S520" s="47"/>
      <c r="T520" s="25">
        <f t="shared" si="19"/>
        <v>0</v>
      </c>
      <c r="U520" s="25" t="str">
        <f>IF('PART III-DEMOGRAPHICS'!Q530="","",'PART III-DEMOGRAPHICS'!Q530)</f>
        <v/>
      </c>
    </row>
    <row r="521" spans="1:21">
      <c r="A521" s="25" t="str">
        <f>IF('PART III-DEMOGRAPHICS'!A531="","",'PART III-DEMOGRAPHICS'!A531)</f>
        <v/>
      </c>
      <c r="B521" s="28"/>
      <c r="C521" s="27"/>
      <c r="D521" s="28"/>
      <c r="E521" s="21"/>
      <c r="F521" s="36" t="str">
        <f t="shared" si="18"/>
        <v>Did Not</v>
      </c>
      <c r="G521" s="28"/>
      <c r="H521" s="28"/>
      <c r="I521" s="28"/>
      <c r="J521" s="28"/>
      <c r="K521" s="28"/>
      <c r="L521" s="28"/>
      <c r="M521" s="28"/>
      <c r="N521" s="21"/>
      <c r="O521" s="28"/>
      <c r="P521" s="37"/>
      <c r="Q521" s="21"/>
      <c r="R521" s="21"/>
      <c r="S521" s="47"/>
      <c r="T521" s="25">
        <f t="shared" si="19"/>
        <v>0</v>
      </c>
      <c r="U521" s="25" t="str">
        <f>IF('PART III-DEMOGRAPHICS'!Q531="","",'PART III-DEMOGRAPHICS'!Q531)</f>
        <v/>
      </c>
    </row>
    <row r="522" spans="1:21">
      <c r="A522" s="25" t="str">
        <f>IF('PART III-DEMOGRAPHICS'!A532="","",'PART III-DEMOGRAPHICS'!A532)</f>
        <v/>
      </c>
      <c r="B522" s="28"/>
      <c r="C522" s="27"/>
      <c r="D522" s="28"/>
      <c r="E522" s="21"/>
      <c r="F522" s="36" t="str">
        <f t="shared" si="18"/>
        <v>Did Not</v>
      </c>
      <c r="G522" s="28"/>
      <c r="H522" s="28"/>
      <c r="I522" s="28"/>
      <c r="J522" s="28"/>
      <c r="K522" s="28"/>
      <c r="L522" s="28"/>
      <c r="M522" s="28"/>
      <c r="N522" s="21"/>
      <c r="O522" s="28"/>
      <c r="P522" s="37"/>
      <c r="Q522" s="21"/>
      <c r="R522" s="21"/>
      <c r="S522" s="47"/>
      <c r="T522" s="25">
        <f t="shared" si="19"/>
        <v>0</v>
      </c>
      <c r="U522" s="25" t="str">
        <f>IF('PART III-DEMOGRAPHICS'!Q532="","",'PART III-DEMOGRAPHICS'!Q532)</f>
        <v/>
      </c>
    </row>
    <row r="523" spans="1:21">
      <c r="A523" s="25" t="str">
        <f>IF('PART III-DEMOGRAPHICS'!A533="","",'PART III-DEMOGRAPHICS'!A533)</f>
        <v/>
      </c>
      <c r="B523" s="28"/>
      <c r="C523" s="27"/>
      <c r="D523" s="28"/>
      <c r="E523" s="21"/>
      <c r="F523" s="36" t="str">
        <f t="shared" si="18"/>
        <v>Did Not</v>
      </c>
      <c r="G523" s="28"/>
      <c r="H523" s="28"/>
      <c r="I523" s="28"/>
      <c r="J523" s="28"/>
      <c r="K523" s="28"/>
      <c r="L523" s="28"/>
      <c r="M523" s="28"/>
      <c r="N523" s="21"/>
      <c r="O523" s="28"/>
      <c r="P523" s="37"/>
      <c r="Q523" s="21"/>
      <c r="R523" s="21"/>
      <c r="S523" s="47"/>
      <c r="T523" s="25">
        <f t="shared" si="19"/>
        <v>0</v>
      </c>
      <c r="U523" s="25" t="str">
        <f>IF('PART III-DEMOGRAPHICS'!Q533="","",'PART III-DEMOGRAPHICS'!Q533)</f>
        <v/>
      </c>
    </row>
    <row r="524" spans="1:21">
      <c r="A524" s="25" t="str">
        <f>IF('PART III-DEMOGRAPHICS'!A534="","",'PART III-DEMOGRAPHICS'!A534)</f>
        <v/>
      </c>
      <c r="B524" s="28"/>
      <c r="C524" s="27"/>
      <c r="D524" s="28"/>
      <c r="E524" s="21"/>
      <c r="F524" s="36" t="str">
        <f t="shared" si="18"/>
        <v>Did Not</v>
      </c>
      <c r="G524" s="28"/>
      <c r="H524" s="28"/>
      <c r="I524" s="28"/>
      <c r="J524" s="28"/>
      <c r="K524" s="28"/>
      <c r="L524" s="28"/>
      <c r="M524" s="28"/>
      <c r="N524" s="21"/>
      <c r="O524" s="28"/>
      <c r="P524" s="37"/>
      <c r="Q524" s="21"/>
      <c r="R524" s="21"/>
      <c r="S524" s="47"/>
      <c r="T524" s="25">
        <f t="shared" si="19"/>
        <v>0</v>
      </c>
      <c r="U524" s="25" t="str">
        <f>IF('PART III-DEMOGRAPHICS'!Q534="","",'PART III-DEMOGRAPHICS'!Q534)</f>
        <v/>
      </c>
    </row>
    <row r="525" spans="1:21">
      <c r="A525" s="25" t="str">
        <f>IF('PART III-DEMOGRAPHICS'!A535="","",'PART III-DEMOGRAPHICS'!A535)</f>
        <v/>
      </c>
      <c r="B525" s="28"/>
      <c r="C525" s="27"/>
      <c r="D525" s="28"/>
      <c r="E525" s="21"/>
      <c r="F525" s="36" t="str">
        <f t="shared" si="18"/>
        <v>Did Not</v>
      </c>
      <c r="G525" s="28"/>
      <c r="H525" s="28"/>
      <c r="I525" s="28"/>
      <c r="J525" s="28"/>
      <c r="K525" s="28"/>
      <c r="L525" s="28"/>
      <c r="M525" s="28"/>
      <c r="N525" s="21"/>
      <c r="O525" s="28"/>
      <c r="P525" s="37"/>
      <c r="Q525" s="21"/>
      <c r="R525" s="21"/>
      <c r="S525" s="47"/>
      <c r="T525" s="25">
        <f t="shared" si="19"/>
        <v>0</v>
      </c>
      <c r="U525" s="25" t="str">
        <f>IF('PART III-DEMOGRAPHICS'!Q535="","",'PART III-DEMOGRAPHICS'!Q535)</f>
        <v/>
      </c>
    </row>
    <row r="526" spans="1:21">
      <c r="A526" s="25" t="str">
        <f>IF('PART III-DEMOGRAPHICS'!A536="","",'PART III-DEMOGRAPHICS'!A536)</f>
        <v/>
      </c>
      <c r="B526" s="28"/>
      <c r="C526" s="27"/>
      <c r="D526" s="28"/>
      <c r="E526" s="21"/>
      <c r="F526" s="36" t="str">
        <f t="shared" ref="F526:F589" si="20">IF(OR(G526="Yes",H526="Yes",I526="Yes",J526="Yes",K526="Yes",L526="Yes",M526="Yes"),"Did","Did Not")</f>
        <v>Did Not</v>
      </c>
      <c r="G526" s="28"/>
      <c r="H526" s="28"/>
      <c r="I526" s="28"/>
      <c r="J526" s="28"/>
      <c r="K526" s="28"/>
      <c r="L526" s="28"/>
      <c r="M526" s="28"/>
      <c r="N526" s="21"/>
      <c r="O526" s="28"/>
      <c r="P526" s="37"/>
      <c r="Q526" s="21"/>
      <c r="R526" s="21"/>
      <c r="S526" s="47"/>
      <c r="T526" s="25">
        <f t="shared" si="19"/>
        <v>0</v>
      </c>
      <c r="U526" s="25" t="str">
        <f>IF('PART III-DEMOGRAPHICS'!Q536="","",'PART III-DEMOGRAPHICS'!Q536)</f>
        <v/>
      </c>
    </row>
    <row r="527" spans="1:21">
      <c r="A527" s="25" t="str">
        <f>IF('PART III-DEMOGRAPHICS'!A537="","",'PART III-DEMOGRAPHICS'!A537)</f>
        <v/>
      </c>
      <c r="B527" s="28"/>
      <c r="C527" s="27"/>
      <c r="D527" s="28"/>
      <c r="E527" s="21"/>
      <c r="F527" s="36" t="str">
        <f t="shared" si="20"/>
        <v>Did Not</v>
      </c>
      <c r="G527" s="28"/>
      <c r="H527" s="28"/>
      <c r="I527" s="28"/>
      <c r="J527" s="28"/>
      <c r="K527" s="28"/>
      <c r="L527" s="28"/>
      <c r="M527" s="28"/>
      <c r="N527" s="21"/>
      <c r="O527" s="28"/>
      <c r="P527" s="37"/>
      <c r="Q527" s="21"/>
      <c r="R527" s="21"/>
      <c r="S527" s="47"/>
      <c r="T527" s="25">
        <f t="shared" si="19"/>
        <v>0</v>
      </c>
      <c r="U527" s="25" t="str">
        <f>IF('PART III-DEMOGRAPHICS'!Q537="","",'PART III-DEMOGRAPHICS'!Q537)</f>
        <v/>
      </c>
    </row>
    <row r="528" spans="1:21">
      <c r="A528" s="25" t="str">
        <f>IF('PART III-DEMOGRAPHICS'!A538="","",'PART III-DEMOGRAPHICS'!A538)</f>
        <v/>
      </c>
      <c r="B528" s="28"/>
      <c r="C528" s="27"/>
      <c r="D528" s="28"/>
      <c r="E528" s="21"/>
      <c r="F528" s="36" t="str">
        <f t="shared" si="20"/>
        <v>Did Not</v>
      </c>
      <c r="G528" s="28"/>
      <c r="H528" s="28"/>
      <c r="I528" s="28"/>
      <c r="J528" s="28"/>
      <c r="K528" s="28"/>
      <c r="L528" s="28"/>
      <c r="M528" s="28"/>
      <c r="N528" s="21"/>
      <c r="O528" s="28"/>
      <c r="P528" s="37"/>
      <c r="Q528" s="21"/>
      <c r="R528" s="21"/>
      <c r="S528" s="47"/>
      <c r="T528" s="25">
        <f t="shared" si="19"/>
        <v>0</v>
      </c>
      <c r="U528" s="25" t="str">
        <f>IF('PART III-DEMOGRAPHICS'!Q538="","",'PART III-DEMOGRAPHICS'!Q538)</f>
        <v/>
      </c>
    </row>
    <row r="529" spans="1:21">
      <c r="A529" s="25" t="str">
        <f>IF('PART III-DEMOGRAPHICS'!A539="","",'PART III-DEMOGRAPHICS'!A539)</f>
        <v/>
      </c>
      <c r="B529" s="28"/>
      <c r="C529" s="27"/>
      <c r="D529" s="28"/>
      <c r="E529" s="21"/>
      <c r="F529" s="36" t="str">
        <f t="shared" si="20"/>
        <v>Did Not</v>
      </c>
      <c r="G529" s="28"/>
      <c r="H529" s="28"/>
      <c r="I529" s="28"/>
      <c r="J529" s="28"/>
      <c r="K529" s="28"/>
      <c r="L529" s="28"/>
      <c r="M529" s="28"/>
      <c r="N529" s="21"/>
      <c r="O529" s="28"/>
      <c r="P529" s="37"/>
      <c r="Q529" s="21"/>
      <c r="R529" s="21"/>
      <c r="S529" s="47"/>
      <c r="T529" s="25">
        <f t="shared" si="19"/>
        <v>0</v>
      </c>
      <c r="U529" s="25" t="str">
        <f>IF('PART III-DEMOGRAPHICS'!Q539="","",'PART III-DEMOGRAPHICS'!Q539)</f>
        <v/>
      </c>
    </row>
    <row r="530" spans="1:21">
      <c r="A530" s="25" t="str">
        <f>IF('PART III-DEMOGRAPHICS'!A540="","",'PART III-DEMOGRAPHICS'!A540)</f>
        <v/>
      </c>
      <c r="B530" s="28"/>
      <c r="C530" s="27"/>
      <c r="D530" s="28"/>
      <c r="E530" s="21"/>
      <c r="F530" s="36" t="str">
        <f t="shared" si="20"/>
        <v>Did Not</v>
      </c>
      <c r="G530" s="28"/>
      <c r="H530" s="28"/>
      <c r="I530" s="28"/>
      <c r="J530" s="28"/>
      <c r="K530" s="28"/>
      <c r="L530" s="28"/>
      <c r="M530" s="28"/>
      <c r="N530" s="21"/>
      <c r="O530" s="28"/>
      <c r="P530" s="37"/>
      <c r="Q530" s="21"/>
      <c r="R530" s="21"/>
      <c r="S530" s="47"/>
      <c r="T530" s="25">
        <f t="shared" si="19"/>
        <v>0</v>
      </c>
      <c r="U530" s="25" t="str">
        <f>IF('PART III-DEMOGRAPHICS'!Q540="","",'PART III-DEMOGRAPHICS'!Q540)</f>
        <v/>
      </c>
    </row>
    <row r="531" spans="1:21">
      <c r="A531" s="25" t="str">
        <f>IF('PART III-DEMOGRAPHICS'!A541="","",'PART III-DEMOGRAPHICS'!A541)</f>
        <v/>
      </c>
      <c r="B531" s="28"/>
      <c r="C531" s="27"/>
      <c r="D531" s="28"/>
      <c r="E531" s="21"/>
      <c r="F531" s="36" t="str">
        <f t="shared" si="20"/>
        <v>Did Not</v>
      </c>
      <c r="G531" s="28"/>
      <c r="H531" s="28"/>
      <c r="I531" s="28"/>
      <c r="J531" s="28"/>
      <c r="K531" s="28"/>
      <c r="L531" s="28"/>
      <c r="M531" s="28"/>
      <c r="N531" s="21"/>
      <c r="O531" s="28"/>
      <c r="P531" s="37"/>
      <c r="Q531" s="21"/>
      <c r="R531" s="21"/>
      <c r="S531" s="47"/>
      <c r="T531" s="25">
        <f t="shared" si="19"/>
        <v>0</v>
      </c>
      <c r="U531" s="25" t="str">
        <f>IF('PART III-DEMOGRAPHICS'!Q541="","",'PART III-DEMOGRAPHICS'!Q541)</f>
        <v/>
      </c>
    </row>
    <row r="532" spans="1:21">
      <c r="A532" s="25" t="str">
        <f>IF('PART III-DEMOGRAPHICS'!A542="","",'PART III-DEMOGRAPHICS'!A542)</f>
        <v/>
      </c>
      <c r="B532" s="28"/>
      <c r="C532" s="27"/>
      <c r="D532" s="28"/>
      <c r="E532" s="21"/>
      <c r="F532" s="36" t="str">
        <f t="shared" si="20"/>
        <v>Did Not</v>
      </c>
      <c r="G532" s="28"/>
      <c r="H532" s="28"/>
      <c r="I532" s="28"/>
      <c r="J532" s="28"/>
      <c r="K532" s="28"/>
      <c r="L532" s="28"/>
      <c r="M532" s="28"/>
      <c r="N532" s="21"/>
      <c r="O532" s="28"/>
      <c r="P532" s="37"/>
      <c r="Q532" s="21"/>
      <c r="R532" s="21"/>
      <c r="S532" s="47"/>
      <c r="T532" s="25">
        <f t="shared" si="19"/>
        <v>0</v>
      </c>
      <c r="U532" s="25" t="str">
        <f>IF('PART III-DEMOGRAPHICS'!Q542="","",'PART III-DEMOGRAPHICS'!Q542)</f>
        <v/>
      </c>
    </row>
    <row r="533" spans="1:21">
      <c r="A533" s="25" t="str">
        <f>IF('PART III-DEMOGRAPHICS'!A543="","",'PART III-DEMOGRAPHICS'!A543)</f>
        <v/>
      </c>
      <c r="B533" s="28"/>
      <c r="C533" s="27"/>
      <c r="D533" s="28"/>
      <c r="E533" s="21"/>
      <c r="F533" s="36" t="str">
        <f t="shared" si="20"/>
        <v>Did Not</v>
      </c>
      <c r="G533" s="28"/>
      <c r="H533" s="28"/>
      <c r="I533" s="28"/>
      <c r="J533" s="28"/>
      <c r="K533" s="28"/>
      <c r="L533" s="28"/>
      <c r="M533" s="28"/>
      <c r="N533" s="21"/>
      <c r="O533" s="28"/>
      <c r="P533" s="37"/>
      <c r="Q533" s="21"/>
      <c r="R533" s="21"/>
      <c r="S533" s="47"/>
      <c r="T533" s="25">
        <f t="shared" si="19"/>
        <v>0</v>
      </c>
      <c r="U533" s="25" t="str">
        <f>IF('PART III-DEMOGRAPHICS'!Q543="","",'PART III-DEMOGRAPHICS'!Q543)</f>
        <v/>
      </c>
    </row>
    <row r="534" spans="1:21">
      <c r="A534" s="25" t="str">
        <f>IF('PART III-DEMOGRAPHICS'!A544="","",'PART III-DEMOGRAPHICS'!A544)</f>
        <v/>
      </c>
      <c r="B534" s="28"/>
      <c r="C534" s="27"/>
      <c r="D534" s="28"/>
      <c r="E534" s="21"/>
      <c r="F534" s="36" t="str">
        <f t="shared" si="20"/>
        <v>Did Not</v>
      </c>
      <c r="G534" s="28"/>
      <c r="H534" s="28"/>
      <c r="I534" s="28"/>
      <c r="J534" s="28"/>
      <c r="K534" s="28"/>
      <c r="L534" s="28"/>
      <c r="M534" s="28"/>
      <c r="N534" s="21"/>
      <c r="O534" s="28"/>
      <c r="P534" s="37"/>
      <c r="Q534" s="21"/>
      <c r="R534" s="21"/>
      <c r="S534" s="47"/>
      <c r="T534" s="25">
        <f t="shared" si="19"/>
        <v>0</v>
      </c>
      <c r="U534" s="25" t="str">
        <f>IF('PART III-DEMOGRAPHICS'!Q544="","",'PART III-DEMOGRAPHICS'!Q544)</f>
        <v/>
      </c>
    </row>
    <row r="535" spans="1:21">
      <c r="A535" s="25" t="str">
        <f>IF('PART III-DEMOGRAPHICS'!A545="","",'PART III-DEMOGRAPHICS'!A545)</f>
        <v/>
      </c>
      <c r="B535" s="28"/>
      <c r="C535" s="27"/>
      <c r="D535" s="28"/>
      <c r="E535" s="21"/>
      <c r="F535" s="36" t="str">
        <f t="shared" si="20"/>
        <v>Did Not</v>
      </c>
      <c r="G535" s="28"/>
      <c r="H535" s="28"/>
      <c r="I535" s="28"/>
      <c r="J535" s="28"/>
      <c r="K535" s="28"/>
      <c r="L535" s="28"/>
      <c r="M535" s="28"/>
      <c r="N535" s="21"/>
      <c r="O535" s="28"/>
      <c r="P535" s="37"/>
      <c r="Q535" s="21"/>
      <c r="R535" s="21"/>
      <c r="S535" s="47"/>
      <c r="T535" s="25">
        <f t="shared" si="19"/>
        <v>0</v>
      </c>
      <c r="U535" s="25" t="str">
        <f>IF('PART III-DEMOGRAPHICS'!Q545="","",'PART III-DEMOGRAPHICS'!Q545)</f>
        <v/>
      </c>
    </row>
    <row r="536" spans="1:21">
      <c r="A536" s="25" t="str">
        <f>IF('PART III-DEMOGRAPHICS'!A546="","",'PART III-DEMOGRAPHICS'!A546)</f>
        <v/>
      </c>
      <c r="B536" s="28"/>
      <c r="C536" s="27"/>
      <c r="D536" s="28"/>
      <c r="E536" s="21"/>
      <c r="F536" s="36" t="str">
        <f t="shared" si="20"/>
        <v>Did Not</v>
      </c>
      <c r="G536" s="28"/>
      <c r="H536" s="28"/>
      <c r="I536" s="28"/>
      <c r="J536" s="28"/>
      <c r="K536" s="28"/>
      <c r="L536" s="28"/>
      <c r="M536" s="28"/>
      <c r="N536" s="21"/>
      <c r="O536" s="28"/>
      <c r="P536" s="37"/>
      <c r="Q536" s="21"/>
      <c r="R536" s="21"/>
      <c r="S536" s="47"/>
      <c r="T536" s="25">
        <f t="shared" si="19"/>
        <v>0</v>
      </c>
      <c r="U536" s="25" t="str">
        <f>IF('PART III-DEMOGRAPHICS'!Q546="","",'PART III-DEMOGRAPHICS'!Q546)</f>
        <v/>
      </c>
    </row>
    <row r="537" spans="1:21">
      <c r="A537" s="25" t="str">
        <f>IF('PART III-DEMOGRAPHICS'!A547="","",'PART III-DEMOGRAPHICS'!A547)</f>
        <v/>
      </c>
      <c r="B537" s="28"/>
      <c r="C537" s="27"/>
      <c r="D537" s="28"/>
      <c r="E537" s="21"/>
      <c r="F537" s="36" t="str">
        <f t="shared" si="20"/>
        <v>Did Not</v>
      </c>
      <c r="G537" s="28"/>
      <c r="H537" s="28"/>
      <c r="I537" s="28"/>
      <c r="J537" s="28"/>
      <c r="K537" s="28"/>
      <c r="L537" s="28"/>
      <c r="M537" s="28"/>
      <c r="N537" s="21"/>
      <c r="O537" s="28"/>
      <c r="P537" s="37"/>
      <c r="Q537" s="21"/>
      <c r="R537" s="21"/>
      <c r="S537" s="47"/>
      <c r="T537" s="25">
        <f t="shared" si="19"/>
        <v>0</v>
      </c>
      <c r="U537" s="25" t="str">
        <f>IF('PART III-DEMOGRAPHICS'!Q547="","",'PART III-DEMOGRAPHICS'!Q547)</f>
        <v/>
      </c>
    </row>
    <row r="538" spans="1:21">
      <c r="A538" s="25" t="str">
        <f>IF('PART III-DEMOGRAPHICS'!A548="","",'PART III-DEMOGRAPHICS'!A548)</f>
        <v/>
      </c>
      <c r="B538" s="28"/>
      <c r="C538" s="27"/>
      <c r="D538" s="28"/>
      <c r="E538" s="21"/>
      <c r="F538" s="36" t="str">
        <f t="shared" si="20"/>
        <v>Did Not</v>
      </c>
      <c r="G538" s="28"/>
      <c r="H538" s="28"/>
      <c r="I538" s="28"/>
      <c r="J538" s="28"/>
      <c r="K538" s="28"/>
      <c r="L538" s="28"/>
      <c r="M538" s="28"/>
      <c r="N538" s="21"/>
      <c r="O538" s="28"/>
      <c r="P538" s="37"/>
      <c r="Q538" s="21"/>
      <c r="R538" s="21"/>
      <c r="S538" s="47"/>
      <c r="T538" s="25">
        <f t="shared" si="19"/>
        <v>0</v>
      </c>
      <c r="U538" s="25" t="str">
        <f>IF('PART III-DEMOGRAPHICS'!Q548="","",'PART III-DEMOGRAPHICS'!Q548)</f>
        <v/>
      </c>
    </row>
    <row r="539" spans="1:21">
      <c r="A539" s="25" t="str">
        <f>IF('PART III-DEMOGRAPHICS'!A549="","",'PART III-DEMOGRAPHICS'!A549)</f>
        <v/>
      </c>
      <c r="B539" s="28"/>
      <c r="C539" s="27"/>
      <c r="D539" s="28"/>
      <c r="E539" s="21"/>
      <c r="F539" s="36" t="str">
        <f t="shared" si="20"/>
        <v>Did Not</v>
      </c>
      <c r="G539" s="28"/>
      <c r="H539" s="28"/>
      <c r="I539" s="28"/>
      <c r="J539" s="28"/>
      <c r="K539" s="28"/>
      <c r="L539" s="28"/>
      <c r="M539" s="28"/>
      <c r="N539" s="21"/>
      <c r="O539" s="28"/>
      <c r="P539" s="37"/>
      <c r="Q539" s="21"/>
      <c r="R539" s="21"/>
      <c r="S539" s="47"/>
      <c r="T539" s="25">
        <f t="shared" si="19"/>
        <v>0</v>
      </c>
      <c r="U539" s="25" t="str">
        <f>IF('PART III-DEMOGRAPHICS'!Q549="","",'PART III-DEMOGRAPHICS'!Q549)</f>
        <v/>
      </c>
    </row>
    <row r="540" spans="1:21">
      <c r="A540" s="25" t="str">
        <f>IF('PART III-DEMOGRAPHICS'!A550="","",'PART III-DEMOGRAPHICS'!A550)</f>
        <v/>
      </c>
      <c r="B540" s="28"/>
      <c r="C540" s="27"/>
      <c r="D540" s="28"/>
      <c r="E540" s="21"/>
      <c r="F540" s="36" t="str">
        <f t="shared" si="20"/>
        <v>Did Not</v>
      </c>
      <c r="G540" s="28"/>
      <c r="H540" s="28"/>
      <c r="I540" s="28"/>
      <c r="J540" s="28"/>
      <c r="K540" s="28"/>
      <c r="L540" s="28"/>
      <c r="M540" s="28"/>
      <c r="N540" s="21"/>
      <c r="O540" s="28"/>
      <c r="P540" s="37"/>
      <c r="Q540" s="21"/>
      <c r="R540" s="21"/>
      <c r="S540" s="47"/>
      <c r="T540" s="25">
        <f t="shared" si="19"/>
        <v>0</v>
      </c>
      <c r="U540" s="25" t="str">
        <f>IF('PART III-DEMOGRAPHICS'!Q550="","",'PART III-DEMOGRAPHICS'!Q550)</f>
        <v/>
      </c>
    </row>
    <row r="541" spans="1:21">
      <c r="A541" s="25" t="str">
        <f>IF('PART III-DEMOGRAPHICS'!A551="","",'PART III-DEMOGRAPHICS'!A551)</f>
        <v/>
      </c>
      <c r="B541" s="28"/>
      <c r="C541" s="27"/>
      <c r="D541" s="28"/>
      <c r="E541" s="21"/>
      <c r="F541" s="36" t="str">
        <f t="shared" si="20"/>
        <v>Did Not</v>
      </c>
      <c r="G541" s="28"/>
      <c r="H541" s="28"/>
      <c r="I541" s="28"/>
      <c r="J541" s="28"/>
      <c r="K541" s="28"/>
      <c r="L541" s="28"/>
      <c r="M541" s="28"/>
      <c r="N541" s="21"/>
      <c r="O541" s="28"/>
      <c r="P541" s="37"/>
      <c r="Q541" s="21"/>
      <c r="R541" s="21"/>
      <c r="S541" s="47"/>
      <c r="T541" s="25">
        <f t="shared" si="19"/>
        <v>0</v>
      </c>
      <c r="U541" s="25" t="str">
        <f>IF('PART III-DEMOGRAPHICS'!Q551="","",'PART III-DEMOGRAPHICS'!Q551)</f>
        <v/>
      </c>
    </row>
    <row r="542" spans="1:21">
      <c r="A542" s="25" t="str">
        <f>IF('PART III-DEMOGRAPHICS'!A552="","",'PART III-DEMOGRAPHICS'!A552)</f>
        <v/>
      </c>
      <c r="B542" s="28"/>
      <c r="C542" s="27"/>
      <c r="D542" s="28"/>
      <c r="E542" s="21"/>
      <c r="F542" s="36" t="str">
        <f t="shared" si="20"/>
        <v>Did Not</v>
      </c>
      <c r="G542" s="28"/>
      <c r="H542" s="28"/>
      <c r="I542" s="28"/>
      <c r="J542" s="28"/>
      <c r="K542" s="28"/>
      <c r="L542" s="28"/>
      <c r="M542" s="28"/>
      <c r="N542" s="21"/>
      <c r="O542" s="28"/>
      <c r="P542" s="37"/>
      <c r="Q542" s="21"/>
      <c r="R542" s="21"/>
      <c r="S542" s="47"/>
      <c r="T542" s="25">
        <f t="shared" si="19"/>
        <v>0</v>
      </c>
      <c r="U542" s="25" t="str">
        <f>IF('PART III-DEMOGRAPHICS'!Q552="","",'PART III-DEMOGRAPHICS'!Q552)</f>
        <v/>
      </c>
    </row>
    <row r="543" spans="1:21">
      <c r="A543" s="25" t="str">
        <f>IF('PART III-DEMOGRAPHICS'!A553="","",'PART III-DEMOGRAPHICS'!A553)</f>
        <v/>
      </c>
      <c r="B543" s="28"/>
      <c r="C543" s="27"/>
      <c r="D543" s="28"/>
      <c r="E543" s="21"/>
      <c r="F543" s="36" t="str">
        <f t="shared" si="20"/>
        <v>Did Not</v>
      </c>
      <c r="G543" s="28"/>
      <c r="H543" s="28"/>
      <c r="I543" s="28"/>
      <c r="J543" s="28"/>
      <c r="K543" s="28"/>
      <c r="L543" s="28"/>
      <c r="M543" s="28"/>
      <c r="N543" s="21"/>
      <c r="O543" s="28"/>
      <c r="P543" s="37"/>
      <c r="Q543" s="21"/>
      <c r="R543" s="21"/>
      <c r="S543" s="47"/>
      <c r="T543" s="25">
        <f t="shared" si="19"/>
        <v>0</v>
      </c>
      <c r="U543" s="25" t="str">
        <f>IF('PART III-DEMOGRAPHICS'!Q553="","",'PART III-DEMOGRAPHICS'!Q553)</f>
        <v/>
      </c>
    </row>
    <row r="544" spans="1:21">
      <c r="A544" s="25" t="str">
        <f>IF('PART III-DEMOGRAPHICS'!A554="","",'PART III-DEMOGRAPHICS'!A554)</f>
        <v/>
      </c>
      <c r="B544" s="28"/>
      <c r="C544" s="27"/>
      <c r="D544" s="28"/>
      <c r="E544" s="21"/>
      <c r="F544" s="36" t="str">
        <f t="shared" si="20"/>
        <v>Did Not</v>
      </c>
      <c r="G544" s="28"/>
      <c r="H544" s="28"/>
      <c r="I544" s="28"/>
      <c r="J544" s="28"/>
      <c r="K544" s="28"/>
      <c r="L544" s="28"/>
      <c r="M544" s="28"/>
      <c r="N544" s="21"/>
      <c r="O544" s="28"/>
      <c r="P544" s="37"/>
      <c r="Q544" s="21"/>
      <c r="R544" s="21"/>
      <c r="S544" s="47"/>
      <c r="T544" s="25">
        <f t="shared" si="19"/>
        <v>0</v>
      </c>
      <c r="U544" s="25" t="str">
        <f>IF('PART III-DEMOGRAPHICS'!Q554="","",'PART III-DEMOGRAPHICS'!Q554)</f>
        <v/>
      </c>
    </row>
    <row r="545" spans="1:21">
      <c r="A545" s="25" t="str">
        <f>IF('PART III-DEMOGRAPHICS'!A555="","",'PART III-DEMOGRAPHICS'!A555)</f>
        <v/>
      </c>
      <c r="B545" s="28"/>
      <c r="C545" s="27"/>
      <c r="D545" s="28"/>
      <c r="E545" s="21"/>
      <c r="F545" s="36" t="str">
        <f t="shared" si="20"/>
        <v>Did Not</v>
      </c>
      <c r="G545" s="28"/>
      <c r="H545" s="28"/>
      <c r="I545" s="28"/>
      <c r="J545" s="28"/>
      <c r="K545" s="28"/>
      <c r="L545" s="28"/>
      <c r="M545" s="28"/>
      <c r="N545" s="21"/>
      <c r="O545" s="28"/>
      <c r="P545" s="37"/>
      <c r="Q545" s="21"/>
      <c r="R545" s="21"/>
      <c r="S545" s="47"/>
      <c r="T545" s="25">
        <f t="shared" si="19"/>
        <v>0</v>
      </c>
      <c r="U545" s="25" t="str">
        <f>IF('PART III-DEMOGRAPHICS'!Q555="","",'PART III-DEMOGRAPHICS'!Q555)</f>
        <v/>
      </c>
    </row>
    <row r="546" spans="1:21">
      <c r="A546" s="25" t="str">
        <f>IF('PART III-DEMOGRAPHICS'!A556="","",'PART III-DEMOGRAPHICS'!A556)</f>
        <v/>
      </c>
      <c r="B546" s="28"/>
      <c r="C546" s="27"/>
      <c r="D546" s="28"/>
      <c r="E546" s="21"/>
      <c r="F546" s="36" t="str">
        <f t="shared" si="20"/>
        <v>Did Not</v>
      </c>
      <c r="G546" s="28"/>
      <c r="H546" s="28"/>
      <c r="I546" s="28"/>
      <c r="J546" s="28"/>
      <c r="K546" s="28"/>
      <c r="L546" s="28"/>
      <c r="M546" s="28"/>
      <c r="N546" s="21"/>
      <c r="O546" s="28"/>
      <c r="P546" s="37"/>
      <c r="Q546" s="21"/>
      <c r="R546" s="21"/>
      <c r="S546" s="47"/>
      <c r="T546" s="25">
        <f t="shared" si="19"/>
        <v>0</v>
      </c>
      <c r="U546" s="25" t="str">
        <f>IF('PART III-DEMOGRAPHICS'!Q556="","",'PART III-DEMOGRAPHICS'!Q556)</f>
        <v/>
      </c>
    </row>
    <row r="547" spans="1:21">
      <c r="A547" s="25" t="str">
        <f>IF('PART III-DEMOGRAPHICS'!A557="","",'PART III-DEMOGRAPHICS'!A557)</f>
        <v/>
      </c>
      <c r="B547" s="28"/>
      <c r="C547" s="27"/>
      <c r="D547" s="28"/>
      <c r="E547" s="21"/>
      <c r="F547" s="36" t="str">
        <f t="shared" si="20"/>
        <v>Did Not</v>
      </c>
      <c r="G547" s="28"/>
      <c r="H547" s="28"/>
      <c r="I547" s="28"/>
      <c r="J547" s="28"/>
      <c r="K547" s="28"/>
      <c r="L547" s="28"/>
      <c r="M547" s="28"/>
      <c r="N547" s="21"/>
      <c r="O547" s="28"/>
      <c r="P547" s="37"/>
      <c r="Q547" s="21"/>
      <c r="R547" s="21"/>
      <c r="S547" s="47"/>
      <c r="T547" s="25">
        <f t="shared" si="19"/>
        <v>0</v>
      </c>
      <c r="U547" s="25" t="str">
        <f>IF('PART III-DEMOGRAPHICS'!Q557="","",'PART III-DEMOGRAPHICS'!Q557)</f>
        <v/>
      </c>
    </row>
    <row r="548" spans="1:21">
      <c r="A548" s="25" t="str">
        <f>IF('PART III-DEMOGRAPHICS'!A558="","",'PART III-DEMOGRAPHICS'!A558)</f>
        <v/>
      </c>
      <c r="B548" s="28"/>
      <c r="C548" s="27"/>
      <c r="D548" s="28"/>
      <c r="E548" s="21"/>
      <c r="F548" s="36" t="str">
        <f t="shared" si="20"/>
        <v>Did Not</v>
      </c>
      <c r="G548" s="28"/>
      <c r="H548" s="28"/>
      <c r="I548" s="28"/>
      <c r="J548" s="28"/>
      <c r="K548" s="28"/>
      <c r="L548" s="28"/>
      <c r="M548" s="28"/>
      <c r="N548" s="21"/>
      <c r="O548" s="28"/>
      <c r="P548" s="37"/>
      <c r="Q548" s="21"/>
      <c r="R548" s="21"/>
      <c r="S548" s="47"/>
      <c r="T548" s="25">
        <f t="shared" si="19"/>
        <v>0</v>
      </c>
      <c r="U548" s="25" t="str">
        <f>IF('PART III-DEMOGRAPHICS'!Q558="","",'PART III-DEMOGRAPHICS'!Q558)</f>
        <v/>
      </c>
    </row>
    <row r="549" spans="1:21">
      <c r="A549" s="25" t="str">
        <f>IF('PART III-DEMOGRAPHICS'!A559="","",'PART III-DEMOGRAPHICS'!A559)</f>
        <v/>
      </c>
      <c r="B549" s="28"/>
      <c r="C549" s="27"/>
      <c r="D549" s="28"/>
      <c r="E549" s="21"/>
      <c r="F549" s="36" t="str">
        <f t="shared" si="20"/>
        <v>Did Not</v>
      </c>
      <c r="G549" s="28"/>
      <c r="H549" s="28"/>
      <c r="I549" s="28"/>
      <c r="J549" s="28"/>
      <c r="K549" s="28"/>
      <c r="L549" s="28"/>
      <c r="M549" s="28"/>
      <c r="N549" s="21"/>
      <c r="O549" s="28"/>
      <c r="P549" s="37"/>
      <c r="Q549" s="21"/>
      <c r="R549" s="21"/>
      <c r="S549" s="47"/>
      <c r="T549" s="25">
        <f t="shared" si="19"/>
        <v>0</v>
      </c>
      <c r="U549" s="25" t="str">
        <f>IF('PART III-DEMOGRAPHICS'!Q559="","",'PART III-DEMOGRAPHICS'!Q559)</f>
        <v/>
      </c>
    </row>
    <row r="550" spans="1:21">
      <c r="A550" s="25" t="str">
        <f>IF('PART III-DEMOGRAPHICS'!A560="","",'PART III-DEMOGRAPHICS'!A560)</f>
        <v/>
      </c>
      <c r="B550" s="28"/>
      <c r="C550" s="27"/>
      <c r="D550" s="28"/>
      <c r="E550" s="21"/>
      <c r="F550" s="36" t="str">
        <f t="shared" si="20"/>
        <v>Did Not</v>
      </c>
      <c r="G550" s="28"/>
      <c r="H550" s="28"/>
      <c r="I550" s="28"/>
      <c r="J550" s="28"/>
      <c r="K550" s="28"/>
      <c r="L550" s="28"/>
      <c r="M550" s="28"/>
      <c r="N550" s="21"/>
      <c r="O550" s="28"/>
      <c r="P550" s="37"/>
      <c r="Q550" s="21"/>
      <c r="R550" s="21"/>
      <c r="S550" s="47"/>
      <c r="T550" s="25">
        <f t="shared" si="19"/>
        <v>0</v>
      </c>
      <c r="U550" s="25" t="str">
        <f>IF('PART III-DEMOGRAPHICS'!Q560="","",'PART III-DEMOGRAPHICS'!Q560)</f>
        <v/>
      </c>
    </row>
    <row r="551" spans="1:21">
      <c r="A551" s="25" t="str">
        <f>IF('PART III-DEMOGRAPHICS'!A561="","",'PART III-DEMOGRAPHICS'!A561)</f>
        <v/>
      </c>
      <c r="B551" s="28"/>
      <c r="C551" s="27"/>
      <c r="D551" s="28"/>
      <c r="E551" s="21"/>
      <c r="F551" s="36" t="str">
        <f t="shared" si="20"/>
        <v>Did Not</v>
      </c>
      <c r="G551" s="28"/>
      <c r="H551" s="28"/>
      <c r="I551" s="28"/>
      <c r="J551" s="28"/>
      <c r="K551" s="28"/>
      <c r="L551" s="28"/>
      <c r="M551" s="28"/>
      <c r="N551" s="21"/>
      <c r="O551" s="28"/>
      <c r="P551" s="37"/>
      <c r="Q551" s="21"/>
      <c r="R551" s="21"/>
      <c r="S551" s="47"/>
      <c r="T551" s="25">
        <f t="shared" si="19"/>
        <v>0</v>
      </c>
      <c r="U551" s="25" t="str">
        <f>IF('PART III-DEMOGRAPHICS'!Q561="","",'PART III-DEMOGRAPHICS'!Q561)</f>
        <v/>
      </c>
    </row>
    <row r="552" spans="1:21">
      <c r="A552" s="25" t="str">
        <f>IF('PART III-DEMOGRAPHICS'!A562="","",'PART III-DEMOGRAPHICS'!A562)</f>
        <v/>
      </c>
      <c r="B552" s="28"/>
      <c r="C552" s="27"/>
      <c r="D552" s="28"/>
      <c r="E552" s="21"/>
      <c r="F552" s="36" t="str">
        <f t="shared" si="20"/>
        <v>Did Not</v>
      </c>
      <c r="G552" s="28"/>
      <c r="H552" s="28"/>
      <c r="I552" s="28"/>
      <c r="J552" s="28"/>
      <c r="K552" s="28"/>
      <c r="L552" s="28"/>
      <c r="M552" s="28"/>
      <c r="N552" s="21"/>
      <c r="O552" s="28"/>
      <c r="P552" s="37"/>
      <c r="Q552" s="21"/>
      <c r="R552" s="21"/>
      <c r="S552" s="47"/>
      <c r="T552" s="25">
        <f t="shared" si="19"/>
        <v>0</v>
      </c>
      <c r="U552" s="25" t="str">
        <f>IF('PART III-DEMOGRAPHICS'!Q562="","",'PART III-DEMOGRAPHICS'!Q562)</f>
        <v/>
      </c>
    </row>
    <row r="553" spans="1:21">
      <c r="A553" s="25" t="str">
        <f>IF('PART III-DEMOGRAPHICS'!A563="","",'PART III-DEMOGRAPHICS'!A563)</f>
        <v/>
      </c>
      <c r="B553" s="28"/>
      <c r="C553" s="27"/>
      <c r="D553" s="28"/>
      <c r="E553" s="21"/>
      <c r="F553" s="36" t="str">
        <f t="shared" si="20"/>
        <v>Did Not</v>
      </c>
      <c r="G553" s="28"/>
      <c r="H553" s="28"/>
      <c r="I553" s="28"/>
      <c r="J553" s="28"/>
      <c r="K553" s="28"/>
      <c r="L553" s="28"/>
      <c r="M553" s="28"/>
      <c r="N553" s="21"/>
      <c r="O553" s="28"/>
      <c r="P553" s="37"/>
      <c r="Q553" s="21"/>
      <c r="R553" s="21"/>
      <c r="S553" s="47"/>
      <c r="T553" s="25">
        <f t="shared" si="19"/>
        <v>0</v>
      </c>
      <c r="U553" s="25" t="str">
        <f>IF('PART III-DEMOGRAPHICS'!Q563="","",'PART III-DEMOGRAPHICS'!Q563)</f>
        <v/>
      </c>
    </row>
    <row r="554" spans="1:21">
      <c r="A554" s="25" t="str">
        <f>IF('PART III-DEMOGRAPHICS'!A564="","",'PART III-DEMOGRAPHICS'!A564)</f>
        <v/>
      </c>
      <c r="B554" s="28"/>
      <c r="C554" s="27"/>
      <c r="D554" s="28"/>
      <c r="E554" s="21"/>
      <c r="F554" s="36" t="str">
        <f t="shared" si="20"/>
        <v>Did Not</v>
      </c>
      <c r="G554" s="28"/>
      <c r="H554" s="28"/>
      <c r="I554" s="28"/>
      <c r="J554" s="28"/>
      <c r="K554" s="28"/>
      <c r="L554" s="28"/>
      <c r="M554" s="28"/>
      <c r="N554" s="21"/>
      <c r="O554" s="28"/>
      <c r="P554" s="37"/>
      <c r="Q554" s="21"/>
      <c r="R554" s="21"/>
      <c r="S554" s="47"/>
      <c r="T554" s="25">
        <f t="shared" si="19"/>
        <v>0</v>
      </c>
      <c r="U554" s="25" t="str">
        <f>IF('PART III-DEMOGRAPHICS'!Q564="","",'PART III-DEMOGRAPHICS'!Q564)</f>
        <v/>
      </c>
    </row>
    <row r="555" spans="1:21">
      <c r="A555" s="25" t="str">
        <f>IF('PART III-DEMOGRAPHICS'!A565="","",'PART III-DEMOGRAPHICS'!A565)</f>
        <v/>
      </c>
      <c r="B555" s="28"/>
      <c r="C555" s="27"/>
      <c r="D555" s="28"/>
      <c r="E555" s="21"/>
      <c r="F555" s="36" t="str">
        <f t="shared" si="20"/>
        <v>Did Not</v>
      </c>
      <c r="G555" s="28"/>
      <c r="H555" s="28"/>
      <c r="I555" s="28"/>
      <c r="J555" s="28"/>
      <c r="K555" s="28"/>
      <c r="L555" s="28"/>
      <c r="M555" s="28"/>
      <c r="N555" s="21"/>
      <c r="O555" s="28"/>
      <c r="P555" s="37"/>
      <c r="Q555" s="21"/>
      <c r="R555" s="21"/>
      <c r="S555" s="47"/>
      <c r="T555" s="25">
        <f t="shared" si="19"/>
        <v>0</v>
      </c>
      <c r="U555" s="25" t="str">
        <f>IF('PART III-DEMOGRAPHICS'!Q565="","",'PART III-DEMOGRAPHICS'!Q565)</f>
        <v/>
      </c>
    </row>
    <row r="556" spans="1:21">
      <c r="A556" s="25" t="str">
        <f>IF('PART III-DEMOGRAPHICS'!A566="","",'PART III-DEMOGRAPHICS'!A566)</f>
        <v/>
      </c>
      <c r="B556" s="28"/>
      <c r="C556" s="27"/>
      <c r="D556" s="28"/>
      <c r="E556" s="21"/>
      <c r="F556" s="36" t="str">
        <f t="shared" si="20"/>
        <v>Did Not</v>
      </c>
      <c r="G556" s="28"/>
      <c r="H556" s="28"/>
      <c r="I556" s="28"/>
      <c r="J556" s="28"/>
      <c r="K556" s="28"/>
      <c r="L556" s="28"/>
      <c r="M556" s="28"/>
      <c r="N556" s="21"/>
      <c r="O556" s="28"/>
      <c r="P556" s="37"/>
      <c r="Q556" s="21"/>
      <c r="R556" s="21"/>
      <c r="S556" s="47"/>
      <c r="T556" s="25">
        <f t="shared" si="19"/>
        <v>0</v>
      </c>
      <c r="U556" s="25" t="str">
        <f>IF('PART III-DEMOGRAPHICS'!Q566="","",'PART III-DEMOGRAPHICS'!Q566)</f>
        <v/>
      </c>
    </row>
    <row r="557" spans="1:21">
      <c r="A557" s="25" t="str">
        <f>IF('PART III-DEMOGRAPHICS'!A567="","",'PART III-DEMOGRAPHICS'!A567)</f>
        <v/>
      </c>
      <c r="B557" s="28"/>
      <c r="C557" s="27"/>
      <c r="D557" s="28"/>
      <c r="E557" s="21"/>
      <c r="F557" s="36" t="str">
        <f t="shared" si="20"/>
        <v>Did Not</v>
      </c>
      <c r="G557" s="28"/>
      <c r="H557" s="28"/>
      <c r="I557" s="28"/>
      <c r="J557" s="28"/>
      <c r="K557" s="28"/>
      <c r="L557" s="28"/>
      <c r="M557" s="28"/>
      <c r="N557" s="21"/>
      <c r="O557" s="28"/>
      <c r="P557" s="37"/>
      <c r="Q557" s="21"/>
      <c r="R557" s="21"/>
      <c r="S557" s="47"/>
      <c r="T557" s="25">
        <f t="shared" si="19"/>
        <v>0</v>
      </c>
      <c r="U557" s="25" t="str">
        <f>IF('PART III-DEMOGRAPHICS'!Q567="","",'PART III-DEMOGRAPHICS'!Q567)</f>
        <v/>
      </c>
    </row>
    <row r="558" spans="1:21">
      <c r="A558" s="25" t="str">
        <f>IF('PART III-DEMOGRAPHICS'!A568="","",'PART III-DEMOGRAPHICS'!A568)</f>
        <v/>
      </c>
      <c r="B558" s="28"/>
      <c r="C558" s="27"/>
      <c r="D558" s="28"/>
      <c r="E558" s="21"/>
      <c r="F558" s="36" t="str">
        <f t="shared" si="20"/>
        <v>Did Not</v>
      </c>
      <c r="G558" s="28"/>
      <c r="H558" s="28"/>
      <c r="I558" s="28"/>
      <c r="J558" s="28"/>
      <c r="K558" s="28"/>
      <c r="L558" s="28"/>
      <c r="M558" s="28"/>
      <c r="N558" s="21"/>
      <c r="O558" s="28"/>
      <c r="P558" s="37"/>
      <c r="Q558" s="21"/>
      <c r="R558" s="21"/>
      <c r="S558" s="47"/>
      <c r="T558" s="25">
        <f t="shared" si="19"/>
        <v>0</v>
      </c>
      <c r="U558" s="25" t="str">
        <f>IF('PART III-DEMOGRAPHICS'!Q568="","",'PART III-DEMOGRAPHICS'!Q568)</f>
        <v/>
      </c>
    </row>
    <row r="559" spans="1:21">
      <c r="A559" s="25" t="str">
        <f>IF('PART III-DEMOGRAPHICS'!A569="","",'PART III-DEMOGRAPHICS'!A569)</f>
        <v/>
      </c>
      <c r="B559" s="28"/>
      <c r="C559" s="27"/>
      <c r="D559" s="28"/>
      <c r="E559" s="21"/>
      <c r="F559" s="36" t="str">
        <f t="shared" si="20"/>
        <v>Did Not</v>
      </c>
      <c r="G559" s="28"/>
      <c r="H559" s="28"/>
      <c r="I559" s="28"/>
      <c r="J559" s="28"/>
      <c r="K559" s="28"/>
      <c r="L559" s="28"/>
      <c r="M559" s="28"/>
      <c r="N559" s="21"/>
      <c r="O559" s="28"/>
      <c r="P559" s="37"/>
      <c r="Q559" s="21"/>
      <c r="R559" s="21"/>
      <c r="S559" s="47"/>
      <c r="T559" s="25">
        <f t="shared" si="19"/>
        <v>0</v>
      </c>
      <c r="U559" s="25" t="str">
        <f>IF('PART III-DEMOGRAPHICS'!Q569="","",'PART III-DEMOGRAPHICS'!Q569)</f>
        <v/>
      </c>
    </row>
    <row r="560" spans="1:21">
      <c r="A560" s="25" t="str">
        <f>IF('PART III-DEMOGRAPHICS'!A570="","",'PART III-DEMOGRAPHICS'!A570)</f>
        <v/>
      </c>
      <c r="B560" s="28"/>
      <c r="C560" s="27"/>
      <c r="D560" s="28"/>
      <c r="E560" s="21"/>
      <c r="F560" s="36" t="str">
        <f t="shared" si="20"/>
        <v>Did Not</v>
      </c>
      <c r="G560" s="28"/>
      <c r="H560" s="28"/>
      <c r="I560" s="28"/>
      <c r="J560" s="28"/>
      <c r="K560" s="28"/>
      <c r="L560" s="28"/>
      <c r="M560" s="28"/>
      <c r="N560" s="21"/>
      <c r="O560" s="28"/>
      <c r="P560" s="37"/>
      <c r="Q560" s="21"/>
      <c r="R560" s="21"/>
      <c r="S560" s="47"/>
      <c r="T560" s="25">
        <f t="shared" si="19"/>
        <v>0</v>
      </c>
      <c r="U560" s="25" t="str">
        <f>IF('PART III-DEMOGRAPHICS'!Q570="","",'PART III-DEMOGRAPHICS'!Q570)</f>
        <v/>
      </c>
    </row>
    <row r="561" spans="1:21">
      <c r="A561" s="25" t="str">
        <f>IF('PART III-DEMOGRAPHICS'!A571="","",'PART III-DEMOGRAPHICS'!A571)</f>
        <v/>
      </c>
      <c r="B561" s="28"/>
      <c r="C561" s="27"/>
      <c r="D561" s="28"/>
      <c r="E561" s="21"/>
      <c r="F561" s="36" t="str">
        <f t="shared" si="20"/>
        <v>Did Not</v>
      </c>
      <c r="G561" s="28"/>
      <c r="H561" s="28"/>
      <c r="I561" s="28"/>
      <c r="J561" s="28"/>
      <c r="K561" s="28"/>
      <c r="L561" s="28"/>
      <c r="M561" s="28"/>
      <c r="N561" s="21"/>
      <c r="O561" s="28"/>
      <c r="P561" s="37"/>
      <c r="Q561" s="21"/>
      <c r="R561" s="21"/>
      <c r="S561" s="47"/>
      <c r="T561" s="25">
        <f t="shared" si="19"/>
        <v>0</v>
      </c>
      <c r="U561" s="25" t="str">
        <f>IF('PART III-DEMOGRAPHICS'!Q571="","",'PART III-DEMOGRAPHICS'!Q571)</f>
        <v/>
      </c>
    </row>
    <row r="562" spans="1:21">
      <c r="A562" s="25" t="str">
        <f>IF('PART III-DEMOGRAPHICS'!A572="","",'PART III-DEMOGRAPHICS'!A572)</f>
        <v/>
      </c>
      <c r="B562" s="28"/>
      <c r="C562" s="27"/>
      <c r="D562" s="28"/>
      <c r="E562" s="21"/>
      <c r="F562" s="36" t="str">
        <f t="shared" si="20"/>
        <v>Did Not</v>
      </c>
      <c r="G562" s="28"/>
      <c r="H562" s="28"/>
      <c r="I562" s="28"/>
      <c r="J562" s="28"/>
      <c r="K562" s="28"/>
      <c r="L562" s="28"/>
      <c r="M562" s="28"/>
      <c r="N562" s="21"/>
      <c r="O562" s="28"/>
      <c r="P562" s="37"/>
      <c r="Q562" s="21"/>
      <c r="R562" s="21"/>
      <c r="S562" s="47"/>
      <c r="T562" s="25">
        <f t="shared" si="19"/>
        <v>0</v>
      </c>
      <c r="U562" s="25" t="str">
        <f>IF('PART III-DEMOGRAPHICS'!Q572="","",'PART III-DEMOGRAPHICS'!Q572)</f>
        <v/>
      </c>
    </row>
    <row r="563" spans="1:21">
      <c r="A563" s="25" t="str">
        <f>IF('PART III-DEMOGRAPHICS'!A573="","",'PART III-DEMOGRAPHICS'!A573)</f>
        <v/>
      </c>
      <c r="B563" s="28"/>
      <c r="C563" s="27"/>
      <c r="D563" s="28"/>
      <c r="E563" s="21"/>
      <c r="F563" s="36" t="str">
        <f t="shared" si="20"/>
        <v>Did Not</v>
      </c>
      <c r="G563" s="28"/>
      <c r="H563" s="28"/>
      <c r="I563" s="28"/>
      <c r="J563" s="28"/>
      <c r="K563" s="28"/>
      <c r="L563" s="28"/>
      <c r="M563" s="28"/>
      <c r="N563" s="21"/>
      <c r="O563" s="28"/>
      <c r="P563" s="37"/>
      <c r="Q563" s="21"/>
      <c r="R563" s="21"/>
      <c r="S563" s="47"/>
      <c r="T563" s="25">
        <f t="shared" si="19"/>
        <v>0</v>
      </c>
      <c r="U563" s="25" t="str">
        <f>IF('PART III-DEMOGRAPHICS'!Q573="","",'PART III-DEMOGRAPHICS'!Q573)</f>
        <v/>
      </c>
    </row>
    <row r="564" spans="1:21">
      <c r="A564" s="25" t="str">
        <f>IF('PART III-DEMOGRAPHICS'!A574="","",'PART III-DEMOGRAPHICS'!A574)</f>
        <v/>
      </c>
      <c r="B564" s="28"/>
      <c r="C564" s="27"/>
      <c r="D564" s="28"/>
      <c r="E564" s="21"/>
      <c r="F564" s="36" t="str">
        <f t="shared" si="20"/>
        <v>Did Not</v>
      </c>
      <c r="G564" s="28"/>
      <c r="H564" s="28"/>
      <c r="I564" s="28"/>
      <c r="J564" s="28"/>
      <c r="K564" s="28"/>
      <c r="L564" s="28"/>
      <c r="M564" s="28"/>
      <c r="N564" s="21"/>
      <c r="O564" s="28"/>
      <c r="P564" s="37"/>
      <c r="Q564" s="21"/>
      <c r="R564" s="21"/>
      <c r="S564" s="47"/>
      <c r="T564" s="25">
        <f t="shared" si="19"/>
        <v>0</v>
      </c>
      <c r="U564" s="25" t="str">
        <f>IF('PART III-DEMOGRAPHICS'!Q574="","",'PART III-DEMOGRAPHICS'!Q574)</f>
        <v/>
      </c>
    </row>
    <row r="565" spans="1:21">
      <c r="A565" s="25" t="str">
        <f>IF('PART III-DEMOGRAPHICS'!A575="","",'PART III-DEMOGRAPHICS'!A575)</f>
        <v/>
      </c>
      <c r="B565" s="28"/>
      <c r="C565" s="27"/>
      <c r="D565" s="28"/>
      <c r="E565" s="21"/>
      <c r="F565" s="36" t="str">
        <f t="shared" si="20"/>
        <v>Did Not</v>
      </c>
      <c r="G565" s="28"/>
      <c r="H565" s="28"/>
      <c r="I565" s="28"/>
      <c r="J565" s="28"/>
      <c r="K565" s="28"/>
      <c r="L565" s="28"/>
      <c r="M565" s="28"/>
      <c r="N565" s="21"/>
      <c r="O565" s="28"/>
      <c r="P565" s="37"/>
      <c r="Q565" s="21"/>
      <c r="R565" s="21"/>
      <c r="S565" s="47"/>
      <c r="T565" s="25">
        <f t="shared" si="19"/>
        <v>0</v>
      </c>
      <c r="U565" s="25" t="str">
        <f>IF('PART III-DEMOGRAPHICS'!Q575="","",'PART III-DEMOGRAPHICS'!Q575)</f>
        <v/>
      </c>
    </row>
    <row r="566" spans="1:21">
      <c r="A566" s="25" t="str">
        <f>IF('PART III-DEMOGRAPHICS'!A576="","",'PART III-DEMOGRAPHICS'!A576)</f>
        <v/>
      </c>
      <c r="B566" s="28"/>
      <c r="C566" s="27"/>
      <c r="D566" s="28"/>
      <c r="E566" s="21"/>
      <c r="F566" s="36" t="str">
        <f t="shared" si="20"/>
        <v>Did Not</v>
      </c>
      <c r="G566" s="28"/>
      <c r="H566" s="28"/>
      <c r="I566" s="28"/>
      <c r="J566" s="28"/>
      <c r="K566" s="28"/>
      <c r="L566" s="28"/>
      <c r="M566" s="28"/>
      <c r="N566" s="21"/>
      <c r="O566" s="28"/>
      <c r="P566" s="37"/>
      <c r="Q566" s="21"/>
      <c r="R566" s="21"/>
      <c r="S566" s="47"/>
      <c r="T566" s="25">
        <f t="shared" si="19"/>
        <v>0</v>
      </c>
      <c r="U566" s="25" t="str">
        <f>IF('PART III-DEMOGRAPHICS'!Q576="","",'PART III-DEMOGRAPHICS'!Q576)</f>
        <v/>
      </c>
    </row>
    <row r="567" spans="1:21">
      <c r="A567" s="25" t="str">
        <f>IF('PART III-DEMOGRAPHICS'!A577="","",'PART III-DEMOGRAPHICS'!A577)</f>
        <v/>
      </c>
      <c r="B567" s="28"/>
      <c r="C567" s="27"/>
      <c r="D567" s="28"/>
      <c r="E567" s="21"/>
      <c r="F567" s="36" t="str">
        <f t="shared" si="20"/>
        <v>Did Not</v>
      </c>
      <c r="G567" s="28"/>
      <c r="H567" s="28"/>
      <c r="I567" s="28"/>
      <c r="J567" s="28"/>
      <c r="K567" s="28"/>
      <c r="L567" s="28"/>
      <c r="M567" s="28"/>
      <c r="N567" s="21"/>
      <c r="O567" s="28"/>
      <c r="P567" s="37"/>
      <c r="Q567" s="21"/>
      <c r="R567" s="21"/>
      <c r="S567" s="47"/>
      <c r="T567" s="25">
        <f t="shared" si="19"/>
        <v>0</v>
      </c>
      <c r="U567" s="25" t="str">
        <f>IF('PART III-DEMOGRAPHICS'!Q577="","",'PART III-DEMOGRAPHICS'!Q577)</f>
        <v/>
      </c>
    </row>
    <row r="568" spans="1:21">
      <c r="A568" s="25" t="str">
        <f>IF('PART III-DEMOGRAPHICS'!A578="","",'PART III-DEMOGRAPHICS'!A578)</f>
        <v/>
      </c>
      <c r="B568" s="28"/>
      <c r="C568" s="27"/>
      <c r="D568" s="28"/>
      <c r="E568" s="21"/>
      <c r="F568" s="36" t="str">
        <f t="shared" si="20"/>
        <v>Did Not</v>
      </c>
      <c r="G568" s="28"/>
      <c r="H568" s="28"/>
      <c r="I568" s="28"/>
      <c r="J568" s="28"/>
      <c r="K568" s="28"/>
      <c r="L568" s="28"/>
      <c r="M568" s="28"/>
      <c r="N568" s="21"/>
      <c r="O568" s="28"/>
      <c r="P568" s="37"/>
      <c r="Q568" s="21"/>
      <c r="R568" s="21"/>
      <c r="S568" s="47"/>
      <c r="T568" s="25">
        <f t="shared" si="19"/>
        <v>0</v>
      </c>
      <c r="U568" s="25" t="str">
        <f>IF('PART III-DEMOGRAPHICS'!Q578="","",'PART III-DEMOGRAPHICS'!Q578)</f>
        <v/>
      </c>
    </row>
    <row r="569" spans="1:21">
      <c r="A569" s="25" t="str">
        <f>IF('PART III-DEMOGRAPHICS'!A579="","",'PART III-DEMOGRAPHICS'!A579)</f>
        <v/>
      </c>
      <c r="B569" s="28"/>
      <c r="C569" s="27"/>
      <c r="D569" s="28"/>
      <c r="E569" s="21"/>
      <c r="F569" s="36" t="str">
        <f t="shared" si="20"/>
        <v>Did Not</v>
      </c>
      <c r="G569" s="28"/>
      <c r="H569" s="28"/>
      <c r="I569" s="28"/>
      <c r="J569" s="28"/>
      <c r="K569" s="28"/>
      <c r="L569" s="28"/>
      <c r="M569" s="28"/>
      <c r="N569" s="21"/>
      <c r="O569" s="28"/>
      <c r="P569" s="37"/>
      <c r="Q569" s="21"/>
      <c r="R569" s="21"/>
      <c r="S569" s="47"/>
      <c r="T569" s="25">
        <f t="shared" si="19"/>
        <v>0</v>
      </c>
      <c r="U569" s="25" t="str">
        <f>IF('PART III-DEMOGRAPHICS'!Q579="","",'PART III-DEMOGRAPHICS'!Q579)</f>
        <v/>
      </c>
    </row>
    <row r="570" spans="1:21">
      <c r="A570" s="25" t="str">
        <f>IF('PART III-DEMOGRAPHICS'!A580="","",'PART III-DEMOGRAPHICS'!A580)</f>
        <v/>
      </c>
      <c r="B570" s="28"/>
      <c r="C570" s="27"/>
      <c r="D570" s="28"/>
      <c r="E570" s="21"/>
      <c r="F570" s="36" t="str">
        <f t="shared" si="20"/>
        <v>Did Not</v>
      </c>
      <c r="G570" s="28"/>
      <c r="H570" s="28"/>
      <c r="I570" s="28"/>
      <c r="J570" s="28"/>
      <c r="K570" s="28"/>
      <c r="L570" s="28"/>
      <c r="M570" s="28"/>
      <c r="N570" s="21"/>
      <c r="O570" s="28"/>
      <c r="P570" s="37"/>
      <c r="Q570" s="21"/>
      <c r="R570" s="21"/>
      <c r="S570" s="47"/>
      <c r="T570" s="25">
        <f t="shared" si="19"/>
        <v>0</v>
      </c>
      <c r="U570" s="25" t="str">
        <f>IF('PART III-DEMOGRAPHICS'!Q580="","",'PART III-DEMOGRAPHICS'!Q580)</f>
        <v/>
      </c>
    </row>
    <row r="571" spans="1:21">
      <c r="A571" s="25" t="str">
        <f>IF('PART III-DEMOGRAPHICS'!A581="","",'PART III-DEMOGRAPHICS'!A581)</f>
        <v/>
      </c>
      <c r="B571" s="28"/>
      <c r="C571" s="27"/>
      <c r="D571" s="28"/>
      <c r="E571" s="21"/>
      <c r="F571" s="36" t="str">
        <f t="shared" si="20"/>
        <v>Did Not</v>
      </c>
      <c r="G571" s="28"/>
      <c r="H571" s="28"/>
      <c r="I571" s="28"/>
      <c r="J571" s="28"/>
      <c r="K571" s="28"/>
      <c r="L571" s="28"/>
      <c r="M571" s="28"/>
      <c r="N571" s="21"/>
      <c r="O571" s="28"/>
      <c r="P571" s="37"/>
      <c r="Q571" s="21"/>
      <c r="R571" s="21"/>
      <c r="S571" s="47"/>
      <c r="T571" s="25">
        <f t="shared" si="19"/>
        <v>0</v>
      </c>
      <c r="U571" s="25" t="str">
        <f>IF('PART III-DEMOGRAPHICS'!Q581="","",'PART III-DEMOGRAPHICS'!Q581)</f>
        <v/>
      </c>
    </row>
    <row r="572" spans="1:21">
      <c r="A572" s="25" t="str">
        <f>IF('PART III-DEMOGRAPHICS'!A582="","",'PART III-DEMOGRAPHICS'!A582)</f>
        <v/>
      </c>
      <c r="B572" s="28"/>
      <c r="C572" s="27"/>
      <c r="D572" s="28"/>
      <c r="E572" s="21"/>
      <c r="F572" s="36" t="str">
        <f t="shared" si="20"/>
        <v>Did Not</v>
      </c>
      <c r="G572" s="28"/>
      <c r="H572" s="28"/>
      <c r="I572" s="28"/>
      <c r="J572" s="28"/>
      <c r="K572" s="28"/>
      <c r="L572" s="28"/>
      <c r="M572" s="28"/>
      <c r="N572" s="21"/>
      <c r="O572" s="28"/>
      <c r="P572" s="37"/>
      <c r="Q572" s="21"/>
      <c r="R572" s="21"/>
      <c r="S572" s="47"/>
      <c r="T572" s="25">
        <f t="shared" si="19"/>
        <v>0</v>
      </c>
      <c r="U572" s="25" t="str">
        <f>IF('PART III-DEMOGRAPHICS'!Q582="","",'PART III-DEMOGRAPHICS'!Q582)</f>
        <v/>
      </c>
    </row>
    <row r="573" spans="1:21">
      <c r="A573" s="25" t="str">
        <f>IF('PART III-DEMOGRAPHICS'!A583="","",'PART III-DEMOGRAPHICS'!A583)</f>
        <v/>
      </c>
      <c r="B573" s="28"/>
      <c r="C573" s="27"/>
      <c r="D573" s="28"/>
      <c r="E573" s="21"/>
      <c r="F573" s="36" t="str">
        <f t="shared" si="20"/>
        <v>Did Not</v>
      </c>
      <c r="G573" s="28"/>
      <c r="H573" s="28"/>
      <c r="I573" s="28"/>
      <c r="J573" s="28"/>
      <c r="K573" s="28"/>
      <c r="L573" s="28"/>
      <c r="M573" s="28"/>
      <c r="N573" s="21"/>
      <c r="O573" s="28"/>
      <c r="P573" s="37"/>
      <c r="Q573" s="21"/>
      <c r="R573" s="21"/>
      <c r="S573" s="47"/>
      <c r="T573" s="25">
        <f t="shared" si="19"/>
        <v>0</v>
      </c>
      <c r="U573" s="25" t="str">
        <f>IF('PART III-DEMOGRAPHICS'!Q583="","",'PART III-DEMOGRAPHICS'!Q583)</f>
        <v/>
      </c>
    </row>
    <row r="574" spans="1:21">
      <c r="A574" s="25" t="str">
        <f>IF('PART III-DEMOGRAPHICS'!A584="","",'PART III-DEMOGRAPHICS'!A584)</f>
        <v/>
      </c>
      <c r="B574" s="28"/>
      <c r="C574" s="27"/>
      <c r="D574" s="28"/>
      <c r="E574" s="21"/>
      <c r="F574" s="36" t="str">
        <f t="shared" si="20"/>
        <v>Did Not</v>
      </c>
      <c r="G574" s="28"/>
      <c r="H574" s="28"/>
      <c r="I574" s="28"/>
      <c r="J574" s="28"/>
      <c r="K574" s="28"/>
      <c r="L574" s="28"/>
      <c r="M574" s="28"/>
      <c r="N574" s="21"/>
      <c r="O574" s="28"/>
      <c r="P574" s="37"/>
      <c r="Q574" s="21"/>
      <c r="R574" s="21"/>
      <c r="S574" s="47"/>
      <c r="T574" s="25">
        <f t="shared" si="19"/>
        <v>0</v>
      </c>
      <c r="U574" s="25" t="str">
        <f>IF('PART III-DEMOGRAPHICS'!Q584="","",'PART III-DEMOGRAPHICS'!Q584)</f>
        <v/>
      </c>
    </row>
    <row r="575" spans="1:21">
      <c r="A575" s="25" t="str">
        <f>IF('PART III-DEMOGRAPHICS'!A585="","",'PART III-DEMOGRAPHICS'!A585)</f>
        <v/>
      </c>
      <c r="B575" s="28"/>
      <c r="C575" s="27"/>
      <c r="D575" s="28"/>
      <c r="E575" s="21"/>
      <c r="F575" s="36" t="str">
        <f t="shared" si="20"/>
        <v>Did Not</v>
      </c>
      <c r="G575" s="28"/>
      <c r="H575" s="28"/>
      <c r="I575" s="28"/>
      <c r="J575" s="28"/>
      <c r="K575" s="28"/>
      <c r="L575" s="28"/>
      <c r="M575" s="28"/>
      <c r="N575" s="21"/>
      <c r="O575" s="28"/>
      <c r="P575" s="37"/>
      <c r="Q575" s="21"/>
      <c r="R575" s="21"/>
      <c r="S575" s="47"/>
      <c r="T575" s="25">
        <f t="shared" si="19"/>
        <v>0</v>
      </c>
      <c r="U575" s="25" t="str">
        <f>IF('PART III-DEMOGRAPHICS'!Q585="","",'PART III-DEMOGRAPHICS'!Q585)</f>
        <v/>
      </c>
    </row>
    <row r="576" spans="1:21">
      <c r="A576" s="25" t="str">
        <f>IF('PART III-DEMOGRAPHICS'!A586="","",'PART III-DEMOGRAPHICS'!A586)</f>
        <v/>
      </c>
      <c r="B576" s="28"/>
      <c r="C576" s="27"/>
      <c r="D576" s="28"/>
      <c r="E576" s="21"/>
      <c r="F576" s="36" t="str">
        <f t="shared" si="20"/>
        <v>Did Not</v>
      </c>
      <c r="G576" s="28"/>
      <c r="H576" s="28"/>
      <c r="I576" s="28"/>
      <c r="J576" s="28"/>
      <c r="K576" s="28"/>
      <c r="L576" s="28"/>
      <c r="M576" s="28"/>
      <c r="N576" s="21"/>
      <c r="O576" s="28"/>
      <c r="P576" s="37"/>
      <c r="Q576" s="21"/>
      <c r="R576" s="21"/>
      <c r="S576" s="47"/>
      <c r="T576" s="25">
        <f t="shared" si="19"/>
        <v>0</v>
      </c>
      <c r="U576" s="25" t="str">
        <f>IF('PART III-DEMOGRAPHICS'!Q586="","",'PART III-DEMOGRAPHICS'!Q586)</f>
        <v/>
      </c>
    </row>
    <row r="577" spans="1:21">
      <c r="A577" s="25" t="str">
        <f>IF('PART III-DEMOGRAPHICS'!A587="","",'PART III-DEMOGRAPHICS'!A587)</f>
        <v/>
      </c>
      <c r="B577" s="28"/>
      <c r="C577" s="27"/>
      <c r="D577" s="28"/>
      <c r="E577" s="21"/>
      <c r="F577" s="36" t="str">
        <f t="shared" si="20"/>
        <v>Did Not</v>
      </c>
      <c r="G577" s="28"/>
      <c r="H577" s="28"/>
      <c r="I577" s="28"/>
      <c r="J577" s="28"/>
      <c r="K577" s="28"/>
      <c r="L577" s="28"/>
      <c r="M577" s="28"/>
      <c r="N577" s="21"/>
      <c r="O577" s="28"/>
      <c r="P577" s="37"/>
      <c r="Q577" s="21"/>
      <c r="R577" s="21"/>
      <c r="S577" s="47"/>
      <c r="T577" s="25">
        <f t="shared" si="19"/>
        <v>0</v>
      </c>
      <c r="U577" s="25" t="str">
        <f>IF('PART III-DEMOGRAPHICS'!Q587="","",'PART III-DEMOGRAPHICS'!Q587)</f>
        <v/>
      </c>
    </row>
    <row r="578" spans="1:21">
      <c r="A578" s="25" t="str">
        <f>IF('PART III-DEMOGRAPHICS'!A588="","",'PART III-DEMOGRAPHICS'!A588)</f>
        <v/>
      </c>
      <c r="B578" s="28"/>
      <c r="C578" s="27"/>
      <c r="D578" s="28"/>
      <c r="E578" s="21"/>
      <c r="F578" s="36" t="str">
        <f t="shared" si="20"/>
        <v>Did Not</v>
      </c>
      <c r="G578" s="28"/>
      <c r="H578" s="28"/>
      <c r="I578" s="28"/>
      <c r="J578" s="28"/>
      <c r="K578" s="28"/>
      <c r="L578" s="28"/>
      <c r="M578" s="28"/>
      <c r="N578" s="21"/>
      <c r="O578" s="28"/>
      <c r="P578" s="37"/>
      <c r="Q578" s="21"/>
      <c r="R578" s="21"/>
      <c r="S578" s="47"/>
      <c r="T578" s="25">
        <f t="shared" si="19"/>
        <v>0</v>
      </c>
      <c r="U578" s="25" t="str">
        <f>IF('PART III-DEMOGRAPHICS'!Q588="","",'PART III-DEMOGRAPHICS'!Q588)</f>
        <v/>
      </c>
    </row>
    <row r="579" spans="1:21">
      <c r="A579" s="25" t="str">
        <f>IF('PART III-DEMOGRAPHICS'!A589="","",'PART III-DEMOGRAPHICS'!A589)</f>
        <v/>
      </c>
      <c r="B579" s="28"/>
      <c r="C579" s="27"/>
      <c r="D579" s="28"/>
      <c r="E579" s="21"/>
      <c r="F579" s="36" t="str">
        <f t="shared" si="20"/>
        <v>Did Not</v>
      </c>
      <c r="G579" s="28"/>
      <c r="H579" s="28"/>
      <c r="I579" s="28"/>
      <c r="J579" s="28"/>
      <c r="K579" s="28"/>
      <c r="L579" s="28"/>
      <c r="M579" s="28"/>
      <c r="N579" s="21"/>
      <c r="O579" s="28"/>
      <c r="P579" s="37"/>
      <c r="Q579" s="21"/>
      <c r="R579" s="21"/>
      <c r="S579" s="47"/>
      <c r="T579" s="25">
        <f t="shared" si="19"/>
        <v>0</v>
      </c>
      <c r="U579" s="25" t="str">
        <f>IF('PART III-DEMOGRAPHICS'!Q589="","",'PART III-DEMOGRAPHICS'!Q589)</f>
        <v/>
      </c>
    </row>
    <row r="580" spans="1:21">
      <c r="A580" s="25" t="str">
        <f>IF('PART III-DEMOGRAPHICS'!A590="","",'PART III-DEMOGRAPHICS'!A590)</f>
        <v/>
      </c>
      <c r="B580" s="28"/>
      <c r="C580" s="27"/>
      <c r="D580" s="28"/>
      <c r="E580" s="21"/>
      <c r="F580" s="36" t="str">
        <f t="shared" si="20"/>
        <v>Did Not</v>
      </c>
      <c r="G580" s="28"/>
      <c r="H580" s="28"/>
      <c r="I580" s="28"/>
      <c r="J580" s="28"/>
      <c r="K580" s="28"/>
      <c r="L580" s="28"/>
      <c r="M580" s="28"/>
      <c r="N580" s="21"/>
      <c r="O580" s="28"/>
      <c r="P580" s="37"/>
      <c r="Q580" s="21"/>
      <c r="R580" s="21"/>
      <c r="S580" s="47"/>
      <c r="T580" s="25">
        <f t="shared" si="19"/>
        <v>0</v>
      </c>
      <c r="U580" s="25" t="str">
        <f>IF('PART III-DEMOGRAPHICS'!Q590="","",'PART III-DEMOGRAPHICS'!Q590)</f>
        <v/>
      </c>
    </row>
    <row r="581" spans="1:21">
      <c r="A581" s="25" t="str">
        <f>IF('PART III-DEMOGRAPHICS'!A591="","",'PART III-DEMOGRAPHICS'!A591)</f>
        <v/>
      </c>
      <c r="B581" s="28"/>
      <c r="C581" s="27"/>
      <c r="D581" s="28"/>
      <c r="E581" s="21"/>
      <c r="F581" s="36" t="str">
        <f t="shared" si="20"/>
        <v>Did Not</v>
      </c>
      <c r="G581" s="28"/>
      <c r="H581" s="28"/>
      <c r="I581" s="28"/>
      <c r="J581" s="28"/>
      <c r="K581" s="28"/>
      <c r="L581" s="28"/>
      <c r="M581" s="28"/>
      <c r="N581" s="21"/>
      <c r="O581" s="28"/>
      <c r="P581" s="37"/>
      <c r="Q581" s="21"/>
      <c r="R581" s="21"/>
      <c r="S581" s="47"/>
      <c r="T581" s="25">
        <f t="shared" si="19"/>
        <v>0</v>
      </c>
      <c r="U581" s="25" t="str">
        <f>IF('PART III-DEMOGRAPHICS'!Q591="","",'PART III-DEMOGRAPHICS'!Q591)</f>
        <v/>
      </c>
    </row>
    <row r="582" spans="1:21">
      <c r="A582" s="25" t="str">
        <f>IF('PART III-DEMOGRAPHICS'!A592="","",'PART III-DEMOGRAPHICS'!A592)</f>
        <v/>
      </c>
      <c r="B582" s="28"/>
      <c r="C582" s="27"/>
      <c r="D582" s="28"/>
      <c r="E582" s="21"/>
      <c r="F582" s="36" t="str">
        <f t="shared" si="20"/>
        <v>Did Not</v>
      </c>
      <c r="G582" s="28"/>
      <c r="H582" s="28"/>
      <c r="I582" s="28"/>
      <c r="J582" s="28"/>
      <c r="K582" s="28"/>
      <c r="L582" s="28"/>
      <c r="M582" s="28"/>
      <c r="N582" s="21"/>
      <c r="O582" s="28"/>
      <c r="P582" s="37"/>
      <c r="Q582" s="21"/>
      <c r="R582" s="21"/>
      <c r="S582" s="47"/>
      <c r="T582" s="25">
        <f t="shared" si="19"/>
        <v>0</v>
      </c>
      <c r="U582" s="25" t="str">
        <f>IF('PART III-DEMOGRAPHICS'!Q592="","",'PART III-DEMOGRAPHICS'!Q592)</f>
        <v/>
      </c>
    </row>
    <row r="583" spans="1:21">
      <c r="A583" s="25" t="str">
        <f>IF('PART III-DEMOGRAPHICS'!A593="","",'PART III-DEMOGRAPHICS'!A593)</f>
        <v/>
      </c>
      <c r="B583" s="28"/>
      <c r="C583" s="27"/>
      <c r="D583" s="28"/>
      <c r="E583" s="21"/>
      <c r="F583" s="36" t="str">
        <f t="shared" si="20"/>
        <v>Did Not</v>
      </c>
      <c r="G583" s="28"/>
      <c r="H583" s="28"/>
      <c r="I583" s="28"/>
      <c r="J583" s="28"/>
      <c r="K583" s="28"/>
      <c r="L583" s="28"/>
      <c r="M583" s="28"/>
      <c r="N583" s="21"/>
      <c r="O583" s="28"/>
      <c r="P583" s="37"/>
      <c r="Q583" s="21"/>
      <c r="R583" s="21"/>
      <c r="S583" s="47"/>
      <c r="T583" s="25">
        <f t="shared" ref="T583:T646" si="21">COUNTIF(A583:R583,"Yes")</f>
        <v>0</v>
      </c>
      <c r="U583" s="25" t="str">
        <f>IF('PART III-DEMOGRAPHICS'!Q593="","",'PART III-DEMOGRAPHICS'!Q593)</f>
        <v/>
      </c>
    </row>
    <row r="584" spans="1:21">
      <c r="A584" s="25" t="str">
        <f>IF('PART III-DEMOGRAPHICS'!A594="","",'PART III-DEMOGRAPHICS'!A594)</f>
        <v/>
      </c>
      <c r="B584" s="28"/>
      <c r="C584" s="27"/>
      <c r="D584" s="28"/>
      <c r="E584" s="21"/>
      <c r="F584" s="36" t="str">
        <f t="shared" si="20"/>
        <v>Did Not</v>
      </c>
      <c r="G584" s="28"/>
      <c r="H584" s="28"/>
      <c r="I584" s="28"/>
      <c r="J584" s="28"/>
      <c r="K584" s="28"/>
      <c r="L584" s="28"/>
      <c r="M584" s="28"/>
      <c r="N584" s="21"/>
      <c r="O584" s="28"/>
      <c r="P584" s="37"/>
      <c r="Q584" s="21"/>
      <c r="R584" s="21"/>
      <c r="S584" s="47"/>
      <c r="T584" s="25">
        <f t="shared" si="21"/>
        <v>0</v>
      </c>
      <c r="U584" s="25" t="str">
        <f>IF('PART III-DEMOGRAPHICS'!Q594="","",'PART III-DEMOGRAPHICS'!Q594)</f>
        <v/>
      </c>
    </row>
    <row r="585" spans="1:21">
      <c r="A585" s="25" t="str">
        <f>IF('PART III-DEMOGRAPHICS'!A595="","",'PART III-DEMOGRAPHICS'!A595)</f>
        <v/>
      </c>
      <c r="B585" s="28"/>
      <c r="C585" s="27"/>
      <c r="D585" s="28"/>
      <c r="E585" s="21"/>
      <c r="F585" s="36" t="str">
        <f t="shared" si="20"/>
        <v>Did Not</v>
      </c>
      <c r="G585" s="28"/>
      <c r="H585" s="28"/>
      <c r="I585" s="28"/>
      <c r="J585" s="28"/>
      <c r="K585" s="28"/>
      <c r="L585" s="28"/>
      <c r="M585" s="28"/>
      <c r="N585" s="21"/>
      <c r="O585" s="28"/>
      <c r="P585" s="37"/>
      <c r="Q585" s="21"/>
      <c r="R585" s="21"/>
      <c r="S585" s="47"/>
      <c r="T585" s="25">
        <f t="shared" si="21"/>
        <v>0</v>
      </c>
      <c r="U585" s="25" t="str">
        <f>IF('PART III-DEMOGRAPHICS'!Q595="","",'PART III-DEMOGRAPHICS'!Q595)</f>
        <v/>
      </c>
    </row>
    <row r="586" spans="1:21">
      <c r="A586" s="25" t="str">
        <f>IF('PART III-DEMOGRAPHICS'!A596="","",'PART III-DEMOGRAPHICS'!A596)</f>
        <v/>
      </c>
      <c r="B586" s="28"/>
      <c r="C586" s="27"/>
      <c r="D586" s="28"/>
      <c r="E586" s="21"/>
      <c r="F586" s="36" t="str">
        <f t="shared" si="20"/>
        <v>Did Not</v>
      </c>
      <c r="G586" s="28"/>
      <c r="H586" s="28"/>
      <c r="I586" s="28"/>
      <c r="J586" s="28"/>
      <c r="K586" s="28"/>
      <c r="L586" s="28"/>
      <c r="M586" s="28"/>
      <c r="N586" s="21"/>
      <c r="O586" s="28"/>
      <c r="P586" s="37"/>
      <c r="Q586" s="21"/>
      <c r="R586" s="21"/>
      <c r="S586" s="47"/>
      <c r="T586" s="25">
        <f t="shared" si="21"/>
        <v>0</v>
      </c>
      <c r="U586" s="25" t="str">
        <f>IF('PART III-DEMOGRAPHICS'!Q596="","",'PART III-DEMOGRAPHICS'!Q596)</f>
        <v/>
      </c>
    </row>
    <row r="587" spans="1:21">
      <c r="A587" s="25" t="str">
        <f>IF('PART III-DEMOGRAPHICS'!A597="","",'PART III-DEMOGRAPHICS'!A597)</f>
        <v/>
      </c>
      <c r="B587" s="28"/>
      <c r="C587" s="27"/>
      <c r="D587" s="28"/>
      <c r="E587" s="21"/>
      <c r="F587" s="36" t="str">
        <f t="shared" si="20"/>
        <v>Did Not</v>
      </c>
      <c r="G587" s="28"/>
      <c r="H587" s="28"/>
      <c r="I587" s="28"/>
      <c r="J587" s="28"/>
      <c r="K587" s="28"/>
      <c r="L587" s="28"/>
      <c r="M587" s="28"/>
      <c r="N587" s="21"/>
      <c r="O587" s="28"/>
      <c r="P587" s="37"/>
      <c r="Q587" s="21"/>
      <c r="R587" s="21"/>
      <c r="S587" s="47"/>
      <c r="T587" s="25">
        <f t="shared" si="21"/>
        <v>0</v>
      </c>
      <c r="U587" s="25" t="str">
        <f>IF('PART III-DEMOGRAPHICS'!Q597="","",'PART III-DEMOGRAPHICS'!Q597)</f>
        <v/>
      </c>
    </row>
    <row r="588" spans="1:21">
      <c r="A588" s="25" t="str">
        <f>IF('PART III-DEMOGRAPHICS'!A598="","",'PART III-DEMOGRAPHICS'!A598)</f>
        <v/>
      </c>
      <c r="B588" s="28"/>
      <c r="C588" s="27"/>
      <c r="D588" s="28"/>
      <c r="E588" s="21"/>
      <c r="F588" s="36" t="str">
        <f t="shared" si="20"/>
        <v>Did Not</v>
      </c>
      <c r="G588" s="28"/>
      <c r="H588" s="28"/>
      <c r="I588" s="28"/>
      <c r="J588" s="28"/>
      <c r="K588" s="28"/>
      <c r="L588" s="28"/>
      <c r="M588" s="28"/>
      <c r="N588" s="21"/>
      <c r="O588" s="28"/>
      <c r="P588" s="37"/>
      <c r="Q588" s="21"/>
      <c r="R588" s="21"/>
      <c r="S588" s="47"/>
      <c r="T588" s="25">
        <f t="shared" si="21"/>
        <v>0</v>
      </c>
      <c r="U588" s="25" t="str">
        <f>IF('PART III-DEMOGRAPHICS'!Q598="","",'PART III-DEMOGRAPHICS'!Q598)</f>
        <v/>
      </c>
    </row>
    <row r="589" spans="1:21">
      <c r="A589" s="25" t="str">
        <f>IF('PART III-DEMOGRAPHICS'!A599="","",'PART III-DEMOGRAPHICS'!A599)</f>
        <v/>
      </c>
      <c r="B589" s="28"/>
      <c r="C589" s="27"/>
      <c r="D589" s="28"/>
      <c r="E589" s="21"/>
      <c r="F589" s="36" t="str">
        <f t="shared" si="20"/>
        <v>Did Not</v>
      </c>
      <c r="G589" s="28"/>
      <c r="H589" s="28"/>
      <c r="I589" s="28"/>
      <c r="J589" s="28"/>
      <c r="K589" s="28"/>
      <c r="L589" s="28"/>
      <c r="M589" s="28"/>
      <c r="N589" s="21"/>
      <c r="O589" s="28"/>
      <c r="P589" s="37"/>
      <c r="Q589" s="21"/>
      <c r="R589" s="21"/>
      <c r="S589" s="47"/>
      <c r="T589" s="25">
        <f t="shared" si="21"/>
        <v>0</v>
      </c>
      <c r="U589" s="25" t="str">
        <f>IF('PART III-DEMOGRAPHICS'!Q599="","",'PART III-DEMOGRAPHICS'!Q599)</f>
        <v/>
      </c>
    </row>
    <row r="590" spans="1:21">
      <c r="A590" s="25" t="str">
        <f>IF('PART III-DEMOGRAPHICS'!A600="","",'PART III-DEMOGRAPHICS'!A600)</f>
        <v/>
      </c>
      <c r="B590" s="28"/>
      <c r="C590" s="27"/>
      <c r="D590" s="28"/>
      <c r="E590" s="21"/>
      <c r="F590" s="36" t="str">
        <f t="shared" ref="F590:F653" si="22">IF(OR(G590="Yes",H590="Yes",I590="Yes",J590="Yes",K590="Yes",L590="Yes",M590="Yes"),"Did","Did Not")</f>
        <v>Did Not</v>
      </c>
      <c r="G590" s="28"/>
      <c r="H590" s="28"/>
      <c r="I590" s="28"/>
      <c r="J590" s="28"/>
      <c r="K590" s="28"/>
      <c r="L590" s="28"/>
      <c r="M590" s="28"/>
      <c r="N590" s="21"/>
      <c r="O590" s="28"/>
      <c r="P590" s="37"/>
      <c r="Q590" s="21"/>
      <c r="R590" s="21"/>
      <c r="S590" s="47"/>
      <c r="T590" s="25">
        <f t="shared" si="21"/>
        <v>0</v>
      </c>
      <c r="U590" s="25" t="str">
        <f>IF('PART III-DEMOGRAPHICS'!Q600="","",'PART III-DEMOGRAPHICS'!Q600)</f>
        <v/>
      </c>
    </row>
    <row r="591" spans="1:21">
      <c r="A591" s="25" t="str">
        <f>IF('PART III-DEMOGRAPHICS'!A601="","",'PART III-DEMOGRAPHICS'!A601)</f>
        <v/>
      </c>
      <c r="B591" s="28"/>
      <c r="C591" s="27"/>
      <c r="D591" s="28"/>
      <c r="E591" s="21"/>
      <c r="F591" s="36" t="str">
        <f t="shared" si="22"/>
        <v>Did Not</v>
      </c>
      <c r="G591" s="28"/>
      <c r="H591" s="28"/>
      <c r="I591" s="28"/>
      <c r="J591" s="28"/>
      <c r="K591" s="28"/>
      <c r="L591" s="28"/>
      <c r="M591" s="28"/>
      <c r="N591" s="21"/>
      <c r="O591" s="28"/>
      <c r="P591" s="37"/>
      <c r="Q591" s="21"/>
      <c r="R591" s="21"/>
      <c r="S591" s="47"/>
      <c r="T591" s="25">
        <f t="shared" si="21"/>
        <v>0</v>
      </c>
      <c r="U591" s="25" t="str">
        <f>IF('PART III-DEMOGRAPHICS'!Q601="","",'PART III-DEMOGRAPHICS'!Q601)</f>
        <v/>
      </c>
    </row>
    <row r="592" spans="1:21">
      <c r="A592" s="25" t="str">
        <f>IF('PART III-DEMOGRAPHICS'!A602="","",'PART III-DEMOGRAPHICS'!A602)</f>
        <v/>
      </c>
      <c r="B592" s="28"/>
      <c r="C592" s="27"/>
      <c r="D592" s="28"/>
      <c r="E592" s="21"/>
      <c r="F592" s="36" t="str">
        <f t="shared" si="22"/>
        <v>Did Not</v>
      </c>
      <c r="G592" s="28"/>
      <c r="H592" s="28"/>
      <c r="I592" s="28"/>
      <c r="J592" s="28"/>
      <c r="K592" s="28"/>
      <c r="L592" s="28"/>
      <c r="M592" s="28"/>
      <c r="N592" s="21"/>
      <c r="O592" s="28"/>
      <c r="P592" s="37"/>
      <c r="Q592" s="21"/>
      <c r="R592" s="21"/>
      <c r="S592" s="47"/>
      <c r="T592" s="25">
        <f t="shared" si="21"/>
        <v>0</v>
      </c>
      <c r="U592" s="25" t="str">
        <f>IF('PART III-DEMOGRAPHICS'!Q602="","",'PART III-DEMOGRAPHICS'!Q602)</f>
        <v/>
      </c>
    </row>
    <row r="593" spans="1:21">
      <c r="A593" s="25" t="str">
        <f>IF('PART III-DEMOGRAPHICS'!A603="","",'PART III-DEMOGRAPHICS'!A603)</f>
        <v/>
      </c>
      <c r="B593" s="28"/>
      <c r="C593" s="27"/>
      <c r="D593" s="28"/>
      <c r="E593" s="21"/>
      <c r="F593" s="36" t="str">
        <f t="shared" si="22"/>
        <v>Did Not</v>
      </c>
      <c r="G593" s="28"/>
      <c r="H593" s="28"/>
      <c r="I593" s="28"/>
      <c r="J593" s="28"/>
      <c r="K593" s="28"/>
      <c r="L593" s="28"/>
      <c r="M593" s="28"/>
      <c r="N593" s="21"/>
      <c r="O593" s="28"/>
      <c r="P593" s="37"/>
      <c r="Q593" s="21"/>
      <c r="R593" s="21"/>
      <c r="S593" s="47"/>
      <c r="T593" s="25">
        <f t="shared" si="21"/>
        <v>0</v>
      </c>
      <c r="U593" s="25" t="str">
        <f>IF('PART III-DEMOGRAPHICS'!Q603="","",'PART III-DEMOGRAPHICS'!Q603)</f>
        <v/>
      </c>
    </row>
    <row r="594" spans="1:21">
      <c r="A594" s="25" t="str">
        <f>IF('PART III-DEMOGRAPHICS'!A604="","",'PART III-DEMOGRAPHICS'!A604)</f>
        <v/>
      </c>
      <c r="B594" s="28"/>
      <c r="C594" s="27"/>
      <c r="D594" s="28"/>
      <c r="E594" s="21"/>
      <c r="F594" s="36" t="str">
        <f t="shared" si="22"/>
        <v>Did Not</v>
      </c>
      <c r="G594" s="28"/>
      <c r="H594" s="28"/>
      <c r="I594" s="28"/>
      <c r="J594" s="28"/>
      <c r="K594" s="28"/>
      <c r="L594" s="28"/>
      <c r="M594" s="28"/>
      <c r="N594" s="21"/>
      <c r="O594" s="28"/>
      <c r="P594" s="37"/>
      <c r="Q594" s="21"/>
      <c r="R594" s="21"/>
      <c r="S594" s="47"/>
      <c r="T594" s="25">
        <f t="shared" si="21"/>
        <v>0</v>
      </c>
      <c r="U594" s="25" t="str">
        <f>IF('PART III-DEMOGRAPHICS'!Q604="","",'PART III-DEMOGRAPHICS'!Q604)</f>
        <v/>
      </c>
    </row>
    <row r="595" spans="1:21">
      <c r="A595" s="25" t="str">
        <f>IF('PART III-DEMOGRAPHICS'!A605="","",'PART III-DEMOGRAPHICS'!A605)</f>
        <v/>
      </c>
      <c r="B595" s="28"/>
      <c r="C595" s="27"/>
      <c r="D595" s="28"/>
      <c r="E595" s="21"/>
      <c r="F595" s="36" t="str">
        <f t="shared" si="22"/>
        <v>Did Not</v>
      </c>
      <c r="G595" s="28"/>
      <c r="H595" s="28"/>
      <c r="I595" s="28"/>
      <c r="J595" s="28"/>
      <c r="K595" s="28"/>
      <c r="L595" s="28"/>
      <c r="M595" s="28"/>
      <c r="N595" s="21"/>
      <c r="O595" s="28"/>
      <c r="P595" s="37"/>
      <c r="Q595" s="21"/>
      <c r="R595" s="21"/>
      <c r="S595" s="47"/>
      <c r="T595" s="25">
        <f t="shared" si="21"/>
        <v>0</v>
      </c>
      <c r="U595" s="25" t="str">
        <f>IF('PART III-DEMOGRAPHICS'!Q605="","",'PART III-DEMOGRAPHICS'!Q605)</f>
        <v/>
      </c>
    </row>
    <row r="596" spans="1:21">
      <c r="A596" s="25" t="str">
        <f>IF('PART III-DEMOGRAPHICS'!A606="","",'PART III-DEMOGRAPHICS'!A606)</f>
        <v/>
      </c>
      <c r="B596" s="28"/>
      <c r="C596" s="27"/>
      <c r="D596" s="28"/>
      <c r="E596" s="21"/>
      <c r="F596" s="36" t="str">
        <f t="shared" si="22"/>
        <v>Did Not</v>
      </c>
      <c r="G596" s="28"/>
      <c r="H596" s="28"/>
      <c r="I596" s="28"/>
      <c r="J596" s="28"/>
      <c r="K596" s="28"/>
      <c r="L596" s="28"/>
      <c r="M596" s="28"/>
      <c r="N596" s="21"/>
      <c r="O596" s="28"/>
      <c r="P596" s="37"/>
      <c r="Q596" s="21"/>
      <c r="R596" s="21"/>
      <c r="S596" s="47"/>
      <c r="T596" s="25">
        <f t="shared" si="21"/>
        <v>0</v>
      </c>
      <c r="U596" s="25" t="str">
        <f>IF('PART III-DEMOGRAPHICS'!Q606="","",'PART III-DEMOGRAPHICS'!Q606)</f>
        <v/>
      </c>
    </row>
    <row r="597" spans="1:21">
      <c r="A597" s="25" t="str">
        <f>IF('PART III-DEMOGRAPHICS'!A607="","",'PART III-DEMOGRAPHICS'!A607)</f>
        <v/>
      </c>
      <c r="B597" s="28"/>
      <c r="C597" s="27"/>
      <c r="D597" s="28"/>
      <c r="E597" s="21"/>
      <c r="F597" s="36" t="str">
        <f t="shared" si="22"/>
        <v>Did Not</v>
      </c>
      <c r="G597" s="28"/>
      <c r="H597" s="28"/>
      <c r="I597" s="28"/>
      <c r="J597" s="28"/>
      <c r="K597" s="28"/>
      <c r="L597" s="28"/>
      <c r="M597" s="28"/>
      <c r="N597" s="21"/>
      <c r="O597" s="28"/>
      <c r="P597" s="37"/>
      <c r="Q597" s="21"/>
      <c r="R597" s="21"/>
      <c r="S597" s="47"/>
      <c r="T597" s="25">
        <f t="shared" si="21"/>
        <v>0</v>
      </c>
      <c r="U597" s="25" t="str">
        <f>IF('PART III-DEMOGRAPHICS'!Q607="","",'PART III-DEMOGRAPHICS'!Q607)</f>
        <v/>
      </c>
    </row>
    <row r="598" spans="1:21">
      <c r="A598" s="25" t="str">
        <f>IF('PART III-DEMOGRAPHICS'!A608="","",'PART III-DEMOGRAPHICS'!A608)</f>
        <v/>
      </c>
      <c r="B598" s="28"/>
      <c r="C598" s="27"/>
      <c r="D598" s="28"/>
      <c r="E598" s="21"/>
      <c r="F598" s="36" t="str">
        <f t="shared" si="22"/>
        <v>Did Not</v>
      </c>
      <c r="G598" s="28"/>
      <c r="H598" s="28"/>
      <c r="I598" s="28"/>
      <c r="J598" s="28"/>
      <c r="K598" s="28"/>
      <c r="L598" s="28"/>
      <c r="M598" s="28"/>
      <c r="N598" s="21"/>
      <c r="O598" s="28"/>
      <c r="P598" s="37"/>
      <c r="Q598" s="21"/>
      <c r="R598" s="21"/>
      <c r="S598" s="47"/>
      <c r="T598" s="25">
        <f t="shared" si="21"/>
        <v>0</v>
      </c>
      <c r="U598" s="25" t="str">
        <f>IF('PART III-DEMOGRAPHICS'!Q608="","",'PART III-DEMOGRAPHICS'!Q608)</f>
        <v/>
      </c>
    </row>
    <row r="599" spans="1:21">
      <c r="A599" s="25" t="str">
        <f>IF('PART III-DEMOGRAPHICS'!A609="","",'PART III-DEMOGRAPHICS'!A609)</f>
        <v/>
      </c>
      <c r="B599" s="28"/>
      <c r="C599" s="27"/>
      <c r="D599" s="28"/>
      <c r="E599" s="21"/>
      <c r="F599" s="36" t="str">
        <f t="shared" si="22"/>
        <v>Did Not</v>
      </c>
      <c r="G599" s="28"/>
      <c r="H599" s="28"/>
      <c r="I599" s="28"/>
      <c r="J599" s="28"/>
      <c r="K599" s="28"/>
      <c r="L599" s="28"/>
      <c r="M599" s="28"/>
      <c r="N599" s="21"/>
      <c r="O599" s="28"/>
      <c r="P599" s="37"/>
      <c r="Q599" s="21"/>
      <c r="R599" s="21"/>
      <c r="S599" s="47"/>
      <c r="T599" s="25">
        <f t="shared" si="21"/>
        <v>0</v>
      </c>
      <c r="U599" s="25" t="str">
        <f>IF('PART III-DEMOGRAPHICS'!Q609="","",'PART III-DEMOGRAPHICS'!Q609)</f>
        <v/>
      </c>
    </row>
    <row r="600" spans="1:21">
      <c r="A600" s="25" t="str">
        <f>IF('PART III-DEMOGRAPHICS'!A610="","",'PART III-DEMOGRAPHICS'!A610)</f>
        <v/>
      </c>
      <c r="B600" s="28"/>
      <c r="C600" s="27"/>
      <c r="D600" s="28"/>
      <c r="E600" s="21"/>
      <c r="F600" s="36" t="str">
        <f t="shared" si="22"/>
        <v>Did Not</v>
      </c>
      <c r="G600" s="28"/>
      <c r="H600" s="28"/>
      <c r="I600" s="28"/>
      <c r="J600" s="28"/>
      <c r="K600" s="28"/>
      <c r="L600" s="28"/>
      <c r="M600" s="28"/>
      <c r="N600" s="21"/>
      <c r="O600" s="28"/>
      <c r="P600" s="37"/>
      <c r="Q600" s="21"/>
      <c r="R600" s="21"/>
      <c r="S600" s="47"/>
      <c r="T600" s="25">
        <f t="shared" si="21"/>
        <v>0</v>
      </c>
      <c r="U600" s="25" t="str">
        <f>IF('PART III-DEMOGRAPHICS'!Q610="","",'PART III-DEMOGRAPHICS'!Q610)</f>
        <v/>
      </c>
    </row>
    <row r="601" spans="1:21">
      <c r="A601" s="25" t="str">
        <f>IF('PART III-DEMOGRAPHICS'!A611="","",'PART III-DEMOGRAPHICS'!A611)</f>
        <v/>
      </c>
      <c r="B601" s="28"/>
      <c r="C601" s="27"/>
      <c r="D601" s="28"/>
      <c r="E601" s="21"/>
      <c r="F601" s="36" t="str">
        <f t="shared" si="22"/>
        <v>Did Not</v>
      </c>
      <c r="G601" s="28"/>
      <c r="H601" s="28"/>
      <c r="I601" s="28"/>
      <c r="J601" s="28"/>
      <c r="K601" s="28"/>
      <c r="L601" s="28"/>
      <c r="M601" s="28"/>
      <c r="N601" s="21"/>
      <c r="O601" s="28"/>
      <c r="P601" s="37"/>
      <c r="Q601" s="21"/>
      <c r="R601" s="21"/>
      <c r="S601" s="47"/>
      <c r="T601" s="25">
        <f t="shared" si="21"/>
        <v>0</v>
      </c>
      <c r="U601" s="25" t="str">
        <f>IF('PART III-DEMOGRAPHICS'!Q611="","",'PART III-DEMOGRAPHICS'!Q611)</f>
        <v/>
      </c>
    </row>
    <row r="602" spans="1:21">
      <c r="A602" s="25" t="str">
        <f>IF('PART III-DEMOGRAPHICS'!A612="","",'PART III-DEMOGRAPHICS'!A612)</f>
        <v/>
      </c>
      <c r="B602" s="28"/>
      <c r="C602" s="27"/>
      <c r="D602" s="28"/>
      <c r="E602" s="21"/>
      <c r="F602" s="36" t="str">
        <f t="shared" si="22"/>
        <v>Did Not</v>
      </c>
      <c r="G602" s="28"/>
      <c r="H602" s="28"/>
      <c r="I602" s="28"/>
      <c r="J602" s="28"/>
      <c r="K602" s="28"/>
      <c r="L602" s="28"/>
      <c r="M602" s="28"/>
      <c r="N602" s="21"/>
      <c r="O602" s="28"/>
      <c r="P602" s="37"/>
      <c r="Q602" s="21"/>
      <c r="R602" s="21"/>
      <c r="S602" s="47"/>
      <c r="T602" s="25">
        <f t="shared" si="21"/>
        <v>0</v>
      </c>
      <c r="U602" s="25" t="str">
        <f>IF('PART III-DEMOGRAPHICS'!Q612="","",'PART III-DEMOGRAPHICS'!Q612)</f>
        <v/>
      </c>
    </row>
    <row r="603" spans="1:21">
      <c r="A603" s="25" t="str">
        <f>IF('PART III-DEMOGRAPHICS'!A613="","",'PART III-DEMOGRAPHICS'!A613)</f>
        <v/>
      </c>
      <c r="B603" s="28"/>
      <c r="C603" s="27"/>
      <c r="D603" s="28"/>
      <c r="E603" s="21"/>
      <c r="F603" s="36" t="str">
        <f t="shared" si="22"/>
        <v>Did Not</v>
      </c>
      <c r="G603" s="28"/>
      <c r="H603" s="28"/>
      <c r="I603" s="28"/>
      <c r="J603" s="28"/>
      <c r="K603" s="28"/>
      <c r="L603" s="28"/>
      <c r="M603" s="28"/>
      <c r="N603" s="21"/>
      <c r="O603" s="28"/>
      <c r="P603" s="37"/>
      <c r="Q603" s="21"/>
      <c r="R603" s="21"/>
      <c r="S603" s="47"/>
      <c r="T603" s="25">
        <f t="shared" si="21"/>
        <v>0</v>
      </c>
      <c r="U603" s="25" t="str">
        <f>IF('PART III-DEMOGRAPHICS'!Q613="","",'PART III-DEMOGRAPHICS'!Q613)</f>
        <v/>
      </c>
    </row>
    <row r="604" spans="1:21">
      <c r="A604" s="25" t="str">
        <f>IF('PART III-DEMOGRAPHICS'!A614="","",'PART III-DEMOGRAPHICS'!A614)</f>
        <v/>
      </c>
      <c r="B604" s="28"/>
      <c r="C604" s="27"/>
      <c r="D604" s="28"/>
      <c r="E604" s="21"/>
      <c r="F604" s="36" t="str">
        <f t="shared" si="22"/>
        <v>Did Not</v>
      </c>
      <c r="G604" s="28"/>
      <c r="H604" s="28"/>
      <c r="I604" s="28"/>
      <c r="J604" s="28"/>
      <c r="K604" s="28"/>
      <c r="L604" s="28"/>
      <c r="M604" s="28"/>
      <c r="N604" s="21"/>
      <c r="O604" s="28"/>
      <c r="P604" s="37"/>
      <c r="Q604" s="21"/>
      <c r="R604" s="21"/>
      <c r="S604" s="47"/>
      <c r="T604" s="25">
        <f t="shared" si="21"/>
        <v>0</v>
      </c>
      <c r="U604" s="25" t="str">
        <f>IF('PART III-DEMOGRAPHICS'!Q614="","",'PART III-DEMOGRAPHICS'!Q614)</f>
        <v/>
      </c>
    </row>
    <row r="605" spans="1:21">
      <c r="A605" s="25" t="str">
        <f>IF('PART III-DEMOGRAPHICS'!A615="","",'PART III-DEMOGRAPHICS'!A615)</f>
        <v/>
      </c>
      <c r="B605" s="28"/>
      <c r="C605" s="27"/>
      <c r="D605" s="28"/>
      <c r="E605" s="21"/>
      <c r="F605" s="36" t="str">
        <f t="shared" si="22"/>
        <v>Did Not</v>
      </c>
      <c r="G605" s="28"/>
      <c r="H605" s="28"/>
      <c r="I605" s="28"/>
      <c r="J605" s="28"/>
      <c r="K605" s="28"/>
      <c r="L605" s="28"/>
      <c r="M605" s="28"/>
      <c r="N605" s="21"/>
      <c r="O605" s="28"/>
      <c r="P605" s="37"/>
      <c r="Q605" s="21"/>
      <c r="R605" s="21"/>
      <c r="S605" s="47"/>
      <c r="T605" s="25">
        <f t="shared" si="21"/>
        <v>0</v>
      </c>
      <c r="U605" s="25" t="str">
        <f>IF('PART III-DEMOGRAPHICS'!Q615="","",'PART III-DEMOGRAPHICS'!Q615)</f>
        <v/>
      </c>
    </row>
    <row r="606" spans="1:21">
      <c r="A606" s="25" t="str">
        <f>IF('PART III-DEMOGRAPHICS'!A616="","",'PART III-DEMOGRAPHICS'!A616)</f>
        <v/>
      </c>
      <c r="B606" s="28"/>
      <c r="C606" s="27"/>
      <c r="D606" s="28"/>
      <c r="E606" s="21"/>
      <c r="F606" s="36" t="str">
        <f t="shared" si="22"/>
        <v>Did Not</v>
      </c>
      <c r="G606" s="28"/>
      <c r="H606" s="28"/>
      <c r="I606" s="28"/>
      <c r="J606" s="28"/>
      <c r="K606" s="28"/>
      <c r="L606" s="28"/>
      <c r="M606" s="28"/>
      <c r="N606" s="21"/>
      <c r="O606" s="28"/>
      <c r="P606" s="37"/>
      <c r="Q606" s="21"/>
      <c r="R606" s="21"/>
      <c r="S606" s="47"/>
      <c r="T606" s="25">
        <f t="shared" si="21"/>
        <v>0</v>
      </c>
      <c r="U606" s="25" t="str">
        <f>IF('PART III-DEMOGRAPHICS'!Q616="","",'PART III-DEMOGRAPHICS'!Q616)</f>
        <v/>
      </c>
    </row>
    <row r="607" spans="1:21">
      <c r="A607" s="25" t="str">
        <f>IF('PART III-DEMOGRAPHICS'!A617="","",'PART III-DEMOGRAPHICS'!A617)</f>
        <v/>
      </c>
      <c r="B607" s="28"/>
      <c r="C607" s="27"/>
      <c r="D607" s="28"/>
      <c r="E607" s="21"/>
      <c r="F607" s="36" t="str">
        <f t="shared" si="22"/>
        <v>Did Not</v>
      </c>
      <c r="G607" s="28"/>
      <c r="H607" s="28"/>
      <c r="I607" s="28"/>
      <c r="J607" s="28"/>
      <c r="K607" s="28"/>
      <c r="L607" s="28"/>
      <c r="M607" s="28"/>
      <c r="N607" s="21"/>
      <c r="O607" s="28"/>
      <c r="P607" s="37"/>
      <c r="Q607" s="21"/>
      <c r="R607" s="21"/>
      <c r="S607" s="47"/>
      <c r="T607" s="25">
        <f t="shared" si="21"/>
        <v>0</v>
      </c>
      <c r="U607" s="25" t="str">
        <f>IF('PART III-DEMOGRAPHICS'!Q617="","",'PART III-DEMOGRAPHICS'!Q617)</f>
        <v/>
      </c>
    </row>
    <row r="608" spans="1:21">
      <c r="A608" s="25" t="str">
        <f>IF('PART III-DEMOGRAPHICS'!A618="","",'PART III-DEMOGRAPHICS'!A618)</f>
        <v/>
      </c>
      <c r="B608" s="28"/>
      <c r="C608" s="27"/>
      <c r="D608" s="28"/>
      <c r="E608" s="21"/>
      <c r="F608" s="36" t="str">
        <f t="shared" si="22"/>
        <v>Did Not</v>
      </c>
      <c r="G608" s="28"/>
      <c r="H608" s="28"/>
      <c r="I608" s="28"/>
      <c r="J608" s="28"/>
      <c r="K608" s="28"/>
      <c r="L608" s="28"/>
      <c r="M608" s="28"/>
      <c r="N608" s="21"/>
      <c r="O608" s="28"/>
      <c r="P608" s="37"/>
      <c r="Q608" s="21"/>
      <c r="R608" s="21"/>
      <c r="S608" s="47"/>
      <c r="T608" s="25">
        <f t="shared" si="21"/>
        <v>0</v>
      </c>
      <c r="U608" s="25" t="str">
        <f>IF('PART III-DEMOGRAPHICS'!Q618="","",'PART III-DEMOGRAPHICS'!Q618)</f>
        <v/>
      </c>
    </row>
    <row r="609" spans="1:21">
      <c r="A609" s="25" t="str">
        <f>IF('PART III-DEMOGRAPHICS'!A619="","",'PART III-DEMOGRAPHICS'!A619)</f>
        <v/>
      </c>
      <c r="B609" s="28"/>
      <c r="C609" s="27"/>
      <c r="D609" s="28"/>
      <c r="E609" s="21"/>
      <c r="F609" s="36" t="str">
        <f t="shared" si="22"/>
        <v>Did Not</v>
      </c>
      <c r="G609" s="28"/>
      <c r="H609" s="28"/>
      <c r="I609" s="28"/>
      <c r="J609" s="28"/>
      <c r="K609" s="28"/>
      <c r="L609" s="28"/>
      <c r="M609" s="28"/>
      <c r="N609" s="21"/>
      <c r="O609" s="28"/>
      <c r="P609" s="37"/>
      <c r="Q609" s="21"/>
      <c r="R609" s="21"/>
      <c r="S609" s="47"/>
      <c r="T609" s="25">
        <f t="shared" si="21"/>
        <v>0</v>
      </c>
      <c r="U609" s="25" t="str">
        <f>IF('PART III-DEMOGRAPHICS'!Q619="","",'PART III-DEMOGRAPHICS'!Q619)</f>
        <v/>
      </c>
    </row>
    <row r="610" spans="1:21">
      <c r="A610" s="25" t="str">
        <f>IF('PART III-DEMOGRAPHICS'!A620="","",'PART III-DEMOGRAPHICS'!A620)</f>
        <v/>
      </c>
      <c r="B610" s="28"/>
      <c r="C610" s="27"/>
      <c r="D610" s="28"/>
      <c r="E610" s="21"/>
      <c r="F610" s="36" t="str">
        <f t="shared" si="22"/>
        <v>Did Not</v>
      </c>
      <c r="G610" s="28"/>
      <c r="H610" s="28"/>
      <c r="I610" s="28"/>
      <c r="J610" s="28"/>
      <c r="K610" s="28"/>
      <c r="L610" s="28"/>
      <c r="M610" s="28"/>
      <c r="N610" s="21"/>
      <c r="O610" s="28"/>
      <c r="P610" s="37"/>
      <c r="Q610" s="21"/>
      <c r="R610" s="21"/>
      <c r="S610" s="47"/>
      <c r="T610" s="25">
        <f t="shared" si="21"/>
        <v>0</v>
      </c>
      <c r="U610" s="25" t="str">
        <f>IF('PART III-DEMOGRAPHICS'!Q620="","",'PART III-DEMOGRAPHICS'!Q620)</f>
        <v/>
      </c>
    </row>
    <row r="611" spans="1:21">
      <c r="A611" s="25" t="str">
        <f>IF('PART III-DEMOGRAPHICS'!A621="","",'PART III-DEMOGRAPHICS'!A621)</f>
        <v/>
      </c>
      <c r="B611" s="28"/>
      <c r="C611" s="27"/>
      <c r="D611" s="28"/>
      <c r="E611" s="21"/>
      <c r="F611" s="36" t="str">
        <f t="shared" si="22"/>
        <v>Did Not</v>
      </c>
      <c r="G611" s="28"/>
      <c r="H611" s="28"/>
      <c r="I611" s="28"/>
      <c r="J611" s="28"/>
      <c r="K611" s="28"/>
      <c r="L611" s="28"/>
      <c r="M611" s="28"/>
      <c r="N611" s="21"/>
      <c r="O611" s="28"/>
      <c r="P611" s="37"/>
      <c r="Q611" s="21"/>
      <c r="R611" s="21"/>
      <c r="S611" s="47"/>
      <c r="T611" s="25">
        <f t="shared" si="21"/>
        <v>0</v>
      </c>
      <c r="U611" s="25" t="str">
        <f>IF('PART III-DEMOGRAPHICS'!Q621="","",'PART III-DEMOGRAPHICS'!Q621)</f>
        <v/>
      </c>
    </row>
    <row r="612" spans="1:21">
      <c r="A612" s="25" t="str">
        <f>IF('PART III-DEMOGRAPHICS'!A622="","",'PART III-DEMOGRAPHICS'!A622)</f>
        <v/>
      </c>
      <c r="B612" s="28"/>
      <c r="C612" s="27"/>
      <c r="D612" s="28"/>
      <c r="E612" s="21"/>
      <c r="F612" s="36" t="str">
        <f t="shared" si="22"/>
        <v>Did Not</v>
      </c>
      <c r="G612" s="28"/>
      <c r="H612" s="28"/>
      <c r="I612" s="28"/>
      <c r="J612" s="28"/>
      <c r="K612" s="28"/>
      <c r="L612" s="28"/>
      <c r="M612" s="28"/>
      <c r="N612" s="21"/>
      <c r="O612" s="28"/>
      <c r="P612" s="37"/>
      <c r="Q612" s="21"/>
      <c r="R612" s="21"/>
      <c r="S612" s="47"/>
      <c r="T612" s="25">
        <f t="shared" si="21"/>
        <v>0</v>
      </c>
      <c r="U612" s="25" t="str">
        <f>IF('PART III-DEMOGRAPHICS'!Q622="","",'PART III-DEMOGRAPHICS'!Q622)</f>
        <v/>
      </c>
    </row>
    <row r="613" spans="1:21">
      <c r="A613" s="25" t="str">
        <f>IF('PART III-DEMOGRAPHICS'!A623="","",'PART III-DEMOGRAPHICS'!A623)</f>
        <v/>
      </c>
      <c r="B613" s="28"/>
      <c r="C613" s="27"/>
      <c r="D613" s="28"/>
      <c r="E613" s="21"/>
      <c r="F613" s="36" t="str">
        <f t="shared" si="22"/>
        <v>Did Not</v>
      </c>
      <c r="G613" s="28"/>
      <c r="H613" s="28"/>
      <c r="I613" s="28"/>
      <c r="J613" s="28"/>
      <c r="K613" s="28"/>
      <c r="L613" s="28"/>
      <c r="M613" s="28"/>
      <c r="N613" s="21"/>
      <c r="O613" s="28"/>
      <c r="P613" s="37"/>
      <c r="Q613" s="21"/>
      <c r="R613" s="21"/>
      <c r="S613" s="47"/>
      <c r="T613" s="25">
        <f t="shared" si="21"/>
        <v>0</v>
      </c>
      <c r="U613" s="25" t="str">
        <f>IF('PART III-DEMOGRAPHICS'!Q623="","",'PART III-DEMOGRAPHICS'!Q623)</f>
        <v/>
      </c>
    </row>
    <row r="614" spans="1:21">
      <c r="A614" s="25" t="str">
        <f>IF('PART III-DEMOGRAPHICS'!A624="","",'PART III-DEMOGRAPHICS'!A624)</f>
        <v/>
      </c>
      <c r="B614" s="28"/>
      <c r="C614" s="27"/>
      <c r="D614" s="28"/>
      <c r="E614" s="21"/>
      <c r="F614" s="36" t="str">
        <f t="shared" si="22"/>
        <v>Did Not</v>
      </c>
      <c r="G614" s="28"/>
      <c r="H614" s="28"/>
      <c r="I614" s="28"/>
      <c r="J614" s="28"/>
      <c r="K614" s="28"/>
      <c r="L614" s="28"/>
      <c r="M614" s="28"/>
      <c r="N614" s="21"/>
      <c r="O614" s="28"/>
      <c r="P614" s="37"/>
      <c r="Q614" s="21"/>
      <c r="R614" s="21"/>
      <c r="S614" s="47"/>
      <c r="T614" s="25">
        <f t="shared" si="21"/>
        <v>0</v>
      </c>
      <c r="U614" s="25" t="str">
        <f>IF('PART III-DEMOGRAPHICS'!Q624="","",'PART III-DEMOGRAPHICS'!Q624)</f>
        <v/>
      </c>
    </row>
    <row r="615" spans="1:21">
      <c r="A615" s="25" t="str">
        <f>IF('PART III-DEMOGRAPHICS'!A625="","",'PART III-DEMOGRAPHICS'!A625)</f>
        <v/>
      </c>
      <c r="B615" s="28"/>
      <c r="C615" s="27"/>
      <c r="D615" s="28"/>
      <c r="E615" s="21"/>
      <c r="F615" s="36" t="str">
        <f t="shared" si="22"/>
        <v>Did Not</v>
      </c>
      <c r="G615" s="28"/>
      <c r="H615" s="28"/>
      <c r="I615" s="28"/>
      <c r="J615" s="28"/>
      <c r="K615" s="28"/>
      <c r="L615" s="28"/>
      <c r="M615" s="28"/>
      <c r="N615" s="21"/>
      <c r="O615" s="28"/>
      <c r="P615" s="37"/>
      <c r="Q615" s="21"/>
      <c r="R615" s="21"/>
      <c r="S615" s="47"/>
      <c r="T615" s="25">
        <f t="shared" si="21"/>
        <v>0</v>
      </c>
      <c r="U615" s="25" t="str">
        <f>IF('PART III-DEMOGRAPHICS'!Q625="","",'PART III-DEMOGRAPHICS'!Q625)</f>
        <v/>
      </c>
    </row>
    <row r="616" spans="1:21">
      <c r="A616" s="25" t="str">
        <f>IF('PART III-DEMOGRAPHICS'!A626="","",'PART III-DEMOGRAPHICS'!A626)</f>
        <v/>
      </c>
      <c r="B616" s="28"/>
      <c r="C616" s="27"/>
      <c r="D616" s="28"/>
      <c r="E616" s="21"/>
      <c r="F616" s="36" t="str">
        <f t="shared" si="22"/>
        <v>Did Not</v>
      </c>
      <c r="G616" s="28"/>
      <c r="H616" s="28"/>
      <c r="I616" s="28"/>
      <c r="J616" s="28"/>
      <c r="K616" s="28"/>
      <c r="L616" s="28"/>
      <c r="M616" s="28"/>
      <c r="N616" s="21"/>
      <c r="O616" s="28"/>
      <c r="P616" s="37"/>
      <c r="Q616" s="21"/>
      <c r="R616" s="21"/>
      <c r="S616" s="47"/>
      <c r="T616" s="25">
        <f t="shared" si="21"/>
        <v>0</v>
      </c>
      <c r="U616" s="25" t="str">
        <f>IF('PART III-DEMOGRAPHICS'!Q626="","",'PART III-DEMOGRAPHICS'!Q626)</f>
        <v/>
      </c>
    </row>
    <row r="617" spans="1:21">
      <c r="A617" s="25" t="str">
        <f>IF('PART III-DEMOGRAPHICS'!A627="","",'PART III-DEMOGRAPHICS'!A627)</f>
        <v/>
      </c>
      <c r="B617" s="28"/>
      <c r="C617" s="27"/>
      <c r="D617" s="28"/>
      <c r="E617" s="21"/>
      <c r="F617" s="36" t="str">
        <f t="shared" si="22"/>
        <v>Did Not</v>
      </c>
      <c r="G617" s="28"/>
      <c r="H617" s="28"/>
      <c r="I617" s="28"/>
      <c r="J617" s="28"/>
      <c r="K617" s="28"/>
      <c r="L617" s="28"/>
      <c r="M617" s="28"/>
      <c r="N617" s="21"/>
      <c r="O617" s="28"/>
      <c r="P617" s="37"/>
      <c r="Q617" s="21"/>
      <c r="R617" s="21"/>
      <c r="S617" s="47"/>
      <c r="T617" s="25">
        <f t="shared" si="21"/>
        <v>0</v>
      </c>
      <c r="U617" s="25" t="str">
        <f>IF('PART III-DEMOGRAPHICS'!Q627="","",'PART III-DEMOGRAPHICS'!Q627)</f>
        <v/>
      </c>
    </row>
    <row r="618" spans="1:21">
      <c r="A618" s="25" t="str">
        <f>IF('PART III-DEMOGRAPHICS'!A628="","",'PART III-DEMOGRAPHICS'!A628)</f>
        <v/>
      </c>
      <c r="B618" s="28"/>
      <c r="C618" s="27"/>
      <c r="D618" s="28"/>
      <c r="E618" s="21"/>
      <c r="F618" s="36" t="str">
        <f t="shared" si="22"/>
        <v>Did Not</v>
      </c>
      <c r="G618" s="28"/>
      <c r="H618" s="28"/>
      <c r="I618" s="28"/>
      <c r="J618" s="28"/>
      <c r="K618" s="28"/>
      <c r="L618" s="28"/>
      <c r="M618" s="28"/>
      <c r="N618" s="21"/>
      <c r="O618" s="28"/>
      <c r="P618" s="37"/>
      <c r="Q618" s="21"/>
      <c r="R618" s="21"/>
      <c r="S618" s="47"/>
      <c r="T618" s="25">
        <f t="shared" si="21"/>
        <v>0</v>
      </c>
      <c r="U618" s="25" t="str">
        <f>IF('PART III-DEMOGRAPHICS'!Q628="","",'PART III-DEMOGRAPHICS'!Q628)</f>
        <v/>
      </c>
    </row>
    <row r="619" spans="1:21">
      <c r="A619" s="25" t="str">
        <f>IF('PART III-DEMOGRAPHICS'!A629="","",'PART III-DEMOGRAPHICS'!A629)</f>
        <v/>
      </c>
      <c r="B619" s="28"/>
      <c r="C619" s="27"/>
      <c r="D619" s="28"/>
      <c r="E619" s="21"/>
      <c r="F619" s="36" t="str">
        <f t="shared" si="22"/>
        <v>Did Not</v>
      </c>
      <c r="G619" s="28"/>
      <c r="H619" s="28"/>
      <c r="I619" s="28"/>
      <c r="J619" s="28"/>
      <c r="K619" s="28"/>
      <c r="L619" s="28"/>
      <c r="M619" s="28"/>
      <c r="N619" s="21"/>
      <c r="O619" s="28"/>
      <c r="P619" s="37"/>
      <c r="Q619" s="21"/>
      <c r="R619" s="21"/>
      <c r="S619" s="47"/>
      <c r="T619" s="25">
        <f t="shared" si="21"/>
        <v>0</v>
      </c>
      <c r="U619" s="25" t="str">
        <f>IF('PART III-DEMOGRAPHICS'!Q629="","",'PART III-DEMOGRAPHICS'!Q629)</f>
        <v/>
      </c>
    </row>
    <row r="620" spans="1:21">
      <c r="A620" s="25" t="str">
        <f>IF('PART III-DEMOGRAPHICS'!A630="","",'PART III-DEMOGRAPHICS'!A630)</f>
        <v/>
      </c>
      <c r="B620" s="28"/>
      <c r="C620" s="27"/>
      <c r="D620" s="28"/>
      <c r="E620" s="21"/>
      <c r="F620" s="36" t="str">
        <f t="shared" si="22"/>
        <v>Did Not</v>
      </c>
      <c r="G620" s="28"/>
      <c r="H620" s="28"/>
      <c r="I620" s="28"/>
      <c r="J620" s="28"/>
      <c r="K620" s="28"/>
      <c r="L620" s="28"/>
      <c r="M620" s="28"/>
      <c r="N620" s="21"/>
      <c r="O620" s="28"/>
      <c r="P620" s="37"/>
      <c r="Q620" s="21"/>
      <c r="R620" s="21"/>
      <c r="S620" s="47"/>
      <c r="T620" s="25">
        <f t="shared" si="21"/>
        <v>0</v>
      </c>
      <c r="U620" s="25" t="str">
        <f>IF('PART III-DEMOGRAPHICS'!Q630="","",'PART III-DEMOGRAPHICS'!Q630)</f>
        <v/>
      </c>
    </row>
    <row r="621" spans="1:21">
      <c r="A621" s="25" t="str">
        <f>IF('PART III-DEMOGRAPHICS'!A631="","",'PART III-DEMOGRAPHICS'!A631)</f>
        <v/>
      </c>
      <c r="B621" s="28"/>
      <c r="C621" s="27"/>
      <c r="D621" s="28"/>
      <c r="E621" s="21"/>
      <c r="F621" s="36" t="str">
        <f t="shared" si="22"/>
        <v>Did Not</v>
      </c>
      <c r="G621" s="28"/>
      <c r="H621" s="28"/>
      <c r="I621" s="28"/>
      <c r="J621" s="28"/>
      <c r="K621" s="28"/>
      <c r="L621" s="28"/>
      <c r="M621" s="28"/>
      <c r="N621" s="21"/>
      <c r="O621" s="28"/>
      <c r="P621" s="37"/>
      <c r="Q621" s="21"/>
      <c r="R621" s="21"/>
      <c r="S621" s="47"/>
      <c r="T621" s="25">
        <f t="shared" si="21"/>
        <v>0</v>
      </c>
      <c r="U621" s="25" t="str">
        <f>IF('PART III-DEMOGRAPHICS'!Q631="","",'PART III-DEMOGRAPHICS'!Q631)</f>
        <v/>
      </c>
    </row>
    <row r="622" spans="1:21">
      <c r="A622" s="25" t="str">
        <f>IF('PART III-DEMOGRAPHICS'!A632="","",'PART III-DEMOGRAPHICS'!A632)</f>
        <v/>
      </c>
      <c r="B622" s="28"/>
      <c r="C622" s="27"/>
      <c r="D622" s="28"/>
      <c r="E622" s="21"/>
      <c r="F622" s="36" t="str">
        <f t="shared" si="22"/>
        <v>Did Not</v>
      </c>
      <c r="G622" s="28"/>
      <c r="H622" s="28"/>
      <c r="I622" s="28"/>
      <c r="J622" s="28"/>
      <c r="K622" s="28"/>
      <c r="L622" s="28"/>
      <c r="M622" s="28"/>
      <c r="N622" s="21"/>
      <c r="O622" s="28"/>
      <c r="P622" s="37"/>
      <c r="Q622" s="21"/>
      <c r="R622" s="21"/>
      <c r="S622" s="47"/>
      <c r="T622" s="25">
        <f t="shared" si="21"/>
        <v>0</v>
      </c>
      <c r="U622" s="25" t="str">
        <f>IF('PART III-DEMOGRAPHICS'!Q632="","",'PART III-DEMOGRAPHICS'!Q632)</f>
        <v/>
      </c>
    </row>
    <row r="623" spans="1:21">
      <c r="A623" s="25" t="str">
        <f>IF('PART III-DEMOGRAPHICS'!A633="","",'PART III-DEMOGRAPHICS'!A633)</f>
        <v/>
      </c>
      <c r="B623" s="28"/>
      <c r="C623" s="27"/>
      <c r="D623" s="28"/>
      <c r="E623" s="21"/>
      <c r="F623" s="36" t="str">
        <f t="shared" si="22"/>
        <v>Did Not</v>
      </c>
      <c r="G623" s="28"/>
      <c r="H623" s="28"/>
      <c r="I623" s="28"/>
      <c r="J623" s="28"/>
      <c r="K623" s="28"/>
      <c r="L623" s="28"/>
      <c r="M623" s="28"/>
      <c r="N623" s="21"/>
      <c r="O623" s="28"/>
      <c r="P623" s="37"/>
      <c r="Q623" s="21"/>
      <c r="R623" s="21"/>
      <c r="S623" s="47"/>
      <c r="T623" s="25">
        <f t="shared" si="21"/>
        <v>0</v>
      </c>
      <c r="U623" s="25" t="str">
        <f>IF('PART III-DEMOGRAPHICS'!Q633="","",'PART III-DEMOGRAPHICS'!Q633)</f>
        <v/>
      </c>
    </row>
    <row r="624" spans="1:21">
      <c r="A624" s="25" t="str">
        <f>IF('PART III-DEMOGRAPHICS'!A634="","",'PART III-DEMOGRAPHICS'!A634)</f>
        <v/>
      </c>
      <c r="B624" s="28"/>
      <c r="C624" s="27"/>
      <c r="D624" s="28"/>
      <c r="E624" s="21"/>
      <c r="F624" s="36" t="str">
        <f t="shared" si="22"/>
        <v>Did Not</v>
      </c>
      <c r="G624" s="28"/>
      <c r="H624" s="28"/>
      <c r="I624" s="28"/>
      <c r="J624" s="28"/>
      <c r="K624" s="28"/>
      <c r="L624" s="28"/>
      <c r="M624" s="28"/>
      <c r="N624" s="21"/>
      <c r="O624" s="28"/>
      <c r="P624" s="37"/>
      <c r="Q624" s="21"/>
      <c r="R624" s="21"/>
      <c r="S624" s="47"/>
      <c r="T624" s="25">
        <f t="shared" si="21"/>
        <v>0</v>
      </c>
      <c r="U624" s="25" t="str">
        <f>IF('PART III-DEMOGRAPHICS'!Q634="","",'PART III-DEMOGRAPHICS'!Q634)</f>
        <v/>
      </c>
    </row>
    <row r="625" spans="1:21">
      <c r="A625" s="25" t="str">
        <f>IF('PART III-DEMOGRAPHICS'!A635="","",'PART III-DEMOGRAPHICS'!A635)</f>
        <v/>
      </c>
      <c r="B625" s="28"/>
      <c r="C625" s="27"/>
      <c r="D625" s="28"/>
      <c r="E625" s="21"/>
      <c r="F625" s="36" t="str">
        <f t="shared" si="22"/>
        <v>Did Not</v>
      </c>
      <c r="G625" s="28"/>
      <c r="H625" s="28"/>
      <c r="I625" s="28"/>
      <c r="J625" s="28"/>
      <c r="K625" s="28"/>
      <c r="L625" s="28"/>
      <c r="M625" s="28"/>
      <c r="N625" s="21"/>
      <c r="O625" s="28"/>
      <c r="P625" s="37"/>
      <c r="Q625" s="21"/>
      <c r="R625" s="21"/>
      <c r="S625" s="47"/>
      <c r="T625" s="25">
        <f t="shared" si="21"/>
        <v>0</v>
      </c>
      <c r="U625" s="25" t="str">
        <f>IF('PART III-DEMOGRAPHICS'!Q635="","",'PART III-DEMOGRAPHICS'!Q635)</f>
        <v/>
      </c>
    </row>
    <row r="626" spans="1:21">
      <c r="A626" s="25" t="str">
        <f>IF('PART III-DEMOGRAPHICS'!A636="","",'PART III-DEMOGRAPHICS'!A636)</f>
        <v/>
      </c>
      <c r="B626" s="28"/>
      <c r="C626" s="27"/>
      <c r="D626" s="28"/>
      <c r="E626" s="21"/>
      <c r="F626" s="36" t="str">
        <f t="shared" si="22"/>
        <v>Did Not</v>
      </c>
      <c r="G626" s="28"/>
      <c r="H626" s="28"/>
      <c r="I626" s="28"/>
      <c r="J626" s="28"/>
      <c r="K626" s="28"/>
      <c r="L626" s="28"/>
      <c r="M626" s="28"/>
      <c r="N626" s="21"/>
      <c r="O626" s="28"/>
      <c r="P626" s="37"/>
      <c r="Q626" s="21"/>
      <c r="R626" s="21"/>
      <c r="S626" s="47"/>
      <c r="T626" s="25">
        <f t="shared" si="21"/>
        <v>0</v>
      </c>
      <c r="U626" s="25" t="str">
        <f>IF('PART III-DEMOGRAPHICS'!Q636="","",'PART III-DEMOGRAPHICS'!Q636)</f>
        <v/>
      </c>
    </row>
    <row r="627" spans="1:21">
      <c r="A627" s="25" t="str">
        <f>IF('PART III-DEMOGRAPHICS'!A637="","",'PART III-DEMOGRAPHICS'!A637)</f>
        <v/>
      </c>
      <c r="B627" s="28"/>
      <c r="C627" s="27"/>
      <c r="D627" s="28"/>
      <c r="E627" s="21"/>
      <c r="F627" s="36" t="str">
        <f t="shared" si="22"/>
        <v>Did Not</v>
      </c>
      <c r="G627" s="28"/>
      <c r="H627" s="28"/>
      <c r="I627" s="28"/>
      <c r="J627" s="28"/>
      <c r="K627" s="28"/>
      <c r="L627" s="28"/>
      <c r="M627" s="28"/>
      <c r="N627" s="21"/>
      <c r="O627" s="28"/>
      <c r="P627" s="37"/>
      <c r="Q627" s="21"/>
      <c r="R627" s="21"/>
      <c r="S627" s="47"/>
      <c r="T627" s="25">
        <f t="shared" si="21"/>
        <v>0</v>
      </c>
      <c r="U627" s="25" t="str">
        <f>IF('PART III-DEMOGRAPHICS'!Q637="","",'PART III-DEMOGRAPHICS'!Q637)</f>
        <v/>
      </c>
    </row>
    <row r="628" spans="1:21">
      <c r="A628" s="25" t="str">
        <f>IF('PART III-DEMOGRAPHICS'!A638="","",'PART III-DEMOGRAPHICS'!A638)</f>
        <v/>
      </c>
      <c r="B628" s="28"/>
      <c r="C628" s="27"/>
      <c r="D628" s="28"/>
      <c r="E628" s="21"/>
      <c r="F628" s="36" t="str">
        <f t="shared" si="22"/>
        <v>Did Not</v>
      </c>
      <c r="G628" s="28"/>
      <c r="H628" s="28"/>
      <c r="I628" s="28"/>
      <c r="J628" s="28"/>
      <c r="K628" s="28"/>
      <c r="L628" s="28"/>
      <c r="M628" s="28"/>
      <c r="N628" s="21"/>
      <c r="O628" s="28"/>
      <c r="P628" s="37"/>
      <c r="Q628" s="21"/>
      <c r="R628" s="21"/>
      <c r="S628" s="47"/>
      <c r="T628" s="25">
        <f t="shared" si="21"/>
        <v>0</v>
      </c>
      <c r="U628" s="25" t="str">
        <f>IF('PART III-DEMOGRAPHICS'!Q638="","",'PART III-DEMOGRAPHICS'!Q638)</f>
        <v/>
      </c>
    </row>
    <row r="629" spans="1:21">
      <c r="A629" s="25" t="str">
        <f>IF('PART III-DEMOGRAPHICS'!A639="","",'PART III-DEMOGRAPHICS'!A639)</f>
        <v/>
      </c>
      <c r="B629" s="28"/>
      <c r="C629" s="27"/>
      <c r="D629" s="28"/>
      <c r="E629" s="21"/>
      <c r="F629" s="36" t="str">
        <f t="shared" si="22"/>
        <v>Did Not</v>
      </c>
      <c r="G629" s="28"/>
      <c r="H629" s="28"/>
      <c r="I629" s="28"/>
      <c r="J629" s="28"/>
      <c r="K629" s="28"/>
      <c r="L629" s="28"/>
      <c r="M629" s="28"/>
      <c r="N629" s="21"/>
      <c r="O629" s="28"/>
      <c r="P629" s="37"/>
      <c r="Q629" s="21"/>
      <c r="R629" s="21"/>
      <c r="S629" s="47"/>
      <c r="T629" s="25">
        <f t="shared" si="21"/>
        <v>0</v>
      </c>
      <c r="U629" s="25" t="str">
        <f>IF('PART III-DEMOGRAPHICS'!Q639="","",'PART III-DEMOGRAPHICS'!Q639)</f>
        <v/>
      </c>
    </row>
    <row r="630" spans="1:21">
      <c r="A630" s="25" t="str">
        <f>IF('PART III-DEMOGRAPHICS'!A640="","",'PART III-DEMOGRAPHICS'!A640)</f>
        <v/>
      </c>
      <c r="B630" s="28"/>
      <c r="C630" s="27"/>
      <c r="D630" s="28"/>
      <c r="E630" s="21"/>
      <c r="F630" s="36" t="str">
        <f t="shared" si="22"/>
        <v>Did Not</v>
      </c>
      <c r="G630" s="28"/>
      <c r="H630" s="28"/>
      <c r="I630" s="28"/>
      <c r="J630" s="28"/>
      <c r="K630" s="28"/>
      <c r="L630" s="28"/>
      <c r="M630" s="28"/>
      <c r="N630" s="21"/>
      <c r="O630" s="28"/>
      <c r="P630" s="37"/>
      <c r="Q630" s="21"/>
      <c r="R630" s="21"/>
      <c r="S630" s="47"/>
      <c r="T630" s="25">
        <f t="shared" si="21"/>
        <v>0</v>
      </c>
      <c r="U630" s="25" t="str">
        <f>IF('PART III-DEMOGRAPHICS'!Q640="","",'PART III-DEMOGRAPHICS'!Q640)</f>
        <v/>
      </c>
    </row>
    <row r="631" spans="1:21">
      <c r="A631" s="25" t="str">
        <f>IF('PART III-DEMOGRAPHICS'!A641="","",'PART III-DEMOGRAPHICS'!A641)</f>
        <v/>
      </c>
      <c r="B631" s="28"/>
      <c r="C631" s="27"/>
      <c r="D631" s="28"/>
      <c r="E631" s="21"/>
      <c r="F631" s="36" t="str">
        <f t="shared" si="22"/>
        <v>Did Not</v>
      </c>
      <c r="G631" s="28"/>
      <c r="H631" s="28"/>
      <c r="I631" s="28"/>
      <c r="J631" s="28"/>
      <c r="K631" s="28"/>
      <c r="L631" s="28"/>
      <c r="M631" s="28"/>
      <c r="N631" s="21"/>
      <c r="O631" s="28"/>
      <c r="P631" s="37"/>
      <c r="Q631" s="21"/>
      <c r="R631" s="21"/>
      <c r="S631" s="47"/>
      <c r="T631" s="25">
        <f t="shared" si="21"/>
        <v>0</v>
      </c>
      <c r="U631" s="25" t="str">
        <f>IF('PART III-DEMOGRAPHICS'!Q641="","",'PART III-DEMOGRAPHICS'!Q641)</f>
        <v/>
      </c>
    </row>
    <row r="632" spans="1:21">
      <c r="A632" s="25" t="str">
        <f>IF('PART III-DEMOGRAPHICS'!A642="","",'PART III-DEMOGRAPHICS'!A642)</f>
        <v/>
      </c>
      <c r="B632" s="28"/>
      <c r="C632" s="27"/>
      <c r="D632" s="28"/>
      <c r="E632" s="21"/>
      <c r="F632" s="36" t="str">
        <f t="shared" si="22"/>
        <v>Did Not</v>
      </c>
      <c r="G632" s="28"/>
      <c r="H632" s="28"/>
      <c r="I632" s="28"/>
      <c r="J632" s="28"/>
      <c r="K632" s="28"/>
      <c r="L632" s="28"/>
      <c r="M632" s="28"/>
      <c r="N632" s="21"/>
      <c r="O632" s="28"/>
      <c r="P632" s="37"/>
      <c r="Q632" s="21"/>
      <c r="R632" s="21"/>
      <c r="S632" s="47"/>
      <c r="T632" s="25">
        <f t="shared" si="21"/>
        <v>0</v>
      </c>
      <c r="U632" s="25" t="str">
        <f>IF('PART III-DEMOGRAPHICS'!Q642="","",'PART III-DEMOGRAPHICS'!Q642)</f>
        <v/>
      </c>
    </row>
    <row r="633" spans="1:21">
      <c r="A633" s="25" t="str">
        <f>IF('PART III-DEMOGRAPHICS'!A643="","",'PART III-DEMOGRAPHICS'!A643)</f>
        <v/>
      </c>
      <c r="B633" s="28"/>
      <c r="C633" s="27"/>
      <c r="D633" s="28"/>
      <c r="E633" s="21"/>
      <c r="F633" s="36" t="str">
        <f t="shared" si="22"/>
        <v>Did Not</v>
      </c>
      <c r="G633" s="28"/>
      <c r="H633" s="28"/>
      <c r="I633" s="28"/>
      <c r="J633" s="28"/>
      <c r="K633" s="28"/>
      <c r="L633" s="28"/>
      <c r="M633" s="28"/>
      <c r="N633" s="21"/>
      <c r="O633" s="28"/>
      <c r="P633" s="37"/>
      <c r="Q633" s="21"/>
      <c r="R633" s="21"/>
      <c r="S633" s="47"/>
      <c r="T633" s="25">
        <f t="shared" si="21"/>
        <v>0</v>
      </c>
      <c r="U633" s="25" t="str">
        <f>IF('PART III-DEMOGRAPHICS'!Q643="","",'PART III-DEMOGRAPHICS'!Q643)</f>
        <v/>
      </c>
    </row>
    <row r="634" spans="1:21">
      <c r="A634" s="25" t="str">
        <f>IF('PART III-DEMOGRAPHICS'!A644="","",'PART III-DEMOGRAPHICS'!A644)</f>
        <v/>
      </c>
      <c r="B634" s="28"/>
      <c r="C634" s="27"/>
      <c r="D634" s="28"/>
      <c r="E634" s="21"/>
      <c r="F634" s="36" t="str">
        <f t="shared" si="22"/>
        <v>Did Not</v>
      </c>
      <c r="G634" s="28"/>
      <c r="H634" s="28"/>
      <c r="I634" s="28"/>
      <c r="J634" s="28"/>
      <c r="K634" s="28"/>
      <c r="L634" s="28"/>
      <c r="M634" s="28"/>
      <c r="N634" s="21"/>
      <c r="O634" s="28"/>
      <c r="P634" s="37"/>
      <c r="Q634" s="21"/>
      <c r="R634" s="21"/>
      <c r="S634" s="47"/>
      <c r="T634" s="25">
        <f t="shared" si="21"/>
        <v>0</v>
      </c>
      <c r="U634" s="25" t="str">
        <f>IF('PART III-DEMOGRAPHICS'!Q644="","",'PART III-DEMOGRAPHICS'!Q644)</f>
        <v/>
      </c>
    </row>
    <row r="635" spans="1:21">
      <c r="A635" s="25" t="str">
        <f>IF('PART III-DEMOGRAPHICS'!A645="","",'PART III-DEMOGRAPHICS'!A645)</f>
        <v/>
      </c>
      <c r="B635" s="28"/>
      <c r="C635" s="27"/>
      <c r="D635" s="28"/>
      <c r="E635" s="21"/>
      <c r="F635" s="36" t="str">
        <f t="shared" si="22"/>
        <v>Did Not</v>
      </c>
      <c r="G635" s="28"/>
      <c r="H635" s="28"/>
      <c r="I635" s="28"/>
      <c r="J635" s="28"/>
      <c r="K635" s="28"/>
      <c r="L635" s="28"/>
      <c r="M635" s="28"/>
      <c r="N635" s="21"/>
      <c r="O635" s="28"/>
      <c r="P635" s="37"/>
      <c r="Q635" s="21"/>
      <c r="R635" s="21"/>
      <c r="S635" s="47"/>
      <c r="T635" s="25">
        <f t="shared" si="21"/>
        <v>0</v>
      </c>
      <c r="U635" s="25" t="str">
        <f>IF('PART III-DEMOGRAPHICS'!Q645="","",'PART III-DEMOGRAPHICS'!Q645)</f>
        <v/>
      </c>
    </row>
    <row r="636" spans="1:21">
      <c r="A636" s="25" t="str">
        <f>IF('PART III-DEMOGRAPHICS'!A646="","",'PART III-DEMOGRAPHICS'!A646)</f>
        <v/>
      </c>
      <c r="B636" s="28"/>
      <c r="C636" s="27"/>
      <c r="D636" s="28"/>
      <c r="E636" s="21"/>
      <c r="F636" s="36" t="str">
        <f t="shared" si="22"/>
        <v>Did Not</v>
      </c>
      <c r="G636" s="28"/>
      <c r="H636" s="28"/>
      <c r="I636" s="28"/>
      <c r="J636" s="28"/>
      <c r="K636" s="28"/>
      <c r="L636" s="28"/>
      <c r="M636" s="28"/>
      <c r="N636" s="21"/>
      <c r="O636" s="28"/>
      <c r="P636" s="37"/>
      <c r="Q636" s="21"/>
      <c r="R636" s="21"/>
      <c r="S636" s="47"/>
      <c r="T636" s="25">
        <f t="shared" si="21"/>
        <v>0</v>
      </c>
      <c r="U636" s="25" t="str">
        <f>IF('PART III-DEMOGRAPHICS'!Q646="","",'PART III-DEMOGRAPHICS'!Q646)</f>
        <v/>
      </c>
    </row>
    <row r="637" spans="1:21">
      <c r="A637" s="25" t="str">
        <f>IF('PART III-DEMOGRAPHICS'!A647="","",'PART III-DEMOGRAPHICS'!A647)</f>
        <v/>
      </c>
      <c r="B637" s="28"/>
      <c r="C637" s="27"/>
      <c r="D637" s="28"/>
      <c r="E637" s="21"/>
      <c r="F637" s="36" t="str">
        <f t="shared" si="22"/>
        <v>Did Not</v>
      </c>
      <c r="G637" s="28"/>
      <c r="H637" s="28"/>
      <c r="I637" s="28"/>
      <c r="J637" s="28"/>
      <c r="K637" s="28"/>
      <c r="L637" s="28"/>
      <c r="M637" s="28"/>
      <c r="N637" s="21"/>
      <c r="O637" s="28"/>
      <c r="P637" s="37"/>
      <c r="Q637" s="21"/>
      <c r="R637" s="21"/>
      <c r="S637" s="47"/>
      <c r="T637" s="25">
        <f t="shared" si="21"/>
        <v>0</v>
      </c>
      <c r="U637" s="25" t="str">
        <f>IF('PART III-DEMOGRAPHICS'!Q647="","",'PART III-DEMOGRAPHICS'!Q647)</f>
        <v/>
      </c>
    </row>
    <row r="638" spans="1:21">
      <c r="A638" s="25" t="str">
        <f>IF('PART III-DEMOGRAPHICS'!A648="","",'PART III-DEMOGRAPHICS'!A648)</f>
        <v/>
      </c>
      <c r="B638" s="28"/>
      <c r="C638" s="27"/>
      <c r="D638" s="28"/>
      <c r="E638" s="21"/>
      <c r="F638" s="36" t="str">
        <f t="shared" si="22"/>
        <v>Did Not</v>
      </c>
      <c r="G638" s="28"/>
      <c r="H638" s="28"/>
      <c r="I638" s="28"/>
      <c r="J638" s="28"/>
      <c r="K638" s="28"/>
      <c r="L638" s="28"/>
      <c r="M638" s="28"/>
      <c r="N638" s="21"/>
      <c r="O638" s="28"/>
      <c r="P638" s="37"/>
      <c r="Q638" s="21"/>
      <c r="R638" s="21"/>
      <c r="S638" s="47"/>
      <c r="T638" s="25">
        <f t="shared" si="21"/>
        <v>0</v>
      </c>
      <c r="U638" s="25" t="str">
        <f>IF('PART III-DEMOGRAPHICS'!Q648="","",'PART III-DEMOGRAPHICS'!Q648)</f>
        <v/>
      </c>
    </row>
    <row r="639" spans="1:21">
      <c r="A639" s="25" t="str">
        <f>IF('PART III-DEMOGRAPHICS'!A649="","",'PART III-DEMOGRAPHICS'!A649)</f>
        <v/>
      </c>
      <c r="B639" s="28"/>
      <c r="C639" s="27"/>
      <c r="D639" s="28"/>
      <c r="E639" s="21"/>
      <c r="F639" s="36" t="str">
        <f t="shared" si="22"/>
        <v>Did Not</v>
      </c>
      <c r="G639" s="28"/>
      <c r="H639" s="28"/>
      <c r="I639" s="28"/>
      <c r="J639" s="28"/>
      <c r="K639" s="28"/>
      <c r="L639" s="28"/>
      <c r="M639" s="28"/>
      <c r="N639" s="21"/>
      <c r="O639" s="28"/>
      <c r="P639" s="37"/>
      <c r="Q639" s="21"/>
      <c r="R639" s="21"/>
      <c r="S639" s="47"/>
      <c r="T639" s="25">
        <f t="shared" si="21"/>
        <v>0</v>
      </c>
      <c r="U639" s="25" t="str">
        <f>IF('PART III-DEMOGRAPHICS'!Q649="","",'PART III-DEMOGRAPHICS'!Q649)</f>
        <v/>
      </c>
    </row>
    <row r="640" spans="1:21">
      <c r="A640" s="25" t="str">
        <f>IF('PART III-DEMOGRAPHICS'!A650="","",'PART III-DEMOGRAPHICS'!A650)</f>
        <v/>
      </c>
      <c r="B640" s="28"/>
      <c r="C640" s="27"/>
      <c r="D640" s="28"/>
      <c r="E640" s="21"/>
      <c r="F640" s="36" t="str">
        <f t="shared" si="22"/>
        <v>Did Not</v>
      </c>
      <c r="G640" s="28"/>
      <c r="H640" s="28"/>
      <c r="I640" s="28"/>
      <c r="J640" s="28"/>
      <c r="K640" s="28"/>
      <c r="L640" s="28"/>
      <c r="M640" s="28"/>
      <c r="N640" s="21"/>
      <c r="O640" s="28"/>
      <c r="P640" s="37"/>
      <c r="Q640" s="21"/>
      <c r="R640" s="21"/>
      <c r="S640" s="47"/>
      <c r="T640" s="25">
        <f t="shared" si="21"/>
        <v>0</v>
      </c>
      <c r="U640" s="25" t="str">
        <f>IF('PART III-DEMOGRAPHICS'!Q650="","",'PART III-DEMOGRAPHICS'!Q650)</f>
        <v/>
      </c>
    </row>
    <row r="641" spans="1:21">
      <c r="A641" s="25" t="str">
        <f>IF('PART III-DEMOGRAPHICS'!A651="","",'PART III-DEMOGRAPHICS'!A651)</f>
        <v/>
      </c>
      <c r="B641" s="28"/>
      <c r="C641" s="27"/>
      <c r="D641" s="28"/>
      <c r="E641" s="21"/>
      <c r="F641" s="36" t="str">
        <f t="shared" si="22"/>
        <v>Did Not</v>
      </c>
      <c r="G641" s="28"/>
      <c r="H641" s="28"/>
      <c r="I641" s="28"/>
      <c r="J641" s="28"/>
      <c r="K641" s="28"/>
      <c r="L641" s="28"/>
      <c r="M641" s="28"/>
      <c r="N641" s="21"/>
      <c r="O641" s="28"/>
      <c r="P641" s="37"/>
      <c r="Q641" s="21"/>
      <c r="R641" s="21"/>
      <c r="S641" s="47"/>
      <c r="T641" s="25">
        <f t="shared" si="21"/>
        <v>0</v>
      </c>
      <c r="U641" s="25" t="str">
        <f>IF('PART III-DEMOGRAPHICS'!Q651="","",'PART III-DEMOGRAPHICS'!Q651)</f>
        <v/>
      </c>
    </row>
    <row r="642" spans="1:21">
      <c r="A642" s="25" t="str">
        <f>IF('PART III-DEMOGRAPHICS'!A652="","",'PART III-DEMOGRAPHICS'!A652)</f>
        <v/>
      </c>
      <c r="B642" s="28"/>
      <c r="C642" s="27"/>
      <c r="D642" s="28"/>
      <c r="E642" s="21"/>
      <c r="F642" s="36" t="str">
        <f t="shared" si="22"/>
        <v>Did Not</v>
      </c>
      <c r="G642" s="28"/>
      <c r="H642" s="28"/>
      <c r="I642" s="28"/>
      <c r="J642" s="28"/>
      <c r="K642" s="28"/>
      <c r="L642" s="28"/>
      <c r="M642" s="28"/>
      <c r="N642" s="21"/>
      <c r="O642" s="28"/>
      <c r="P642" s="37"/>
      <c r="Q642" s="21"/>
      <c r="R642" s="21"/>
      <c r="S642" s="47"/>
      <c r="T642" s="25">
        <f t="shared" si="21"/>
        <v>0</v>
      </c>
      <c r="U642" s="25" t="str">
        <f>IF('PART III-DEMOGRAPHICS'!Q652="","",'PART III-DEMOGRAPHICS'!Q652)</f>
        <v/>
      </c>
    </row>
    <row r="643" spans="1:21">
      <c r="A643" s="25" t="str">
        <f>IF('PART III-DEMOGRAPHICS'!A653="","",'PART III-DEMOGRAPHICS'!A653)</f>
        <v/>
      </c>
      <c r="B643" s="28"/>
      <c r="C643" s="27"/>
      <c r="D643" s="28"/>
      <c r="E643" s="21"/>
      <c r="F643" s="36" t="str">
        <f t="shared" si="22"/>
        <v>Did Not</v>
      </c>
      <c r="G643" s="28"/>
      <c r="H643" s="28"/>
      <c r="I643" s="28"/>
      <c r="J643" s="28"/>
      <c r="K643" s="28"/>
      <c r="L643" s="28"/>
      <c r="M643" s="28"/>
      <c r="N643" s="21"/>
      <c r="O643" s="28"/>
      <c r="P643" s="37"/>
      <c r="Q643" s="21"/>
      <c r="R643" s="21"/>
      <c r="S643" s="47"/>
      <c r="T643" s="25">
        <f t="shared" si="21"/>
        <v>0</v>
      </c>
      <c r="U643" s="25" t="str">
        <f>IF('PART III-DEMOGRAPHICS'!Q653="","",'PART III-DEMOGRAPHICS'!Q653)</f>
        <v/>
      </c>
    </row>
    <row r="644" spans="1:21">
      <c r="A644" s="25" t="str">
        <f>IF('PART III-DEMOGRAPHICS'!A654="","",'PART III-DEMOGRAPHICS'!A654)</f>
        <v/>
      </c>
      <c r="B644" s="28"/>
      <c r="C644" s="27"/>
      <c r="D644" s="28"/>
      <c r="E644" s="21"/>
      <c r="F644" s="36" t="str">
        <f t="shared" si="22"/>
        <v>Did Not</v>
      </c>
      <c r="G644" s="28"/>
      <c r="H644" s="28"/>
      <c r="I644" s="28"/>
      <c r="J644" s="28"/>
      <c r="K644" s="28"/>
      <c r="L644" s="28"/>
      <c r="M644" s="28"/>
      <c r="N644" s="21"/>
      <c r="O644" s="28"/>
      <c r="P644" s="37"/>
      <c r="Q644" s="21"/>
      <c r="R644" s="21"/>
      <c r="S644" s="47"/>
      <c r="T644" s="25">
        <f t="shared" si="21"/>
        <v>0</v>
      </c>
      <c r="U644" s="25" t="str">
        <f>IF('PART III-DEMOGRAPHICS'!Q654="","",'PART III-DEMOGRAPHICS'!Q654)</f>
        <v/>
      </c>
    </row>
    <row r="645" spans="1:21">
      <c r="A645" s="25" t="str">
        <f>IF('PART III-DEMOGRAPHICS'!A655="","",'PART III-DEMOGRAPHICS'!A655)</f>
        <v/>
      </c>
      <c r="B645" s="28"/>
      <c r="C645" s="27"/>
      <c r="D645" s="28"/>
      <c r="E645" s="21"/>
      <c r="F645" s="36" t="str">
        <f t="shared" si="22"/>
        <v>Did Not</v>
      </c>
      <c r="G645" s="28"/>
      <c r="H645" s="28"/>
      <c r="I645" s="28"/>
      <c r="J645" s="28"/>
      <c r="K645" s="28"/>
      <c r="L645" s="28"/>
      <c r="M645" s="28"/>
      <c r="N645" s="21"/>
      <c r="O645" s="28"/>
      <c r="P645" s="37"/>
      <c r="Q645" s="21"/>
      <c r="R645" s="21"/>
      <c r="S645" s="47"/>
      <c r="T645" s="25">
        <f t="shared" si="21"/>
        <v>0</v>
      </c>
      <c r="U645" s="25" t="str">
        <f>IF('PART III-DEMOGRAPHICS'!Q655="","",'PART III-DEMOGRAPHICS'!Q655)</f>
        <v/>
      </c>
    </row>
    <row r="646" spans="1:21">
      <c r="A646" s="25" t="str">
        <f>IF('PART III-DEMOGRAPHICS'!A656="","",'PART III-DEMOGRAPHICS'!A656)</f>
        <v/>
      </c>
      <c r="B646" s="28"/>
      <c r="C646" s="27"/>
      <c r="D646" s="28"/>
      <c r="E646" s="21"/>
      <c r="F646" s="36" t="str">
        <f t="shared" si="22"/>
        <v>Did Not</v>
      </c>
      <c r="G646" s="28"/>
      <c r="H646" s="28"/>
      <c r="I646" s="28"/>
      <c r="J646" s="28"/>
      <c r="K646" s="28"/>
      <c r="L646" s="28"/>
      <c r="M646" s="28"/>
      <c r="N646" s="21"/>
      <c r="O646" s="28"/>
      <c r="P646" s="37"/>
      <c r="Q646" s="21"/>
      <c r="R646" s="21"/>
      <c r="S646" s="47"/>
      <c r="T646" s="25">
        <f t="shared" si="21"/>
        <v>0</v>
      </c>
      <c r="U646" s="25" t="str">
        <f>IF('PART III-DEMOGRAPHICS'!Q656="","",'PART III-DEMOGRAPHICS'!Q656)</f>
        <v/>
      </c>
    </row>
    <row r="647" spans="1:21">
      <c r="A647" s="25" t="str">
        <f>IF('PART III-DEMOGRAPHICS'!A657="","",'PART III-DEMOGRAPHICS'!A657)</f>
        <v/>
      </c>
      <c r="B647" s="28"/>
      <c r="C647" s="27"/>
      <c r="D647" s="28"/>
      <c r="E647" s="21"/>
      <c r="F647" s="36" t="str">
        <f t="shared" si="22"/>
        <v>Did Not</v>
      </c>
      <c r="G647" s="28"/>
      <c r="H647" s="28"/>
      <c r="I647" s="28"/>
      <c r="J647" s="28"/>
      <c r="K647" s="28"/>
      <c r="L647" s="28"/>
      <c r="M647" s="28"/>
      <c r="N647" s="21"/>
      <c r="O647" s="28"/>
      <c r="P647" s="37"/>
      <c r="Q647" s="21"/>
      <c r="R647" s="21"/>
      <c r="S647" s="47"/>
      <c r="T647" s="25">
        <f t="shared" ref="T647:T710" si="23">COUNTIF(A647:R647,"Yes")</f>
        <v>0</v>
      </c>
      <c r="U647" s="25" t="str">
        <f>IF('PART III-DEMOGRAPHICS'!Q657="","",'PART III-DEMOGRAPHICS'!Q657)</f>
        <v/>
      </c>
    </row>
    <row r="648" spans="1:21">
      <c r="A648" s="25" t="str">
        <f>IF('PART III-DEMOGRAPHICS'!A658="","",'PART III-DEMOGRAPHICS'!A658)</f>
        <v/>
      </c>
      <c r="B648" s="28"/>
      <c r="C648" s="27"/>
      <c r="D648" s="28"/>
      <c r="E648" s="21"/>
      <c r="F648" s="36" t="str">
        <f t="shared" si="22"/>
        <v>Did Not</v>
      </c>
      <c r="G648" s="28"/>
      <c r="H648" s="28"/>
      <c r="I648" s="28"/>
      <c r="J648" s="28"/>
      <c r="K648" s="28"/>
      <c r="L648" s="28"/>
      <c r="M648" s="28"/>
      <c r="N648" s="21"/>
      <c r="O648" s="28"/>
      <c r="P648" s="37"/>
      <c r="Q648" s="21"/>
      <c r="R648" s="21"/>
      <c r="S648" s="47"/>
      <c r="T648" s="25">
        <f t="shared" si="23"/>
        <v>0</v>
      </c>
      <c r="U648" s="25" t="str">
        <f>IF('PART III-DEMOGRAPHICS'!Q658="","",'PART III-DEMOGRAPHICS'!Q658)</f>
        <v/>
      </c>
    </row>
    <row r="649" spans="1:21">
      <c r="A649" s="25" t="str">
        <f>IF('PART III-DEMOGRAPHICS'!A659="","",'PART III-DEMOGRAPHICS'!A659)</f>
        <v/>
      </c>
      <c r="B649" s="28"/>
      <c r="C649" s="27"/>
      <c r="D649" s="28"/>
      <c r="E649" s="21"/>
      <c r="F649" s="36" t="str">
        <f t="shared" si="22"/>
        <v>Did Not</v>
      </c>
      <c r="G649" s="28"/>
      <c r="H649" s="28"/>
      <c r="I649" s="28"/>
      <c r="J649" s="28"/>
      <c r="K649" s="28"/>
      <c r="L649" s="28"/>
      <c r="M649" s="28"/>
      <c r="N649" s="21"/>
      <c r="O649" s="28"/>
      <c r="P649" s="37"/>
      <c r="Q649" s="21"/>
      <c r="R649" s="21"/>
      <c r="S649" s="47"/>
      <c r="T649" s="25">
        <f t="shared" si="23"/>
        <v>0</v>
      </c>
      <c r="U649" s="25" t="str">
        <f>IF('PART III-DEMOGRAPHICS'!Q659="","",'PART III-DEMOGRAPHICS'!Q659)</f>
        <v/>
      </c>
    </row>
    <row r="650" spans="1:21">
      <c r="A650" s="25" t="str">
        <f>IF('PART III-DEMOGRAPHICS'!A660="","",'PART III-DEMOGRAPHICS'!A660)</f>
        <v/>
      </c>
      <c r="B650" s="28"/>
      <c r="C650" s="27"/>
      <c r="D650" s="28"/>
      <c r="E650" s="21"/>
      <c r="F650" s="36" t="str">
        <f t="shared" si="22"/>
        <v>Did Not</v>
      </c>
      <c r="G650" s="28"/>
      <c r="H650" s="28"/>
      <c r="I650" s="28"/>
      <c r="J650" s="28"/>
      <c r="K650" s="28"/>
      <c r="L650" s="28"/>
      <c r="M650" s="28"/>
      <c r="N650" s="21"/>
      <c r="O650" s="28"/>
      <c r="P650" s="37"/>
      <c r="Q650" s="21"/>
      <c r="R650" s="21"/>
      <c r="S650" s="47"/>
      <c r="T650" s="25">
        <f t="shared" si="23"/>
        <v>0</v>
      </c>
      <c r="U650" s="25" t="str">
        <f>IF('PART III-DEMOGRAPHICS'!Q660="","",'PART III-DEMOGRAPHICS'!Q660)</f>
        <v/>
      </c>
    </row>
    <row r="651" spans="1:21">
      <c r="A651" s="25" t="str">
        <f>IF('PART III-DEMOGRAPHICS'!A661="","",'PART III-DEMOGRAPHICS'!A661)</f>
        <v/>
      </c>
      <c r="B651" s="28"/>
      <c r="C651" s="27"/>
      <c r="D651" s="28"/>
      <c r="E651" s="21"/>
      <c r="F651" s="36" t="str">
        <f t="shared" si="22"/>
        <v>Did Not</v>
      </c>
      <c r="G651" s="28"/>
      <c r="H651" s="28"/>
      <c r="I651" s="28"/>
      <c r="J651" s="28"/>
      <c r="K651" s="28"/>
      <c r="L651" s="28"/>
      <c r="M651" s="28"/>
      <c r="N651" s="21"/>
      <c r="O651" s="28"/>
      <c r="P651" s="37"/>
      <c r="Q651" s="21"/>
      <c r="R651" s="21"/>
      <c r="S651" s="47"/>
      <c r="T651" s="25">
        <f t="shared" si="23"/>
        <v>0</v>
      </c>
      <c r="U651" s="25" t="str">
        <f>IF('PART III-DEMOGRAPHICS'!Q661="","",'PART III-DEMOGRAPHICS'!Q661)</f>
        <v/>
      </c>
    </row>
    <row r="652" spans="1:21">
      <c r="A652" s="25" t="str">
        <f>IF('PART III-DEMOGRAPHICS'!A662="","",'PART III-DEMOGRAPHICS'!A662)</f>
        <v/>
      </c>
      <c r="B652" s="28"/>
      <c r="C652" s="27"/>
      <c r="D652" s="28"/>
      <c r="E652" s="21"/>
      <c r="F652" s="36" t="str">
        <f t="shared" si="22"/>
        <v>Did Not</v>
      </c>
      <c r="G652" s="28"/>
      <c r="H652" s="28"/>
      <c r="I652" s="28"/>
      <c r="J652" s="28"/>
      <c r="K652" s="28"/>
      <c r="L652" s="28"/>
      <c r="M652" s="28"/>
      <c r="N652" s="21"/>
      <c r="O652" s="28"/>
      <c r="P652" s="37"/>
      <c r="Q652" s="21"/>
      <c r="R652" s="21"/>
      <c r="S652" s="47"/>
      <c r="T652" s="25">
        <f t="shared" si="23"/>
        <v>0</v>
      </c>
      <c r="U652" s="25" t="str">
        <f>IF('PART III-DEMOGRAPHICS'!Q662="","",'PART III-DEMOGRAPHICS'!Q662)</f>
        <v/>
      </c>
    </row>
    <row r="653" spans="1:21">
      <c r="A653" s="25" t="str">
        <f>IF('PART III-DEMOGRAPHICS'!A663="","",'PART III-DEMOGRAPHICS'!A663)</f>
        <v/>
      </c>
      <c r="B653" s="28"/>
      <c r="C653" s="27"/>
      <c r="D653" s="28"/>
      <c r="E653" s="21"/>
      <c r="F653" s="36" t="str">
        <f t="shared" si="22"/>
        <v>Did Not</v>
      </c>
      <c r="G653" s="28"/>
      <c r="H653" s="28"/>
      <c r="I653" s="28"/>
      <c r="J653" s="28"/>
      <c r="K653" s="28"/>
      <c r="L653" s="28"/>
      <c r="M653" s="28"/>
      <c r="N653" s="21"/>
      <c r="O653" s="28"/>
      <c r="P653" s="37"/>
      <c r="Q653" s="21"/>
      <c r="R653" s="21"/>
      <c r="S653" s="47"/>
      <c r="T653" s="25">
        <f t="shared" si="23"/>
        <v>0</v>
      </c>
      <c r="U653" s="25" t="str">
        <f>IF('PART III-DEMOGRAPHICS'!Q663="","",'PART III-DEMOGRAPHICS'!Q663)</f>
        <v/>
      </c>
    </row>
    <row r="654" spans="1:21">
      <c r="A654" s="25" t="str">
        <f>IF('PART III-DEMOGRAPHICS'!A664="","",'PART III-DEMOGRAPHICS'!A664)</f>
        <v/>
      </c>
      <c r="B654" s="28"/>
      <c r="C654" s="27"/>
      <c r="D654" s="28"/>
      <c r="E654" s="21"/>
      <c r="F654" s="36" t="str">
        <f t="shared" ref="F654:F717" si="24">IF(OR(G654="Yes",H654="Yes",I654="Yes",J654="Yes",K654="Yes",L654="Yes",M654="Yes"),"Did","Did Not")</f>
        <v>Did Not</v>
      </c>
      <c r="G654" s="28"/>
      <c r="H654" s="28"/>
      <c r="I654" s="28"/>
      <c r="J654" s="28"/>
      <c r="K654" s="28"/>
      <c r="L654" s="28"/>
      <c r="M654" s="28"/>
      <c r="N654" s="21"/>
      <c r="O654" s="28"/>
      <c r="P654" s="37"/>
      <c r="Q654" s="21"/>
      <c r="R654" s="21"/>
      <c r="S654" s="47"/>
      <c r="T654" s="25">
        <f t="shared" si="23"/>
        <v>0</v>
      </c>
      <c r="U654" s="25" t="str">
        <f>IF('PART III-DEMOGRAPHICS'!Q664="","",'PART III-DEMOGRAPHICS'!Q664)</f>
        <v/>
      </c>
    </row>
    <row r="655" spans="1:21">
      <c r="A655" s="25" t="str">
        <f>IF('PART III-DEMOGRAPHICS'!A665="","",'PART III-DEMOGRAPHICS'!A665)</f>
        <v/>
      </c>
      <c r="B655" s="28"/>
      <c r="C655" s="27"/>
      <c r="D655" s="28"/>
      <c r="E655" s="21"/>
      <c r="F655" s="36" t="str">
        <f t="shared" si="24"/>
        <v>Did Not</v>
      </c>
      <c r="G655" s="28"/>
      <c r="H655" s="28"/>
      <c r="I655" s="28"/>
      <c r="J655" s="28"/>
      <c r="K655" s="28"/>
      <c r="L655" s="28"/>
      <c r="M655" s="28"/>
      <c r="N655" s="21"/>
      <c r="O655" s="28"/>
      <c r="P655" s="37"/>
      <c r="Q655" s="21"/>
      <c r="R655" s="21"/>
      <c r="S655" s="47"/>
      <c r="T655" s="25">
        <f t="shared" si="23"/>
        <v>0</v>
      </c>
      <c r="U655" s="25" t="str">
        <f>IF('PART III-DEMOGRAPHICS'!Q665="","",'PART III-DEMOGRAPHICS'!Q665)</f>
        <v/>
      </c>
    </row>
    <row r="656" spans="1:21">
      <c r="A656" s="25" t="str">
        <f>IF('PART III-DEMOGRAPHICS'!A666="","",'PART III-DEMOGRAPHICS'!A666)</f>
        <v/>
      </c>
      <c r="B656" s="28"/>
      <c r="C656" s="27"/>
      <c r="D656" s="28"/>
      <c r="E656" s="21"/>
      <c r="F656" s="36" t="str">
        <f t="shared" si="24"/>
        <v>Did Not</v>
      </c>
      <c r="G656" s="28"/>
      <c r="H656" s="28"/>
      <c r="I656" s="28"/>
      <c r="J656" s="28"/>
      <c r="K656" s="28"/>
      <c r="L656" s="28"/>
      <c r="M656" s="28"/>
      <c r="N656" s="21"/>
      <c r="O656" s="28"/>
      <c r="P656" s="37"/>
      <c r="Q656" s="21"/>
      <c r="R656" s="21"/>
      <c r="S656" s="47"/>
      <c r="T656" s="25">
        <f t="shared" si="23"/>
        <v>0</v>
      </c>
      <c r="U656" s="25" t="str">
        <f>IF('PART III-DEMOGRAPHICS'!Q666="","",'PART III-DEMOGRAPHICS'!Q666)</f>
        <v/>
      </c>
    </row>
    <row r="657" spans="1:21">
      <c r="A657" s="25" t="str">
        <f>IF('PART III-DEMOGRAPHICS'!A667="","",'PART III-DEMOGRAPHICS'!A667)</f>
        <v/>
      </c>
      <c r="B657" s="28"/>
      <c r="C657" s="27"/>
      <c r="D657" s="28"/>
      <c r="E657" s="21"/>
      <c r="F657" s="36" t="str">
        <f t="shared" si="24"/>
        <v>Did Not</v>
      </c>
      <c r="G657" s="28"/>
      <c r="H657" s="28"/>
      <c r="I657" s="28"/>
      <c r="J657" s="28"/>
      <c r="K657" s="28"/>
      <c r="L657" s="28"/>
      <c r="M657" s="28"/>
      <c r="N657" s="21"/>
      <c r="O657" s="28"/>
      <c r="P657" s="37"/>
      <c r="Q657" s="21"/>
      <c r="R657" s="21"/>
      <c r="S657" s="47"/>
      <c r="T657" s="25">
        <f t="shared" si="23"/>
        <v>0</v>
      </c>
      <c r="U657" s="25" t="str">
        <f>IF('PART III-DEMOGRAPHICS'!Q667="","",'PART III-DEMOGRAPHICS'!Q667)</f>
        <v/>
      </c>
    </row>
    <row r="658" spans="1:21">
      <c r="A658" s="25" t="str">
        <f>IF('PART III-DEMOGRAPHICS'!A668="","",'PART III-DEMOGRAPHICS'!A668)</f>
        <v/>
      </c>
      <c r="B658" s="28"/>
      <c r="C658" s="27"/>
      <c r="D658" s="28"/>
      <c r="E658" s="21"/>
      <c r="F658" s="36" t="str">
        <f t="shared" si="24"/>
        <v>Did Not</v>
      </c>
      <c r="G658" s="28"/>
      <c r="H658" s="28"/>
      <c r="I658" s="28"/>
      <c r="J658" s="28"/>
      <c r="K658" s="28"/>
      <c r="L658" s="28"/>
      <c r="M658" s="28"/>
      <c r="N658" s="21"/>
      <c r="O658" s="28"/>
      <c r="P658" s="37"/>
      <c r="Q658" s="21"/>
      <c r="R658" s="21"/>
      <c r="S658" s="47"/>
      <c r="T658" s="25">
        <f t="shared" si="23"/>
        <v>0</v>
      </c>
      <c r="U658" s="25" t="str">
        <f>IF('PART III-DEMOGRAPHICS'!Q668="","",'PART III-DEMOGRAPHICS'!Q668)</f>
        <v/>
      </c>
    </row>
    <row r="659" spans="1:21">
      <c r="A659" s="25" t="str">
        <f>IF('PART III-DEMOGRAPHICS'!A669="","",'PART III-DEMOGRAPHICS'!A669)</f>
        <v/>
      </c>
      <c r="B659" s="28"/>
      <c r="C659" s="27"/>
      <c r="D659" s="28"/>
      <c r="E659" s="21"/>
      <c r="F659" s="36" t="str">
        <f t="shared" si="24"/>
        <v>Did Not</v>
      </c>
      <c r="G659" s="28"/>
      <c r="H659" s="28"/>
      <c r="I659" s="28"/>
      <c r="J659" s="28"/>
      <c r="K659" s="28"/>
      <c r="L659" s="28"/>
      <c r="M659" s="28"/>
      <c r="N659" s="21"/>
      <c r="O659" s="28"/>
      <c r="P659" s="37"/>
      <c r="Q659" s="21"/>
      <c r="R659" s="21"/>
      <c r="S659" s="47"/>
      <c r="T659" s="25">
        <f t="shared" si="23"/>
        <v>0</v>
      </c>
      <c r="U659" s="25" t="str">
        <f>IF('PART III-DEMOGRAPHICS'!Q669="","",'PART III-DEMOGRAPHICS'!Q669)</f>
        <v/>
      </c>
    </row>
    <row r="660" spans="1:21">
      <c r="A660" s="25" t="str">
        <f>IF('PART III-DEMOGRAPHICS'!A670="","",'PART III-DEMOGRAPHICS'!A670)</f>
        <v/>
      </c>
      <c r="B660" s="28"/>
      <c r="C660" s="27"/>
      <c r="D660" s="28"/>
      <c r="E660" s="21"/>
      <c r="F660" s="36" t="str">
        <f t="shared" si="24"/>
        <v>Did Not</v>
      </c>
      <c r="G660" s="28"/>
      <c r="H660" s="28"/>
      <c r="I660" s="28"/>
      <c r="J660" s="28"/>
      <c r="K660" s="28"/>
      <c r="L660" s="28"/>
      <c r="M660" s="28"/>
      <c r="N660" s="21"/>
      <c r="O660" s="28"/>
      <c r="P660" s="38"/>
      <c r="Q660" s="21"/>
      <c r="R660" s="21"/>
      <c r="S660" s="47"/>
      <c r="T660" s="25">
        <f t="shared" si="23"/>
        <v>0</v>
      </c>
      <c r="U660" s="25" t="str">
        <f>IF('PART III-DEMOGRAPHICS'!Q670="","",'PART III-DEMOGRAPHICS'!Q670)</f>
        <v/>
      </c>
    </row>
    <row r="661" spans="1:21">
      <c r="A661" s="25" t="str">
        <f>IF('PART III-DEMOGRAPHICS'!A671="","",'PART III-DEMOGRAPHICS'!A671)</f>
        <v/>
      </c>
      <c r="B661" s="28"/>
      <c r="C661" s="27"/>
      <c r="D661" s="28"/>
      <c r="E661" s="21"/>
      <c r="F661" s="36" t="str">
        <f t="shared" si="24"/>
        <v>Did Not</v>
      </c>
      <c r="G661" s="28"/>
      <c r="H661" s="28"/>
      <c r="I661" s="28"/>
      <c r="J661" s="28"/>
      <c r="K661" s="28"/>
      <c r="L661" s="28"/>
      <c r="M661" s="28"/>
      <c r="N661" s="21"/>
      <c r="O661" s="28"/>
      <c r="P661" s="38"/>
      <c r="Q661" s="21"/>
      <c r="R661" s="21"/>
      <c r="S661" s="47"/>
      <c r="T661" s="25">
        <f t="shared" si="23"/>
        <v>0</v>
      </c>
      <c r="U661" s="25" t="str">
        <f>IF('PART III-DEMOGRAPHICS'!Q671="","",'PART III-DEMOGRAPHICS'!Q671)</f>
        <v/>
      </c>
    </row>
    <row r="662" spans="1:21">
      <c r="A662" s="25" t="str">
        <f>IF('PART III-DEMOGRAPHICS'!A672="","",'PART III-DEMOGRAPHICS'!A672)</f>
        <v/>
      </c>
      <c r="B662" s="28"/>
      <c r="C662" s="27"/>
      <c r="D662" s="28"/>
      <c r="E662" s="21"/>
      <c r="F662" s="36" t="str">
        <f t="shared" si="24"/>
        <v>Did Not</v>
      </c>
      <c r="G662" s="28"/>
      <c r="H662" s="28"/>
      <c r="I662" s="28"/>
      <c r="J662" s="28"/>
      <c r="K662" s="28"/>
      <c r="L662" s="28"/>
      <c r="M662" s="28"/>
      <c r="N662" s="21"/>
      <c r="O662" s="28"/>
      <c r="P662" s="38"/>
      <c r="Q662" s="21"/>
      <c r="R662" s="21"/>
      <c r="S662" s="47"/>
      <c r="T662" s="25">
        <f t="shared" si="23"/>
        <v>0</v>
      </c>
      <c r="U662" s="25" t="str">
        <f>IF('PART III-DEMOGRAPHICS'!Q672="","",'PART III-DEMOGRAPHICS'!Q672)</f>
        <v/>
      </c>
    </row>
    <row r="663" spans="1:21">
      <c r="A663" s="25" t="str">
        <f>IF('PART III-DEMOGRAPHICS'!A673="","",'PART III-DEMOGRAPHICS'!A673)</f>
        <v/>
      </c>
      <c r="B663" s="28"/>
      <c r="C663" s="27"/>
      <c r="D663" s="28"/>
      <c r="E663" s="21"/>
      <c r="F663" s="36" t="str">
        <f t="shared" si="24"/>
        <v>Did Not</v>
      </c>
      <c r="G663" s="28"/>
      <c r="H663" s="28"/>
      <c r="I663" s="28"/>
      <c r="J663" s="28"/>
      <c r="K663" s="28"/>
      <c r="L663" s="28"/>
      <c r="M663" s="28"/>
      <c r="N663" s="21"/>
      <c r="O663" s="28"/>
      <c r="P663" s="38"/>
      <c r="Q663" s="21"/>
      <c r="R663" s="21"/>
      <c r="S663" s="47"/>
      <c r="T663" s="25">
        <f t="shared" si="23"/>
        <v>0</v>
      </c>
      <c r="U663" s="25" t="str">
        <f>IF('PART III-DEMOGRAPHICS'!Q673="","",'PART III-DEMOGRAPHICS'!Q673)</f>
        <v/>
      </c>
    </row>
    <row r="664" spans="1:21">
      <c r="A664" s="25" t="str">
        <f>IF('PART III-DEMOGRAPHICS'!A674="","",'PART III-DEMOGRAPHICS'!A674)</f>
        <v/>
      </c>
      <c r="B664" s="28"/>
      <c r="C664" s="27"/>
      <c r="D664" s="28"/>
      <c r="E664" s="21"/>
      <c r="F664" s="36" t="str">
        <f t="shared" si="24"/>
        <v>Did Not</v>
      </c>
      <c r="G664" s="28"/>
      <c r="H664" s="28"/>
      <c r="I664" s="28"/>
      <c r="J664" s="28"/>
      <c r="K664" s="28"/>
      <c r="L664" s="28"/>
      <c r="M664" s="28"/>
      <c r="N664" s="21"/>
      <c r="O664" s="28"/>
      <c r="P664" s="38"/>
      <c r="Q664" s="21"/>
      <c r="R664" s="21"/>
      <c r="S664" s="47"/>
      <c r="T664" s="25">
        <f t="shared" si="23"/>
        <v>0</v>
      </c>
      <c r="U664" s="25" t="str">
        <f>IF('PART III-DEMOGRAPHICS'!Q674="","",'PART III-DEMOGRAPHICS'!Q674)</f>
        <v/>
      </c>
    </row>
    <row r="665" spans="1:21">
      <c r="A665" s="25" t="str">
        <f>IF('PART III-DEMOGRAPHICS'!A675="","",'PART III-DEMOGRAPHICS'!A675)</f>
        <v/>
      </c>
      <c r="B665" s="28"/>
      <c r="C665" s="27"/>
      <c r="D665" s="28"/>
      <c r="E665" s="21"/>
      <c r="F665" s="36" t="str">
        <f t="shared" si="24"/>
        <v>Did Not</v>
      </c>
      <c r="G665" s="28"/>
      <c r="H665" s="28"/>
      <c r="I665" s="28"/>
      <c r="J665" s="28"/>
      <c r="K665" s="28"/>
      <c r="L665" s="28"/>
      <c r="M665" s="28"/>
      <c r="N665" s="21"/>
      <c r="O665" s="28"/>
      <c r="P665" s="38"/>
      <c r="Q665" s="21"/>
      <c r="R665" s="21"/>
      <c r="S665" s="47"/>
      <c r="T665" s="25">
        <f t="shared" si="23"/>
        <v>0</v>
      </c>
      <c r="U665" s="25" t="str">
        <f>IF('PART III-DEMOGRAPHICS'!Q675="","",'PART III-DEMOGRAPHICS'!Q675)</f>
        <v/>
      </c>
    </row>
    <row r="666" spans="1:21">
      <c r="A666" s="25" t="str">
        <f>IF('PART III-DEMOGRAPHICS'!A676="","",'PART III-DEMOGRAPHICS'!A676)</f>
        <v/>
      </c>
      <c r="B666" s="28"/>
      <c r="C666" s="27"/>
      <c r="D666" s="28"/>
      <c r="E666" s="21"/>
      <c r="F666" s="36" t="str">
        <f t="shared" si="24"/>
        <v>Did Not</v>
      </c>
      <c r="G666" s="28"/>
      <c r="H666" s="28"/>
      <c r="I666" s="28"/>
      <c r="J666" s="28"/>
      <c r="K666" s="28"/>
      <c r="L666" s="28"/>
      <c r="M666" s="28"/>
      <c r="N666" s="21"/>
      <c r="O666" s="28"/>
      <c r="P666" s="38"/>
      <c r="Q666" s="21"/>
      <c r="R666" s="21"/>
      <c r="S666" s="47"/>
      <c r="T666" s="25">
        <f t="shared" si="23"/>
        <v>0</v>
      </c>
      <c r="U666" s="25" t="str">
        <f>IF('PART III-DEMOGRAPHICS'!Q676="","",'PART III-DEMOGRAPHICS'!Q676)</f>
        <v/>
      </c>
    </row>
    <row r="667" spans="1:21">
      <c r="A667" s="25" t="str">
        <f>IF('PART III-DEMOGRAPHICS'!A677="","",'PART III-DEMOGRAPHICS'!A677)</f>
        <v/>
      </c>
      <c r="B667" s="28"/>
      <c r="C667" s="27"/>
      <c r="D667" s="28"/>
      <c r="E667" s="21"/>
      <c r="F667" s="36" t="str">
        <f t="shared" si="24"/>
        <v>Did Not</v>
      </c>
      <c r="G667" s="28"/>
      <c r="H667" s="28"/>
      <c r="I667" s="28"/>
      <c r="J667" s="28"/>
      <c r="K667" s="28"/>
      <c r="L667" s="28"/>
      <c r="M667" s="28"/>
      <c r="N667" s="21"/>
      <c r="O667" s="28"/>
      <c r="P667" s="38"/>
      <c r="Q667" s="21"/>
      <c r="R667" s="21"/>
      <c r="S667" s="47"/>
      <c r="T667" s="25">
        <f t="shared" si="23"/>
        <v>0</v>
      </c>
      <c r="U667" s="25" t="str">
        <f>IF('PART III-DEMOGRAPHICS'!Q677="","",'PART III-DEMOGRAPHICS'!Q677)</f>
        <v/>
      </c>
    </row>
    <row r="668" spans="1:21">
      <c r="A668" s="25" t="str">
        <f>IF('PART III-DEMOGRAPHICS'!A678="","",'PART III-DEMOGRAPHICS'!A678)</f>
        <v/>
      </c>
      <c r="B668" s="28"/>
      <c r="C668" s="27"/>
      <c r="D668" s="28"/>
      <c r="E668" s="21"/>
      <c r="F668" s="36" t="str">
        <f t="shared" si="24"/>
        <v>Did Not</v>
      </c>
      <c r="G668" s="28"/>
      <c r="H668" s="28"/>
      <c r="I668" s="28"/>
      <c r="J668" s="28"/>
      <c r="K668" s="28"/>
      <c r="L668" s="28"/>
      <c r="M668" s="28"/>
      <c r="N668" s="21"/>
      <c r="O668" s="28"/>
      <c r="P668" s="38"/>
      <c r="Q668" s="21"/>
      <c r="R668" s="21"/>
      <c r="S668" s="47"/>
      <c r="T668" s="25">
        <f t="shared" si="23"/>
        <v>0</v>
      </c>
      <c r="U668" s="25" t="str">
        <f>IF('PART III-DEMOGRAPHICS'!Q678="","",'PART III-DEMOGRAPHICS'!Q678)</f>
        <v/>
      </c>
    </row>
    <row r="669" spans="1:21">
      <c r="A669" s="25" t="str">
        <f>IF('PART III-DEMOGRAPHICS'!A679="","",'PART III-DEMOGRAPHICS'!A679)</f>
        <v/>
      </c>
      <c r="B669" s="28"/>
      <c r="C669" s="27"/>
      <c r="D669" s="28"/>
      <c r="E669" s="21"/>
      <c r="F669" s="36" t="str">
        <f t="shared" si="24"/>
        <v>Did Not</v>
      </c>
      <c r="G669" s="28"/>
      <c r="H669" s="28"/>
      <c r="I669" s="28"/>
      <c r="J669" s="28"/>
      <c r="K669" s="28"/>
      <c r="L669" s="28"/>
      <c r="M669" s="28"/>
      <c r="N669" s="21"/>
      <c r="O669" s="28"/>
      <c r="P669" s="38"/>
      <c r="Q669" s="21"/>
      <c r="R669" s="21"/>
      <c r="S669" s="47"/>
      <c r="T669" s="25">
        <f t="shared" si="23"/>
        <v>0</v>
      </c>
      <c r="U669" s="25" t="str">
        <f>IF('PART III-DEMOGRAPHICS'!Q679="","",'PART III-DEMOGRAPHICS'!Q679)</f>
        <v/>
      </c>
    </row>
    <row r="670" spans="1:21">
      <c r="A670" s="25" t="str">
        <f>IF('PART III-DEMOGRAPHICS'!A680="","",'PART III-DEMOGRAPHICS'!A680)</f>
        <v/>
      </c>
      <c r="B670" s="28"/>
      <c r="C670" s="27"/>
      <c r="D670" s="28"/>
      <c r="E670" s="21"/>
      <c r="F670" s="36" t="str">
        <f t="shared" si="24"/>
        <v>Did Not</v>
      </c>
      <c r="G670" s="28"/>
      <c r="H670" s="28"/>
      <c r="I670" s="28"/>
      <c r="J670" s="28"/>
      <c r="K670" s="28"/>
      <c r="L670" s="28"/>
      <c r="M670" s="28"/>
      <c r="N670" s="21"/>
      <c r="O670" s="28"/>
      <c r="P670" s="38"/>
      <c r="Q670" s="21"/>
      <c r="R670" s="21"/>
      <c r="S670" s="47"/>
      <c r="T670" s="25">
        <f t="shared" si="23"/>
        <v>0</v>
      </c>
      <c r="U670" s="25" t="str">
        <f>IF('PART III-DEMOGRAPHICS'!Q680="","",'PART III-DEMOGRAPHICS'!Q680)</f>
        <v/>
      </c>
    </row>
    <row r="671" spans="1:21">
      <c r="A671" s="25" t="str">
        <f>IF('PART III-DEMOGRAPHICS'!A681="","",'PART III-DEMOGRAPHICS'!A681)</f>
        <v/>
      </c>
      <c r="B671" s="28"/>
      <c r="C671" s="27"/>
      <c r="D671" s="28"/>
      <c r="E671" s="21"/>
      <c r="F671" s="36" t="str">
        <f t="shared" si="24"/>
        <v>Did Not</v>
      </c>
      <c r="G671" s="28"/>
      <c r="H671" s="28"/>
      <c r="I671" s="28"/>
      <c r="J671" s="28"/>
      <c r="K671" s="28"/>
      <c r="L671" s="28"/>
      <c r="M671" s="28"/>
      <c r="N671" s="21"/>
      <c r="O671" s="28"/>
      <c r="P671" s="38"/>
      <c r="Q671" s="21"/>
      <c r="R671" s="21"/>
      <c r="S671" s="47"/>
      <c r="T671" s="25">
        <f t="shared" si="23"/>
        <v>0</v>
      </c>
      <c r="U671" s="25" t="str">
        <f>IF('PART III-DEMOGRAPHICS'!Q681="","",'PART III-DEMOGRAPHICS'!Q681)</f>
        <v/>
      </c>
    </row>
    <row r="672" spans="1:21">
      <c r="A672" s="25" t="str">
        <f>IF('PART III-DEMOGRAPHICS'!A682="","",'PART III-DEMOGRAPHICS'!A682)</f>
        <v/>
      </c>
      <c r="B672" s="28"/>
      <c r="C672" s="27"/>
      <c r="D672" s="28"/>
      <c r="E672" s="21"/>
      <c r="F672" s="36" t="str">
        <f t="shared" si="24"/>
        <v>Did Not</v>
      </c>
      <c r="G672" s="28"/>
      <c r="H672" s="28"/>
      <c r="I672" s="28"/>
      <c r="J672" s="28"/>
      <c r="K672" s="28"/>
      <c r="L672" s="28"/>
      <c r="M672" s="28"/>
      <c r="N672" s="21"/>
      <c r="O672" s="28"/>
      <c r="P672" s="38"/>
      <c r="Q672" s="21"/>
      <c r="R672" s="21"/>
      <c r="S672" s="47"/>
      <c r="T672" s="25">
        <f t="shared" si="23"/>
        <v>0</v>
      </c>
      <c r="U672" s="25" t="str">
        <f>IF('PART III-DEMOGRAPHICS'!Q682="","",'PART III-DEMOGRAPHICS'!Q682)</f>
        <v/>
      </c>
    </row>
    <row r="673" spans="1:21">
      <c r="A673" s="25" t="str">
        <f>IF('PART III-DEMOGRAPHICS'!A683="","",'PART III-DEMOGRAPHICS'!A683)</f>
        <v/>
      </c>
      <c r="B673" s="28"/>
      <c r="C673" s="27"/>
      <c r="D673" s="28"/>
      <c r="E673" s="21"/>
      <c r="F673" s="36" t="str">
        <f t="shared" si="24"/>
        <v>Did Not</v>
      </c>
      <c r="G673" s="28"/>
      <c r="H673" s="28"/>
      <c r="I673" s="28"/>
      <c r="J673" s="28"/>
      <c r="K673" s="28"/>
      <c r="L673" s="28"/>
      <c r="M673" s="28"/>
      <c r="N673" s="21"/>
      <c r="O673" s="28"/>
      <c r="P673" s="38"/>
      <c r="Q673" s="21"/>
      <c r="R673" s="21"/>
      <c r="S673" s="47"/>
      <c r="T673" s="25">
        <f t="shared" si="23"/>
        <v>0</v>
      </c>
      <c r="U673" s="25" t="str">
        <f>IF('PART III-DEMOGRAPHICS'!Q683="","",'PART III-DEMOGRAPHICS'!Q683)</f>
        <v/>
      </c>
    </row>
    <row r="674" spans="1:21">
      <c r="A674" s="25" t="str">
        <f>IF('PART III-DEMOGRAPHICS'!A684="","",'PART III-DEMOGRAPHICS'!A684)</f>
        <v/>
      </c>
      <c r="B674" s="28"/>
      <c r="C674" s="27"/>
      <c r="D674" s="28"/>
      <c r="E674" s="21"/>
      <c r="F674" s="36" t="str">
        <f t="shared" si="24"/>
        <v>Did Not</v>
      </c>
      <c r="G674" s="28"/>
      <c r="H674" s="28"/>
      <c r="I674" s="28"/>
      <c r="J674" s="28"/>
      <c r="K674" s="28"/>
      <c r="L674" s="28"/>
      <c r="M674" s="28"/>
      <c r="N674" s="21"/>
      <c r="O674" s="28"/>
      <c r="P674" s="38"/>
      <c r="Q674" s="21"/>
      <c r="R674" s="21"/>
      <c r="S674" s="47"/>
      <c r="T674" s="25">
        <f t="shared" si="23"/>
        <v>0</v>
      </c>
      <c r="U674" s="25" t="str">
        <f>IF('PART III-DEMOGRAPHICS'!Q684="","",'PART III-DEMOGRAPHICS'!Q684)</f>
        <v/>
      </c>
    </row>
    <row r="675" spans="1:21">
      <c r="A675" s="25" t="str">
        <f>IF('PART III-DEMOGRAPHICS'!A685="","",'PART III-DEMOGRAPHICS'!A685)</f>
        <v/>
      </c>
      <c r="B675" s="28"/>
      <c r="C675" s="27"/>
      <c r="D675" s="28"/>
      <c r="E675" s="21"/>
      <c r="F675" s="36" t="str">
        <f t="shared" si="24"/>
        <v>Did Not</v>
      </c>
      <c r="G675" s="28"/>
      <c r="H675" s="28"/>
      <c r="I675" s="28"/>
      <c r="J675" s="28"/>
      <c r="K675" s="28"/>
      <c r="L675" s="28"/>
      <c r="M675" s="28"/>
      <c r="N675" s="21"/>
      <c r="O675" s="28"/>
      <c r="P675" s="38"/>
      <c r="Q675" s="21"/>
      <c r="R675" s="21"/>
      <c r="S675" s="47"/>
      <c r="T675" s="25">
        <f t="shared" si="23"/>
        <v>0</v>
      </c>
      <c r="U675" s="25" t="str">
        <f>IF('PART III-DEMOGRAPHICS'!Q685="","",'PART III-DEMOGRAPHICS'!Q685)</f>
        <v/>
      </c>
    </row>
    <row r="676" spans="1:21">
      <c r="A676" s="25" t="str">
        <f>IF('PART III-DEMOGRAPHICS'!A686="","",'PART III-DEMOGRAPHICS'!A686)</f>
        <v/>
      </c>
      <c r="B676" s="28"/>
      <c r="C676" s="27"/>
      <c r="D676" s="28"/>
      <c r="E676" s="21"/>
      <c r="F676" s="36" t="str">
        <f t="shared" si="24"/>
        <v>Did Not</v>
      </c>
      <c r="G676" s="28"/>
      <c r="H676" s="28"/>
      <c r="I676" s="28"/>
      <c r="J676" s="28"/>
      <c r="K676" s="28"/>
      <c r="L676" s="28"/>
      <c r="M676" s="28"/>
      <c r="N676" s="21"/>
      <c r="O676" s="28"/>
      <c r="P676" s="38"/>
      <c r="Q676" s="21"/>
      <c r="R676" s="21"/>
      <c r="S676" s="47"/>
      <c r="T676" s="25">
        <f t="shared" si="23"/>
        <v>0</v>
      </c>
      <c r="U676" s="25" t="str">
        <f>IF('PART III-DEMOGRAPHICS'!Q686="","",'PART III-DEMOGRAPHICS'!Q686)</f>
        <v/>
      </c>
    </row>
    <row r="677" spans="1:21">
      <c r="A677" s="25" t="str">
        <f>IF('PART III-DEMOGRAPHICS'!A687="","",'PART III-DEMOGRAPHICS'!A687)</f>
        <v/>
      </c>
      <c r="B677" s="28"/>
      <c r="C677" s="27"/>
      <c r="D677" s="28"/>
      <c r="E677" s="21"/>
      <c r="F677" s="36" t="str">
        <f t="shared" si="24"/>
        <v>Did Not</v>
      </c>
      <c r="G677" s="28"/>
      <c r="H677" s="28"/>
      <c r="I677" s="28"/>
      <c r="J677" s="28"/>
      <c r="K677" s="28"/>
      <c r="L677" s="28"/>
      <c r="M677" s="28"/>
      <c r="N677" s="21"/>
      <c r="O677" s="28"/>
      <c r="P677" s="38"/>
      <c r="Q677" s="21"/>
      <c r="R677" s="21"/>
      <c r="S677" s="47"/>
      <c r="T677" s="25">
        <f t="shared" si="23"/>
        <v>0</v>
      </c>
      <c r="U677" s="25" t="str">
        <f>IF('PART III-DEMOGRAPHICS'!Q687="","",'PART III-DEMOGRAPHICS'!Q687)</f>
        <v/>
      </c>
    </row>
    <row r="678" spans="1:21">
      <c r="A678" s="25" t="str">
        <f>IF('PART III-DEMOGRAPHICS'!A688="","",'PART III-DEMOGRAPHICS'!A688)</f>
        <v/>
      </c>
      <c r="B678" s="28"/>
      <c r="C678" s="27"/>
      <c r="D678" s="28"/>
      <c r="E678" s="21"/>
      <c r="F678" s="36" t="str">
        <f t="shared" si="24"/>
        <v>Did Not</v>
      </c>
      <c r="G678" s="28"/>
      <c r="H678" s="28"/>
      <c r="I678" s="28"/>
      <c r="J678" s="28"/>
      <c r="K678" s="28"/>
      <c r="L678" s="28"/>
      <c r="M678" s="28"/>
      <c r="N678" s="21"/>
      <c r="O678" s="28"/>
      <c r="P678" s="38"/>
      <c r="Q678" s="21"/>
      <c r="R678" s="21"/>
      <c r="S678" s="47"/>
      <c r="T678" s="25">
        <f t="shared" si="23"/>
        <v>0</v>
      </c>
      <c r="U678" s="25" t="str">
        <f>IF('PART III-DEMOGRAPHICS'!Q688="","",'PART III-DEMOGRAPHICS'!Q688)</f>
        <v/>
      </c>
    </row>
    <row r="679" spans="1:21">
      <c r="A679" s="25" t="str">
        <f>IF('PART III-DEMOGRAPHICS'!A689="","",'PART III-DEMOGRAPHICS'!A689)</f>
        <v/>
      </c>
      <c r="B679" s="28"/>
      <c r="C679" s="27"/>
      <c r="D679" s="28"/>
      <c r="E679" s="21"/>
      <c r="F679" s="36" t="str">
        <f t="shared" si="24"/>
        <v>Did Not</v>
      </c>
      <c r="G679" s="28"/>
      <c r="H679" s="28"/>
      <c r="I679" s="28"/>
      <c r="J679" s="28"/>
      <c r="K679" s="28"/>
      <c r="L679" s="28"/>
      <c r="M679" s="28"/>
      <c r="N679" s="21"/>
      <c r="O679" s="28"/>
      <c r="P679" s="38"/>
      <c r="Q679" s="21"/>
      <c r="R679" s="21"/>
      <c r="S679" s="47"/>
      <c r="T679" s="25">
        <f t="shared" si="23"/>
        <v>0</v>
      </c>
      <c r="U679" s="25" t="str">
        <f>IF('PART III-DEMOGRAPHICS'!Q689="","",'PART III-DEMOGRAPHICS'!Q689)</f>
        <v/>
      </c>
    </row>
    <row r="680" spans="1:21">
      <c r="A680" s="25" t="str">
        <f>IF('PART III-DEMOGRAPHICS'!A690="","",'PART III-DEMOGRAPHICS'!A690)</f>
        <v/>
      </c>
      <c r="B680" s="28"/>
      <c r="C680" s="27"/>
      <c r="D680" s="28"/>
      <c r="E680" s="21"/>
      <c r="F680" s="36" t="str">
        <f t="shared" si="24"/>
        <v>Did Not</v>
      </c>
      <c r="G680" s="28"/>
      <c r="H680" s="28"/>
      <c r="I680" s="28"/>
      <c r="J680" s="28"/>
      <c r="K680" s="28"/>
      <c r="L680" s="28"/>
      <c r="M680" s="28"/>
      <c r="N680" s="21"/>
      <c r="O680" s="28"/>
      <c r="P680" s="38"/>
      <c r="Q680" s="21"/>
      <c r="R680" s="21"/>
      <c r="S680" s="47"/>
      <c r="T680" s="25">
        <f t="shared" si="23"/>
        <v>0</v>
      </c>
      <c r="U680" s="25" t="str">
        <f>IF('PART III-DEMOGRAPHICS'!Q690="","",'PART III-DEMOGRAPHICS'!Q690)</f>
        <v/>
      </c>
    </row>
    <row r="681" spans="1:21">
      <c r="A681" s="25" t="str">
        <f>IF('PART III-DEMOGRAPHICS'!A691="","",'PART III-DEMOGRAPHICS'!A691)</f>
        <v/>
      </c>
      <c r="B681" s="28"/>
      <c r="C681" s="27"/>
      <c r="D681" s="28"/>
      <c r="E681" s="21"/>
      <c r="F681" s="36" t="str">
        <f t="shared" si="24"/>
        <v>Did Not</v>
      </c>
      <c r="G681" s="28"/>
      <c r="H681" s="28"/>
      <c r="I681" s="28"/>
      <c r="J681" s="28"/>
      <c r="K681" s="28"/>
      <c r="L681" s="28"/>
      <c r="M681" s="28"/>
      <c r="N681" s="21"/>
      <c r="O681" s="28"/>
      <c r="P681" s="38"/>
      <c r="Q681" s="21"/>
      <c r="R681" s="21"/>
      <c r="S681" s="47"/>
      <c r="T681" s="25">
        <f t="shared" si="23"/>
        <v>0</v>
      </c>
      <c r="U681" s="25" t="str">
        <f>IF('PART III-DEMOGRAPHICS'!Q691="","",'PART III-DEMOGRAPHICS'!Q691)</f>
        <v/>
      </c>
    </row>
    <row r="682" spans="1:21">
      <c r="A682" s="25" t="str">
        <f>IF('PART III-DEMOGRAPHICS'!A692="","",'PART III-DEMOGRAPHICS'!A692)</f>
        <v/>
      </c>
      <c r="B682" s="28"/>
      <c r="C682" s="27"/>
      <c r="D682" s="28"/>
      <c r="E682" s="21"/>
      <c r="F682" s="36" t="str">
        <f t="shared" si="24"/>
        <v>Did Not</v>
      </c>
      <c r="G682" s="28"/>
      <c r="H682" s="28"/>
      <c r="I682" s="28"/>
      <c r="J682" s="28"/>
      <c r="K682" s="28"/>
      <c r="L682" s="28"/>
      <c r="M682" s="28"/>
      <c r="N682" s="21"/>
      <c r="O682" s="28"/>
      <c r="P682" s="38"/>
      <c r="Q682" s="21"/>
      <c r="R682" s="21"/>
      <c r="S682" s="47"/>
      <c r="T682" s="25">
        <f t="shared" si="23"/>
        <v>0</v>
      </c>
      <c r="U682" s="25" t="str">
        <f>IF('PART III-DEMOGRAPHICS'!Q692="","",'PART III-DEMOGRAPHICS'!Q692)</f>
        <v/>
      </c>
    </row>
    <row r="683" spans="1:21">
      <c r="A683" s="25" t="str">
        <f>IF('PART III-DEMOGRAPHICS'!A693="","",'PART III-DEMOGRAPHICS'!A693)</f>
        <v/>
      </c>
      <c r="B683" s="28"/>
      <c r="C683" s="27"/>
      <c r="D683" s="28"/>
      <c r="E683" s="21"/>
      <c r="F683" s="36" t="str">
        <f t="shared" si="24"/>
        <v>Did Not</v>
      </c>
      <c r="G683" s="28"/>
      <c r="H683" s="28"/>
      <c r="I683" s="28"/>
      <c r="J683" s="28"/>
      <c r="K683" s="28"/>
      <c r="L683" s="28"/>
      <c r="M683" s="28"/>
      <c r="N683" s="21"/>
      <c r="O683" s="28"/>
      <c r="P683" s="38"/>
      <c r="Q683" s="21"/>
      <c r="R683" s="21"/>
      <c r="S683" s="47"/>
      <c r="T683" s="25">
        <f t="shared" si="23"/>
        <v>0</v>
      </c>
      <c r="U683" s="25" t="str">
        <f>IF('PART III-DEMOGRAPHICS'!Q693="","",'PART III-DEMOGRAPHICS'!Q693)</f>
        <v/>
      </c>
    </row>
    <row r="684" spans="1:21">
      <c r="A684" s="25" t="str">
        <f>IF('PART III-DEMOGRAPHICS'!A694="","",'PART III-DEMOGRAPHICS'!A694)</f>
        <v/>
      </c>
      <c r="B684" s="28"/>
      <c r="C684" s="27"/>
      <c r="D684" s="28"/>
      <c r="E684" s="21"/>
      <c r="F684" s="36" t="str">
        <f t="shared" si="24"/>
        <v>Did Not</v>
      </c>
      <c r="G684" s="28"/>
      <c r="H684" s="28"/>
      <c r="I684" s="28"/>
      <c r="J684" s="28"/>
      <c r="K684" s="28"/>
      <c r="L684" s="28"/>
      <c r="M684" s="28"/>
      <c r="N684" s="21"/>
      <c r="O684" s="28"/>
      <c r="P684" s="38"/>
      <c r="Q684" s="21"/>
      <c r="R684" s="21"/>
      <c r="S684" s="47"/>
      <c r="T684" s="25">
        <f t="shared" si="23"/>
        <v>0</v>
      </c>
      <c r="U684" s="25" t="str">
        <f>IF('PART III-DEMOGRAPHICS'!Q694="","",'PART III-DEMOGRAPHICS'!Q694)</f>
        <v/>
      </c>
    </row>
    <row r="685" spans="1:21">
      <c r="A685" s="25" t="str">
        <f>IF('PART III-DEMOGRAPHICS'!A695="","",'PART III-DEMOGRAPHICS'!A695)</f>
        <v/>
      </c>
      <c r="B685" s="28"/>
      <c r="C685" s="27"/>
      <c r="D685" s="28"/>
      <c r="E685" s="21"/>
      <c r="F685" s="36" t="str">
        <f t="shared" si="24"/>
        <v>Did Not</v>
      </c>
      <c r="G685" s="28"/>
      <c r="H685" s="28"/>
      <c r="I685" s="28"/>
      <c r="J685" s="28"/>
      <c r="K685" s="28"/>
      <c r="L685" s="28"/>
      <c r="M685" s="28"/>
      <c r="N685" s="21"/>
      <c r="O685" s="28"/>
      <c r="P685" s="38"/>
      <c r="Q685" s="21"/>
      <c r="R685" s="21"/>
      <c r="S685" s="47"/>
      <c r="T685" s="25">
        <f t="shared" si="23"/>
        <v>0</v>
      </c>
      <c r="U685" s="25" t="str">
        <f>IF('PART III-DEMOGRAPHICS'!Q695="","",'PART III-DEMOGRAPHICS'!Q695)</f>
        <v/>
      </c>
    </row>
    <row r="686" spans="1:21">
      <c r="A686" s="25" t="str">
        <f>IF('PART III-DEMOGRAPHICS'!A696="","",'PART III-DEMOGRAPHICS'!A696)</f>
        <v/>
      </c>
      <c r="B686" s="28"/>
      <c r="C686" s="27"/>
      <c r="D686" s="28"/>
      <c r="E686" s="21"/>
      <c r="F686" s="36" t="str">
        <f t="shared" si="24"/>
        <v>Did Not</v>
      </c>
      <c r="G686" s="28"/>
      <c r="H686" s="28"/>
      <c r="I686" s="28"/>
      <c r="J686" s="28"/>
      <c r="K686" s="28"/>
      <c r="L686" s="28"/>
      <c r="M686" s="28"/>
      <c r="N686" s="21"/>
      <c r="O686" s="28"/>
      <c r="P686" s="38"/>
      <c r="Q686" s="21"/>
      <c r="R686" s="21"/>
      <c r="S686" s="47"/>
      <c r="T686" s="25">
        <f t="shared" si="23"/>
        <v>0</v>
      </c>
      <c r="U686" s="25" t="str">
        <f>IF('PART III-DEMOGRAPHICS'!Q696="","",'PART III-DEMOGRAPHICS'!Q696)</f>
        <v/>
      </c>
    </row>
    <row r="687" spans="1:21">
      <c r="A687" s="25" t="str">
        <f>IF('PART III-DEMOGRAPHICS'!A697="","",'PART III-DEMOGRAPHICS'!A697)</f>
        <v/>
      </c>
      <c r="B687" s="28"/>
      <c r="C687" s="27"/>
      <c r="D687" s="28"/>
      <c r="E687" s="21"/>
      <c r="F687" s="36" t="str">
        <f t="shared" si="24"/>
        <v>Did Not</v>
      </c>
      <c r="G687" s="28"/>
      <c r="H687" s="28"/>
      <c r="I687" s="28"/>
      <c r="J687" s="28"/>
      <c r="K687" s="28"/>
      <c r="L687" s="28"/>
      <c r="M687" s="28"/>
      <c r="N687" s="21"/>
      <c r="O687" s="28"/>
      <c r="P687" s="38"/>
      <c r="Q687" s="21"/>
      <c r="R687" s="21"/>
      <c r="S687" s="47"/>
      <c r="T687" s="25">
        <f t="shared" si="23"/>
        <v>0</v>
      </c>
      <c r="U687" s="25" t="str">
        <f>IF('PART III-DEMOGRAPHICS'!Q697="","",'PART III-DEMOGRAPHICS'!Q697)</f>
        <v/>
      </c>
    </row>
    <row r="688" spans="1:21">
      <c r="A688" s="25" t="str">
        <f>IF('PART III-DEMOGRAPHICS'!A698="","",'PART III-DEMOGRAPHICS'!A698)</f>
        <v/>
      </c>
      <c r="B688" s="28"/>
      <c r="C688" s="27"/>
      <c r="D688" s="28"/>
      <c r="E688" s="21"/>
      <c r="F688" s="36" t="str">
        <f t="shared" si="24"/>
        <v>Did Not</v>
      </c>
      <c r="G688" s="28"/>
      <c r="H688" s="28"/>
      <c r="I688" s="28"/>
      <c r="J688" s="28"/>
      <c r="K688" s="28"/>
      <c r="L688" s="28"/>
      <c r="M688" s="28"/>
      <c r="N688" s="21"/>
      <c r="O688" s="28"/>
      <c r="P688" s="38"/>
      <c r="Q688" s="21"/>
      <c r="R688" s="21"/>
      <c r="S688" s="47"/>
      <c r="T688" s="25">
        <f t="shared" si="23"/>
        <v>0</v>
      </c>
      <c r="U688" s="25" t="str">
        <f>IF('PART III-DEMOGRAPHICS'!Q698="","",'PART III-DEMOGRAPHICS'!Q698)</f>
        <v/>
      </c>
    </row>
    <row r="689" spans="1:21">
      <c r="A689" s="25" t="str">
        <f>IF('PART III-DEMOGRAPHICS'!A699="","",'PART III-DEMOGRAPHICS'!A699)</f>
        <v/>
      </c>
      <c r="B689" s="28"/>
      <c r="C689" s="27"/>
      <c r="D689" s="28"/>
      <c r="E689" s="21"/>
      <c r="F689" s="36" t="str">
        <f t="shared" si="24"/>
        <v>Did Not</v>
      </c>
      <c r="G689" s="28"/>
      <c r="H689" s="28"/>
      <c r="I689" s="28"/>
      <c r="J689" s="28"/>
      <c r="K689" s="28"/>
      <c r="L689" s="28"/>
      <c r="M689" s="28"/>
      <c r="N689" s="21"/>
      <c r="O689" s="28"/>
      <c r="P689" s="38"/>
      <c r="Q689" s="21"/>
      <c r="R689" s="21"/>
      <c r="S689" s="47"/>
      <c r="T689" s="25">
        <f t="shared" si="23"/>
        <v>0</v>
      </c>
      <c r="U689" s="25" t="str">
        <f>IF('PART III-DEMOGRAPHICS'!Q699="","",'PART III-DEMOGRAPHICS'!Q699)</f>
        <v/>
      </c>
    </row>
    <row r="690" spans="1:21">
      <c r="A690" s="25" t="str">
        <f>IF('PART III-DEMOGRAPHICS'!A700="","",'PART III-DEMOGRAPHICS'!A700)</f>
        <v/>
      </c>
      <c r="B690" s="28"/>
      <c r="C690" s="27"/>
      <c r="D690" s="28"/>
      <c r="E690" s="21"/>
      <c r="F690" s="36" t="str">
        <f t="shared" si="24"/>
        <v>Did Not</v>
      </c>
      <c r="G690" s="28"/>
      <c r="H690" s="28"/>
      <c r="I690" s="28"/>
      <c r="J690" s="28"/>
      <c r="K690" s="28"/>
      <c r="L690" s="28"/>
      <c r="M690" s="28"/>
      <c r="N690" s="21"/>
      <c r="O690" s="28"/>
      <c r="P690" s="38"/>
      <c r="Q690" s="21"/>
      <c r="R690" s="21"/>
      <c r="S690" s="47"/>
      <c r="T690" s="25">
        <f t="shared" si="23"/>
        <v>0</v>
      </c>
      <c r="U690" s="25" t="str">
        <f>IF('PART III-DEMOGRAPHICS'!Q700="","",'PART III-DEMOGRAPHICS'!Q700)</f>
        <v/>
      </c>
    </row>
    <row r="691" spans="1:21">
      <c r="A691" s="25" t="str">
        <f>IF('PART III-DEMOGRAPHICS'!A701="","",'PART III-DEMOGRAPHICS'!A701)</f>
        <v/>
      </c>
      <c r="B691" s="28"/>
      <c r="C691" s="27"/>
      <c r="D691" s="28"/>
      <c r="E691" s="21"/>
      <c r="F691" s="36" t="str">
        <f t="shared" si="24"/>
        <v>Did Not</v>
      </c>
      <c r="G691" s="28"/>
      <c r="H691" s="28"/>
      <c r="I691" s="28"/>
      <c r="J691" s="28"/>
      <c r="K691" s="28"/>
      <c r="L691" s="28"/>
      <c r="M691" s="28"/>
      <c r="N691" s="21"/>
      <c r="O691" s="28"/>
      <c r="P691" s="38"/>
      <c r="Q691" s="21"/>
      <c r="R691" s="21"/>
      <c r="S691" s="47"/>
      <c r="T691" s="25">
        <f t="shared" si="23"/>
        <v>0</v>
      </c>
      <c r="U691" s="25" t="str">
        <f>IF('PART III-DEMOGRAPHICS'!Q701="","",'PART III-DEMOGRAPHICS'!Q701)</f>
        <v/>
      </c>
    </row>
    <row r="692" spans="1:21">
      <c r="A692" s="25" t="str">
        <f>IF('PART III-DEMOGRAPHICS'!A702="","",'PART III-DEMOGRAPHICS'!A702)</f>
        <v/>
      </c>
      <c r="B692" s="28"/>
      <c r="C692" s="27"/>
      <c r="D692" s="28"/>
      <c r="E692" s="21"/>
      <c r="F692" s="36" t="str">
        <f t="shared" si="24"/>
        <v>Did Not</v>
      </c>
      <c r="G692" s="28"/>
      <c r="H692" s="28"/>
      <c r="I692" s="28"/>
      <c r="J692" s="28"/>
      <c r="K692" s="28"/>
      <c r="L692" s="28"/>
      <c r="M692" s="28"/>
      <c r="N692" s="21"/>
      <c r="O692" s="28"/>
      <c r="P692" s="38"/>
      <c r="Q692" s="21"/>
      <c r="R692" s="21"/>
      <c r="S692" s="47"/>
      <c r="T692" s="25">
        <f t="shared" si="23"/>
        <v>0</v>
      </c>
      <c r="U692" s="25" t="str">
        <f>IF('PART III-DEMOGRAPHICS'!Q702="","",'PART III-DEMOGRAPHICS'!Q702)</f>
        <v/>
      </c>
    </row>
    <row r="693" spans="1:21">
      <c r="A693" s="25" t="str">
        <f>IF('PART III-DEMOGRAPHICS'!A703="","",'PART III-DEMOGRAPHICS'!A703)</f>
        <v/>
      </c>
      <c r="B693" s="28"/>
      <c r="C693" s="27"/>
      <c r="D693" s="28"/>
      <c r="E693" s="21"/>
      <c r="F693" s="36" t="str">
        <f t="shared" si="24"/>
        <v>Did Not</v>
      </c>
      <c r="G693" s="28"/>
      <c r="H693" s="28"/>
      <c r="I693" s="28"/>
      <c r="J693" s="28"/>
      <c r="K693" s="28"/>
      <c r="L693" s="28"/>
      <c r="M693" s="28"/>
      <c r="N693" s="21"/>
      <c r="O693" s="28"/>
      <c r="P693" s="38"/>
      <c r="Q693" s="21"/>
      <c r="R693" s="21"/>
      <c r="S693" s="47"/>
      <c r="T693" s="25">
        <f t="shared" si="23"/>
        <v>0</v>
      </c>
      <c r="U693" s="25" t="str">
        <f>IF('PART III-DEMOGRAPHICS'!Q703="","",'PART III-DEMOGRAPHICS'!Q703)</f>
        <v/>
      </c>
    </row>
    <row r="694" spans="1:21">
      <c r="A694" s="25" t="str">
        <f>IF('PART III-DEMOGRAPHICS'!A704="","",'PART III-DEMOGRAPHICS'!A704)</f>
        <v/>
      </c>
      <c r="B694" s="28"/>
      <c r="C694" s="27"/>
      <c r="D694" s="28"/>
      <c r="E694" s="21"/>
      <c r="F694" s="36" t="str">
        <f t="shared" si="24"/>
        <v>Did Not</v>
      </c>
      <c r="G694" s="28"/>
      <c r="H694" s="28"/>
      <c r="I694" s="28"/>
      <c r="J694" s="28"/>
      <c r="K694" s="28"/>
      <c r="L694" s="28"/>
      <c r="M694" s="28"/>
      <c r="N694" s="21"/>
      <c r="O694" s="28"/>
      <c r="P694" s="38"/>
      <c r="Q694" s="21"/>
      <c r="R694" s="21"/>
      <c r="S694" s="47"/>
      <c r="T694" s="25">
        <f t="shared" si="23"/>
        <v>0</v>
      </c>
      <c r="U694" s="25" t="str">
        <f>IF('PART III-DEMOGRAPHICS'!Q704="","",'PART III-DEMOGRAPHICS'!Q704)</f>
        <v/>
      </c>
    </row>
    <row r="695" spans="1:21">
      <c r="A695" s="25" t="str">
        <f>IF('PART III-DEMOGRAPHICS'!A705="","",'PART III-DEMOGRAPHICS'!A705)</f>
        <v/>
      </c>
      <c r="B695" s="28"/>
      <c r="C695" s="27"/>
      <c r="D695" s="28"/>
      <c r="E695" s="21"/>
      <c r="F695" s="36" t="str">
        <f t="shared" si="24"/>
        <v>Did Not</v>
      </c>
      <c r="G695" s="28"/>
      <c r="H695" s="28"/>
      <c r="I695" s="28"/>
      <c r="J695" s="28"/>
      <c r="K695" s="28"/>
      <c r="L695" s="28"/>
      <c r="M695" s="28"/>
      <c r="N695" s="21"/>
      <c r="O695" s="28"/>
      <c r="P695" s="38"/>
      <c r="Q695" s="21"/>
      <c r="R695" s="21"/>
      <c r="S695" s="47"/>
      <c r="T695" s="25">
        <f t="shared" si="23"/>
        <v>0</v>
      </c>
      <c r="U695" s="25" t="str">
        <f>IF('PART III-DEMOGRAPHICS'!Q705="","",'PART III-DEMOGRAPHICS'!Q705)</f>
        <v/>
      </c>
    </row>
    <row r="696" spans="1:21">
      <c r="A696" s="25" t="str">
        <f>IF('PART III-DEMOGRAPHICS'!A706="","",'PART III-DEMOGRAPHICS'!A706)</f>
        <v/>
      </c>
      <c r="B696" s="28"/>
      <c r="C696" s="27"/>
      <c r="D696" s="28"/>
      <c r="E696" s="21"/>
      <c r="F696" s="36" t="str">
        <f t="shared" si="24"/>
        <v>Did Not</v>
      </c>
      <c r="G696" s="28"/>
      <c r="H696" s="28"/>
      <c r="I696" s="28"/>
      <c r="J696" s="28"/>
      <c r="K696" s="28"/>
      <c r="L696" s="28"/>
      <c r="M696" s="28"/>
      <c r="N696" s="21"/>
      <c r="O696" s="28"/>
      <c r="P696" s="38"/>
      <c r="Q696" s="21"/>
      <c r="R696" s="21"/>
      <c r="S696" s="47"/>
      <c r="T696" s="25">
        <f t="shared" si="23"/>
        <v>0</v>
      </c>
      <c r="U696" s="25" t="str">
        <f>IF('PART III-DEMOGRAPHICS'!Q706="","",'PART III-DEMOGRAPHICS'!Q706)</f>
        <v/>
      </c>
    </row>
    <row r="697" spans="1:21">
      <c r="A697" s="25" t="str">
        <f>IF('PART III-DEMOGRAPHICS'!A707="","",'PART III-DEMOGRAPHICS'!A707)</f>
        <v/>
      </c>
      <c r="B697" s="28"/>
      <c r="C697" s="27"/>
      <c r="D697" s="28"/>
      <c r="E697" s="21"/>
      <c r="F697" s="36" t="str">
        <f t="shared" si="24"/>
        <v>Did Not</v>
      </c>
      <c r="G697" s="28"/>
      <c r="H697" s="28"/>
      <c r="I697" s="28"/>
      <c r="J697" s="28"/>
      <c r="K697" s="28"/>
      <c r="L697" s="28"/>
      <c r="M697" s="28"/>
      <c r="N697" s="21"/>
      <c r="O697" s="28"/>
      <c r="P697" s="38"/>
      <c r="Q697" s="21"/>
      <c r="R697" s="21"/>
      <c r="S697" s="47"/>
      <c r="T697" s="25">
        <f t="shared" si="23"/>
        <v>0</v>
      </c>
      <c r="U697" s="25" t="str">
        <f>IF('PART III-DEMOGRAPHICS'!Q707="","",'PART III-DEMOGRAPHICS'!Q707)</f>
        <v/>
      </c>
    </row>
    <row r="698" spans="1:21">
      <c r="A698" s="25" t="str">
        <f>IF('PART III-DEMOGRAPHICS'!A708="","",'PART III-DEMOGRAPHICS'!A708)</f>
        <v/>
      </c>
      <c r="B698" s="28"/>
      <c r="C698" s="27"/>
      <c r="D698" s="28"/>
      <c r="E698" s="21"/>
      <c r="F698" s="36" t="str">
        <f t="shared" si="24"/>
        <v>Did Not</v>
      </c>
      <c r="G698" s="28"/>
      <c r="H698" s="28"/>
      <c r="I698" s="28"/>
      <c r="J698" s="28"/>
      <c r="K698" s="28"/>
      <c r="L698" s="28"/>
      <c r="M698" s="28"/>
      <c r="N698" s="21"/>
      <c r="O698" s="28"/>
      <c r="P698" s="38"/>
      <c r="Q698" s="21"/>
      <c r="R698" s="21"/>
      <c r="S698" s="47"/>
      <c r="T698" s="25">
        <f t="shared" si="23"/>
        <v>0</v>
      </c>
      <c r="U698" s="25" t="str">
        <f>IF('PART III-DEMOGRAPHICS'!Q708="","",'PART III-DEMOGRAPHICS'!Q708)</f>
        <v/>
      </c>
    </row>
    <row r="699" spans="1:21">
      <c r="A699" s="25" t="str">
        <f>IF('PART III-DEMOGRAPHICS'!A709="","",'PART III-DEMOGRAPHICS'!A709)</f>
        <v/>
      </c>
      <c r="B699" s="28"/>
      <c r="C699" s="27"/>
      <c r="D699" s="28"/>
      <c r="E699" s="21"/>
      <c r="F699" s="36" t="str">
        <f t="shared" si="24"/>
        <v>Did Not</v>
      </c>
      <c r="G699" s="28"/>
      <c r="H699" s="28"/>
      <c r="I699" s="28"/>
      <c r="J699" s="28"/>
      <c r="K699" s="28"/>
      <c r="L699" s="28"/>
      <c r="M699" s="28"/>
      <c r="N699" s="21"/>
      <c r="O699" s="28"/>
      <c r="P699" s="38"/>
      <c r="Q699" s="21"/>
      <c r="R699" s="21"/>
      <c r="S699" s="47"/>
      <c r="T699" s="25">
        <f t="shared" si="23"/>
        <v>0</v>
      </c>
      <c r="U699" s="25" t="str">
        <f>IF('PART III-DEMOGRAPHICS'!Q709="","",'PART III-DEMOGRAPHICS'!Q709)</f>
        <v/>
      </c>
    </row>
    <row r="700" spans="1:21">
      <c r="A700" s="25" t="str">
        <f>IF('PART III-DEMOGRAPHICS'!A710="","",'PART III-DEMOGRAPHICS'!A710)</f>
        <v/>
      </c>
      <c r="B700" s="28"/>
      <c r="C700" s="27"/>
      <c r="D700" s="28"/>
      <c r="E700" s="21"/>
      <c r="F700" s="36" t="str">
        <f t="shared" si="24"/>
        <v>Did Not</v>
      </c>
      <c r="G700" s="28"/>
      <c r="H700" s="28"/>
      <c r="I700" s="28"/>
      <c r="J700" s="28"/>
      <c r="K700" s="28"/>
      <c r="L700" s="28"/>
      <c r="M700" s="28"/>
      <c r="N700" s="21"/>
      <c r="O700" s="28"/>
      <c r="P700" s="38"/>
      <c r="Q700" s="21"/>
      <c r="R700" s="21"/>
      <c r="S700" s="47"/>
      <c r="T700" s="25">
        <f t="shared" si="23"/>
        <v>0</v>
      </c>
      <c r="U700" s="25" t="str">
        <f>IF('PART III-DEMOGRAPHICS'!Q710="","",'PART III-DEMOGRAPHICS'!Q710)</f>
        <v/>
      </c>
    </row>
    <row r="701" spans="1:21">
      <c r="A701" s="25" t="str">
        <f>IF('PART III-DEMOGRAPHICS'!A711="","",'PART III-DEMOGRAPHICS'!A711)</f>
        <v/>
      </c>
      <c r="B701" s="28"/>
      <c r="C701" s="27"/>
      <c r="D701" s="28"/>
      <c r="E701" s="21"/>
      <c r="F701" s="36" t="str">
        <f t="shared" si="24"/>
        <v>Did Not</v>
      </c>
      <c r="G701" s="28"/>
      <c r="H701" s="28"/>
      <c r="I701" s="28"/>
      <c r="J701" s="28"/>
      <c r="K701" s="28"/>
      <c r="L701" s="28"/>
      <c r="M701" s="28"/>
      <c r="N701" s="21"/>
      <c r="O701" s="28"/>
      <c r="P701" s="38"/>
      <c r="Q701" s="21"/>
      <c r="R701" s="21"/>
      <c r="S701" s="47"/>
      <c r="T701" s="25">
        <f t="shared" si="23"/>
        <v>0</v>
      </c>
      <c r="U701" s="25" t="str">
        <f>IF('PART III-DEMOGRAPHICS'!Q711="","",'PART III-DEMOGRAPHICS'!Q711)</f>
        <v/>
      </c>
    </row>
    <row r="702" spans="1:21">
      <c r="A702" s="25" t="str">
        <f>IF('PART III-DEMOGRAPHICS'!A712="","",'PART III-DEMOGRAPHICS'!A712)</f>
        <v/>
      </c>
      <c r="B702" s="28"/>
      <c r="C702" s="27"/>
      <c r="D702" s="28"/>
      <c r="E702" s="21"/>
      <c r="F702" s="36" t="str">
        <f t="shared" si="24"/>
        <v>Did Not</v>
      </c>
      <c r="G702" s="28"/>
      <c r="H702" s="28"/>
      <c r="I702" s="28"/>
      <c r="J702" s="28"/>
      <c r="K702" s="28"/>
      <c r="L702" s="28"/>
      <c r="M702" s="28"/>
      <c r="N702" s="21"/>
      <c r="O702" s="28"/>
      <c r="P702" s="38"/>
      <c r="Q702" s="21"/>
      <c r="R702" s="21"/>
      <c r="S702" s="47"/>
      <c r="T702" s="25">
        <f t="shared" si="23"/>
        <v>0</v>
      </c>
      <c r="U702" s="25" t="str">
        <f>IF('PART III-DEMOGRAPHICS'!Q712="","",'PART III-DEMOGRAPHICS'!Q712)</f>
        <v/>
      </c>
    </row>
    <row r="703" spans="1:21">
      <c r="A703" s="25" t="str">
        <f>IF('PART III-DEMOGRAPHICS'!A713="","",'PART III-DEMOGRAPHICS'!A713)</f>
        <v/>
      </c>
      <c r="B703" s="28"/>
      <c r="C703" s="27"/>
      <c r="D703" s="28"/>
      <c r="E703" s="21"/>
      <c r="F703" s="36" t="str">
        <f t="shared" si="24"/>
        <v>Did Not</v>
      </c>
      <c r="G703" s="28"/>
      <c r="H703" s="28"/>
      <c r="I703" s="28"/>
      <c r="J703" s="28"/>
      <c r="K703" s="28"/>
      <c r="L703" s="28"/>
      <c r="M703" s="28"/>
      <c r="N703" s="21"/>
      <c r="O703" s="28"/>
      <c r="P703" s="38"/>
      <c r="Q703" s="21"/>
      <c r="R703" s="21"/>
      <c r="S703" s="47"/>
      <c r="T703" s="25">
        <f t="shared" si="23"/>
        <v>0</v>
      </c>
      <c r="U703" s="25" t="str">
        <f>IF('PART III-DEMOGRAPHICS'!Q713="","",'PART III-DEMOGRAPHICS'!Q713)</f>
        <v/>
      </c>
    </row>
    <row r="704" spans="1:21">
      <c r="A704" s="25" t="str">
        <f>IF('PART III-DEMOGRAPHICS'!A714="","",'PART III-DEMOGRAPHICS'!A714)</f>
        <v/>
      </c>
      <c r="B704" s="28"/>
      <c r="C704" s="27"/>
      <c r="D704" s="28"/>
      <c r="E704" s="21"/>
      <c r="F704" s="36" t="str">
        <f t="shared" si="24"/>
        <v>Did Not</v>
      </c>
      <c r="G704" s="28"/>
      <c r="H704" s="28"/>
      <c r="I704" s="28"/>
      <c r="J704" s="28"/>
      <c r="K704" s="28"/>
      <c r="L704" s="28"/>
      <c r="M704" s="28"/>
      <c r="N704" s="21"/>
      <c r="O704" s="28"/>
      <c r="P704" s="38"/>
      <c r="Q704" s="21"/>
      <c r="R704" s="21"/>
      <c r="S704" s="47"/>
      <c r="T704" s="25">
        <f t="shared" si="23"/>
        <v>0</v>
      </c>
      <c r="U704" s="25" t="str">
        <f>IF('PART III-DEMOGRAPHICS'!Q714="","",'PART III-DEMOGRAPHICS'!Q714)</f>
        <v/>
      </c>
    </row>
    <row r="705" spans="1:21">
      <c r="A705" s="25" t="str">
        <f>IF('PART III-DEMOGRAPHICS'!A715="","",'PART III-DEMOGRAPHICS'!A715)</f>
        <v/>
      </c>
      <c r="B705" s="28"/>
      <c r="C705" s="27"/>
      <c r="D705" s="28"/>
      <c r="E705" s="21"/>
      <c r="F705" s="36" t="str">
        <f t="shared" si="24"/>
        <v>Did Not</v>
      </c>
      <c r="G705" s="28"/>
      <c r="H705" s="28"/>
      <c r="I705" s="28"/>
      <c r="J705" s="28"/>
      <c r="K705" s="28"/>
      <c r="L705" s="28"/>
      <c r="M705" s="28"/>
      <c r="N705" s="21"/>
      <c r="O705" s="28"/>
      <c r="P705" s="38"/>
      <c r="Q705" s="21"/>
      <c r="R705" s="21"/>
      <c r="S705" s="47"/>
      <c r="T705" s="25">
        <f t="shared" si="23"/>
        <v>0</v>
      </c>
      <c r="U705" s="25" t="str">
        <f>IF('PART III-DEMOGRAPHICS'!Q715="","",'PART III-DEMOGRAPHICS'!Q715)</f>
        <v/>
      </c>
    </row>
    <row r="706" spans="1:21">
      <c r="A706" s="25" t="str">
        <f>IF('PART III-DEMOGRAPHICS'!A716="","",'PART III-DEMOGRAPHICS'!A716)</f>
        <v/>
      </c>
      <c r="B706" s="28"/>
      <c r="C706" s="27"/>
      <c r="D706" s="28"/>
      <c r="E706" s="21"/>
      <c r="F706" s="36" t="str">
        <f t="shared" si="24"/>
        <v>Did Not</v>
      </c>
      <c r="G706" s="28"/>
      <c r="H706" s="28"/>
      <c r="I706" s="28"/>
      <c r="J706" s="28"/>
      <c r="K706" s="28"/>
      <c r="L706" s="28"/>
      <c r="M706" s="28"/>
      <c r="N706" s="21"/>
      <c r="O706" s="28"/>
      <c r="P706" s="38"/>
      <c r="Q706" s="21"/>
      <c r="R706" s="21"/>
      <c r="S706" s="47"/>
      <c r="T706" s="25">
        <f t="shared" si="23"/>
        <v>0</v>
      </c>
      <c r="U706" s="25" t="str">
        <f>IF('PART III-DEMOGRAPHICS'!Q716="","",'PART III-DEMOGRAPHICS'!Q716)</f>
        <v/>
      </c>
    </row>
    <row r="707" spans="1:21">
      <c r="A707" s="25" t="str">
        <f>IF('PART III-DEMOGRAPHICS'!A717="","",'PART III-DEMOGRAPHICS'!A717)</f>
        <v/>
      </c>
      <c r="B707" s="28"/>
      <c r="C707" s="27"/>
      <c r="D707" s="28"/>
      <c r="E707" s="21"/>
      <c r="F707" s="36" t="str">
        <f t="shared" si="24"/>
        <v>Did Not</v>
      </c>
      <c r="G707" s="28"/>
      <c r="H707" s="28"/>
      <c r="I707" s="28"/>
      <c r="J707" s="28"/>
      <c r="K707" s="28"/>
      <c r="L707" s="28"/>
      <c r="M707" s="28"/>
      <c r="N707" s="21"/>
      <c r="O707" s="28"/>
      <c r="P707" s="38"/>
      <c r="Q707" s="21"/>
      <c r="R707" s="21"/>
      <c r="S707" s="47"/>
      <c r="T707" s="25">
        <f t="shared" si="23"/>
        <v>0</v>
      </c>
      <c r="U707" s="25" t="str">
        <f>IF('PART III-DEMOGRAPHICS'!Q717="","",'PART III-DEMOGRAPHICS'!Q717)</f>
        <v/>
      </c>
    </row>
    <row r="708" spans="1:21">
      <c r="A708" s="25" t="str">
        <f>IF('PART III-DEMOGRAPHICS'!A718="","",'PART III-DEMOGRAPHICS'!A718)</f>
        <v/>
      </c>
      <c r="B708" s="28"/>
      <c r="C708" s="27"/>
      <c r="D708" s="28"/>
      <c r="E708" s="21"/>
      <c r="F708" s="36" t="str">
        <f t="shared" si="24"/>
        <v>Did Not</v>
      </c>
      <c r="G708" s="28"/>
      <c r="H708" s="28"/>
      <c r="I708" s="28"/>
      <c r="J708" s="28"/>
      <c r="K708" s="28"/>
      <c r="L708" s="28"/>
      <c r="M708" s="28"/>
      <c r="N708" s="21"/>
      <c r="O708" s="28"/>
      <c r="P708" s="38"/>
      <c r="Q708" s="21"/>
      <c r="R708" s="21"/>
      <c r="S708" s="47"/>
      <c r="T708" s="25">
        <f t="shared" si="23"/>
        <v>0</v>
      </c>
      <c r="U708" s="25" t="str">
        <f>IF('PART III-DEMOGRAPHICS'!Q718="","",'PART III-DEMOGRAPHICS'!Q718)</f>
        <v/>
      </c>
    </row>
    <row r="709" spans="1:21">
      <c r="A709" s="25" t="str">
        <f>IF('PART III-DEMOGRAPHICS'!A719="","",'PART III-DEMOGRAPHICS'!A719)</f>
        <v/>
      </c>
      <c r="B709" s="28"/>
      <c r="C709" s="27"/>
      <c r="D709" s="28"/>
      <c r="E709" s="21"/>
      <c r="F709" s="36" t="str">
        <f t="shared" si="24"/>
        <v>Did Not</v>
      </c>
      <c r="G709" s="28"/>
      <c r="H709" s="28"/>
      <c r="I709" s="28"/>
      <c r="J709" s="28"/>
      <c r="K709" s="28"/>
      <c r="L709" s="28"/>
      <c r="M709" s="28"/>
      <c r="N709" s="21"/>
      <c r="O709" s="28"/>
      <c r="P709" s="38"/>
      <c r="Q709" s="21"/>
      <c r="R709" s="21"/>
      <c r="S709" s="47"/>
      <c r="T709" s="25">
        <f t="shared" si="23"/>
        <v>0</v>
      </c>
      <c r="U709" s="25" t="str">
        <f>IF('PART III-DEMOGRAPHICS'!Q719="","",'PART III-DEMOGRAPHICS'!Q719)</f>
        <v/>
      </c>
    </row>
    <row r="710" spans="1:21">
      <c r="A710" s="25" t="str">
        <f>IF('PART III-DEMOGRAPHICS'!A720="","",'PART III-DEMOGRAPHICS'!A720)</f>
        <v/>
      </c>
      <c r="B710" s="28"/>
      <c r="C710" s="27"/>
      <c r="D710" s="28"/>
      <c r="E710" s="21"/>
      <c r="F710" s="36" t="str">
        <f t="shared" si="24"/>
        <v>Did Not</v>
      </c>
      <c r="G710" s="28"/>
      <c r="H710" s="28"/>
      <c r="I710" s="28"/>
      <c r="J710" s="28"/>
      <c r="K710" s="28"/>
      <c r="L710" s="28"/>
      <c r="M710" s="28"/>
      <c r="N710" s="21"/>
      <c r="O710" s="28"/>
      <c r="P710" s="38"/>
      <c r="Q710" s="21"/>
      <c r="R710" s="21"/>
      <c r="S710" s="47"/>
      <c r="T710" s="25">
        <f t="shared" si="23"/>
        <v>0</v>
      </c>
      <c r="U710" s="25" t="str">
        <f>IF('PART III-DEMOGRAPHICS'!Q720="","",'PART III-DEMOGRAPHICS'!Q720)</f>
        <v/>
      </c>
    </row>
    <row r="711" spans="1:21">
      <c r="A711" s="25" t="str">
        <f>IF('PART III-DEMOGRAPHICS'!A721="","",'PART III-DEMOGRAPHICS'!A721)</f>
        <v/>
      </c>
      <c r="B711" s="28"/>
      <c r="C711" s="27"/>
      <c r="D711" s="28"/>
      <c r="E711" s="21"/>
      <c r="F711" s="36" t="str">
        <f t="shared" si="24"/>
        <v>Did Not</v>
      </c>
      <c r="G711" s="28"/>
      <c r="H711" s="28"/>
      <c r="I711" s="28"/>
      <c r="J711" s="28"/>
      <c r="K711" s="28"/>
      <c r="L711" s="28"/>
      <c r="M711" s="28"/>
      <c r="N711" s="21"/>
      <c r="O711" s="28"/>
      <c r="P711" s="38"/>
      <c r="Q711" s="21"/>
      <c r="R711" s="21"/>
      <c r="S711" s="47"/>
      <c r="T711" s="25">
        <f t="shared" ref="T711:T774" si="25">COUNTIF(A711:R711,"Yes")</f>
        <v>0</v>
      </c>
      <c r="U711" s="25" t="str">
        <f>IF('PART III-DEMOGRAPHICS'!Q721="","",'PART III-DEMOGRAPHICS'!Q721)</f>
        <v/>
      </c>
    </row>
    <row r="712" spans="1:21">
      <c r="A712" s="25" t="str">
        <f>IF('PART III-DEMOGRAPHICS'!A722="","",'PART III-DEMOGRAPHICS'!A722)</f>
        <v/>
      </c>
      <c r="B712" s="28"/>
      <c r="C712" s="27"/>
      <c r="D712" s="28"/>
      <c r="E712" s="21"/>
      <c r="F712" s="36" t="str">
        <f t="shared" si="24"/>
        <v>Did Not</v>
      </c>
      <c r="G712" s="28"/>
      <c r="H712" s="28"/>
      <c r="I712" s="28"/>
      <c r="J712" s="28"/>
      <c r="K712" s="28"/>
      <c r="L712" s="28"/>
      <c r="M712" s="28"/>
      <c r="N712" s="21"/>
      <c r="O712" s="28"/>
      <c r="P712" s="38"/>
      <c r="Q712" s="21"/>
      <c r="R712" s="21"/>
      <c r="S712" s="47"/>
      <c r="T712" s="25">
        <f t="shared" si="25"/>
        <v>0</v>
      </c>
      <c r="U712" s="25" t="str">
        <f>IF('PART III-DEMOGRAPHICS'!Q722="","",'PART III-DEMOGRAPHICS'!Q722)</f>
        <v/>
      </c>
    </row>
    <row r="713" spans="1:21">
      <c r="A713" s="25" t="str">
        <f>IF('PART III-DEMOGRAPHICS'!A723="","",'PART III-DEMOGRAPHICS'!A723)</f>
        <v/>
      </c>
      <c r="B713" s="28"/>
      <c r="C713" s="27"/>
      <c r="D713" s="28"/>
      <c r="E713" s="21"/>
      <c r="F713" s="36" t="str">
        <f t="shared" si="24"/>
        <v>Did Not</v>
      </c>
      <c r="G713" s="28"/>
      <c r="H713" s="28"/>
      <c r="I713" s="28"/>
      <c r="J713" s="28"/>
      <c r="K713" s="28"/>
      <c r="L713" s="28"/>
      <c r="M713" s="28"/>
      <c r="N713" s="21"/>
      <c r="O713" s="28"/>
      <c r="P713" s="38"/>
      <c r="Q713" s="21"/>
      <c r="R713" s="21"/>
      <c r="S713" s="47"/>
      <c r="T713" s="25">
        <f t="shared" si="25"/>
        <v>0</v>
      </c>
      <c r="U713" s="25" t="str">
        <f>IF('PART III-DEMOGRAPHICS'!Q723="","",'PART III-DEMOGRAPHICS'!Q723)</f>
        <v/>
      </c>
    </row>
    <row r="714" spans="1:21">
      <c r="A714" s="25" t="str">
        <f>IF('PART III-DEMOGRAPHICS'!A724="","",'PART III-DEMOGRAPHICS'!A724)</f>
        <v/>
      </c>
      <c r="B714" s="28"/>
      <c r="C714" s="27"/>
      <c r="D714" s="28"/>
      <c r="E714" s="21"/>
      <c r="F714" s="36" t="str">
        <f t="shared" si="24"/>
        <v>Did Not</v>
      </c>
      <c r="G714" s="28"/>
      <c r="H714" s="28"/>
      <c r="I714" s="28"/>
      <c r="J714" s="28"/>
      <c r="K714" s="28"/>
      <c r="L714" s="28"/>
      <c r="M714" s="28"/>
      <c r="N714" s="21"/>
      <c r="O714" s="28"/>
      <c r="P714" s="38"/>
      <c r="Q714" s="21"/>
      <c r="R714" s="21"/>
      <c r="S714" s="47"/>
      <c r="T714" s="25">
        <f t="shared" si="25"/>
        <v>0</v>
      </c>
      <c r="U714" s="25" t="str">
        <f>IF('PART III-DEMOGRAPHICS'!Q724="","",'PART III-DEMOGRAPHICS'!Q724)</f>
        <v/>
      </c>
    </row>
    <row r="715" spans="1:21">
      <c r="A715" s="25" t="str">
        <f>IF('PART III-DEMOGRAPHICS'!A725="","",'PART III-DEMOGRAPHICS'!A725)</f>
        <v/>
      </c>
      <c r="B715" s="28"/>
      <c r="C715" s="27"/>
      <c r="D715" s="28"/>
      <c r="E715" s="21"/>
      <c r="F715" s="36" t="str">
        <f t="shared" si="24"/>
        <v>Did Not</v>
      </c>
      <c r="G715" s="28"/>
      <c r="H715" s="28"/>
      <c r="I715" s="28"/>
      <c r="J715" s="28"/>
      <c r="K715" s="28"/>
      <c r="L715" s="28"/>
      <c r="M715" s="28"/>
      <c r="N715" s="21"/>
      <c r="O715" s="28"/>
      <c r="P715" s="38"/>
      <c r="Q715" s="21"/>
      <c r="R715" s="21"/>
      <c r="S715" s="47"/>
      <c r="T715" s="25">
        <f t="shared" si="25"/>
        <v>0</v>
      </c>
      <c r="U715" s="25" t="str">
        <f>IF('PART III-DEMOGRAPHICS'!Q725="","",'PART III-DEMOGRAPHICS'!Q725)</f>
        <v/>
      </c>
    </row>
    <row r="716" spans="1:21">
      <c r="A716" s="25" t="str">
        <f>IF('PART III-DEMOGRAPHICS'!A726="","",'PART III-DEMOGRAPHICS'!A726)</f>
        <v/>
      </c>
      <c r="B716" s="28"/>
      <c r="C716" s="27"/>
      <c r="D716" s="28"/>
      <c r="E716" s="21"/>
      <c r="F716" s="36" t="str">
        <f t="shared" si="24"/>
        <v>Did Not</v>
      </c>
      <c r="G716" s="28"/>
      <c r="H716" s="28"/>
      <c r="I716" s="28"/>
      <c r="J716" s="28"/>
      <c r="K716" s="28"/>
      <c r="L716" s="28"/>
      <c r="M716" s="28"/>
      <c r="N716" s="21"/>
      <c r="O716" s="28"/>
      <c r="P716" s="38"/>
      <c r="Q716" s="21"/>
      <c r="R716" s="21"/>
      <c r="S716" s="47"/>
      <c r="T716" s="25">
        <f t="shared" si="25"/>
        <v>0</v>
      </c>
      <c r="U716" s="25" t="str">
        <f>IF('PART III-DEMOGRAPHICS'!Q726="","",'PART III-DEMOGRAPHICS'!Q726)</f>
        <v/>
      </c>
    </row>
    <row r="717" spans="1:21">
      <c r="A717" s="25" t="str">
        <f>IF('PART III-DEMOGRAPHICS'!A727="","",'PART III-DEMOGRAPHICS'!A727)</f>
        <v/>
      </c>
      <c r="B717" s="28"/>
      <c r="C717" s="27"/>
      <c r="D717" s="28"/>
      <c r="E717" s="21"/>
      <c r="F717" s="36" t="str">
        <f t="shared" si="24"/>
        <v>Did Not</v>
      </c>
      <c r="G717" s="28"/>
      <c r="H717" s="28"/>
      <c r="I717" s="28"/>
      <c r="J717" s="28"/>
      <c r="K717" s="28"/>
      <c r="L717" s="28"/>
      <c r="M717" s="28"/>
      <c r="N717" s="21"/>
      <c r="O717" s="28"/>
      <c r="P717" s="38"/>
      <c r="Q717" s="21"/>
      <c r="R717" s="21"/>
      <c r="S717" s="47"/>
      <c r="T717" s="25">
        <f t="shared" si="25"/>
        <v>0</v>
      </c>
      <c r="U717" s="25" t="str">
        <f>IF('PART III-DEMOGRAPHICS'!Q727="","",'PART III-DEMOGRAPHICS'!Q727)</f>
        <v/>
      </c>
    </row>
    <row r="718" spans="1:21">
      <c r="A718" s="25" t="str">
        <f>IF('PART III-DEMOGRAPHICS'!A728="","",'PART III-DEMOGRAPHICS'!A728)</f>
        <v/>
      </c>
      <c r="B718" s="28"/>
      <c r="C718" s="27"/>
      <c r="D718" s="28"/>
      <c r="E718" s="21"/>
      <c r="F718" s="36" t="str">
        <f t="shared" ref="F718:F781" si="26">IF(OR(G718="Yes",H718="Yes",I718="Yes",J718="Yes",K718="Yes",L718="Yes",M718="Yes"),"Did","Did Not")</f>
        <v>Did Not</v>
      </c>
      <c r="G718" s="28"/>
      <c r="H718" s="28"/>
      <c r="I718" s="28"/>
      <c r="J718" s="28"/>
      <c r="K718" s="28"/>
      <c r="L718" s="28"/>
      <c r="M718" s="28"/>
      <c r="N718" s="21"/>
      <c r="O718" s="28"/>
      <c r="P718" s="38"/>
      <c r="Q718" s="21"/>
      <c r="R718" s="21"/>
      <c r="S718" s="47"/>
      <c r="T718" s="25">
        <f t="shared" si="25"/>
        <v>0</v>
      </c>
      <c r="U718" s="25" t="str">
        <f>IF('PART III-DEMOGRAPHICS'!Q728="","",'PART III-DEMOGRAPHICS'!Q728)</f>
        <v/>
      </c>
    </row>
    <row r="719" spans="1:21">
      <c r="A719" s="25" t="str">
        <f>IF('PART III-DEMOGRAPHICS'!A729="","",'PART III-DEMOGRAPHICS'!A729)</f>
        <v/>
      </c>
      <c r="B719" s="28"/>
      <c r="C719" s="27"/>
      <c r="D719" s="28"/>
      <c r="E719" s="21"/>
      <c r="F719" s="36" t="str">
        <f t="shared" si="26"/>
        <v>Did Not</v>
      </c>
      <c r="G719" s="28"/>
      <c r="H719" s="28"/>
      <c r="I719" s="28"/>
      <c r="J719" s="28"/>
      <c r="K719" s="28"/>
      <c r="L719" s="28"/>
      <c r="M719" s="28"/>
      <c r="N719" s="21"/>
      <c r="O719" s="28"/>
      <c r="P719" s="38"/>
      <c r="Q719" s="21"/>
      <c r="R719" s="21"/>
      <c r="S719" s="47"/>
      <c r="T719" s="25">
        <f t="shared" si="25"/>
        <v>0</v>
      </c>
      <c r="U719" s="25" t="str">
        <f>IF('PART III-DEMOGRAPHICS'!Q729="","",'PART III-DEMOGRAPHICS'!Q729)</f>
        <v/>
      </c>
    </row>
    <row r="720" spans="1:21">
      <c r="A720" s="25" t="str">
        <f>IF('PART III-DEMOGRAPHICS'!A730="","",'PART III-DEMOGRAPHICS'!A730)</f>
        <v/>
      </c>
      <c r="B720" s="28"/>
      <c r="C720" s="27"/>
      <c r="D720" s="28"/>
      <c r="E720" s="21"/>
      <c r="F720" s="36" t="str">
        <f t="shared" si="26"/>
        <v>Did Not</v>
      </c>
      <c r="G720" s="28"/>
      <c r="H720" s="28"/>
      <c r="I720" s="28"/>
      <c r="J720" s="28"/>
      <c r="K720" s="28"/>
      <c r="L720" s="28"/>
      <c r="M720" s="28"/>
      <c r="N720" s="21"/>
      <c r="O720" s="28"/>
      <c r="P720" s="38"/>
      <c r="Q720" s="21"/>
      <c r="R720" s="21"/>
      <c r="S720" s="47"/>
      <c r="T720" s="25">
        <f t="shared" si="25"/>
        <v>0</v>
      </c>
      <c r="U720" s="25" t="str">
        <f>IF('PART III-DEMOGRAPHICS'!Q730="","",'PART III-DEMOGRAPHICS'!Q730)</f>
        <v/>
      </c>
    </row>
    <row r="721" spans="1:21">
      <c r="A721" s="25" t="str">
        <f>IF('PART III-DEMOGRAPHICS'!A731="","",'PART III-DEMOGRAPHICS'!A731)</f>
        <v/>
      </c>
      <c r="B721" s="28"/>
      <c r="C721" s="27"/>
      <c r="D721" s="28"/>
      <c r="E721" s="21"/>
      <c r="F721" s="36" t="str">
        <f t="shared" si="26"/>
        <v>Did Not</v>
      </c>
      <c r="G721" s="28"/>
      <c r="H721" s="28"/>
      <c r="I721" s="28"/>
      <c r="J721" s="28"/>
      <c r="K721" s="28"/>
      <c r="L721" s="28"/>
      <c r="M721" s="28"/>
      <c r="N721" s="21"/>
      <c r="O721" s="28"/>
      <c r="P721" s="38"/>
      <c r="Q721" s="21"/>
      <c r="R721" s="21"/>
      <c r="S721" s="47"/>
      <c r="T721" s="25">
        <f t="shared" si="25"/>
        <v>0</v>
      </c>
      <c r="U721" s="25" t="str">
        <f>IF('PART III-DEMOGRAPHICS'!Q731="","",'PART III-DEMOGRAPHICS'!Q731)</f>
        <v/>
      </c>
    </row>
    <row r="722" spans="1:21">
      <c r="A722" s="25" t="str">
        <f>IF('PART III-DEMOGRAPHICS'!A732="","",'PART III-DEMOGRAPHICS'!A732)</f>
        <v/>
      </c>
      <c r="B722" s="28"/>
      <c r="C722" s="27"/>
      <c r="D722" s="28"/>
      <c r="E722" s="21"/>
      <c r="F722" s="36" t="str">
        <f t="shared" si="26"/>
        <v>Did Not</v>
      </c>
      <c r="G722" s="28"/>
      <c r="H722" s="28"/>
      <c r="I722" s="28"/>
      <c r="J722" s="28"/>
      <c r="K722" s="28"/>
      <c r="L722" s="28"/>
      <c r="M722" s="28"/>
      <c r="N722" s="21"/>
      <c r="O722" s="28"/>
      <c r="P722" s="38"/>
      <c r="Q722" s="21"/>
      <c r="R722" s="21"/>
      <c r="S722" s="47"/>
      <c r="T722" s="25">
        <f t="shared" si="25"/>
        <v>0</v>
      </c>
      <c r="U722" s="25" t="str">
        <f>IF('PART III-DEMOGRAPHICS'!Q732="","",'PART III-DEMOGRAPHICS'!Q732)</f>
        <v/>
      </c>
    </row>
    <row r="723" spans="1:21">
      <c r="A723" s="25" t="str">
        <f>IF('PART III-DEMOGRAPHICS'!A733="","",'PART III-DEMOGRAPHICS'!A733)</f>
        <v/>
      </c>
      <c r="B723" s="28"/>
      <c r="C723" s="27"/>
      <c r="D723" s="28"/>
      <c r="E723" s="21"/>
      <c r="F723" s="36" t="str">
        <f t="shared" si="26"/>
        <v>Did Not</v>
      </c>
      <c r="G723" s="28"/>
      <c r="H723" s="28"/>
      <c r="I723" s="28"/>
      <c r="J723" s="28"/>
      <c r="K723" s="28"/>
      <c r="L723" s="28"/>
      <c r="M723" s="28"/>
      <c r="N723" s="21"/>
      <c r="O723" s="28"/>
      <c r="P723" s="38"/>
      <c r="Q723" s="21"/>
      <c r="R723" s="21"/>
      <c r="S723" s="47"/>
      <c r="T723" s="25">
        <f t="shared" si="25"/>
        <v>0</v>
      </c>
      <c r="U723" s="25" t="str">
        <f>IF('PART III-DEMOGRAPHICS'!Q733="","",'PART III-DEMOGRAPHICS'!Q733)</f>
        <v/>
      </c>
    </row>
    <row r="724" spans="1:21">
      <c r="A724" s="25" t="str">
        <f>IF('PART III-DEMOGRAPHICS'!A734="","",'PART III-DEMOGRAPHICS'!A734)</f>
        <v/>
      </c>
      <c r="B724" s="28"/>
      <c r="C724" s="27"/>
      <c r="D724" s="28"/>
      <c r="E724" s="21"/>
      <c r="F724" s="36" t="str">
        <f t="shared" si="26"/>
        <v>Did Not</v>
      </c>
      <c r="G724" s="28"/>
      <c r="H724" s="28"/>
      <c r="I724" s="28"/>
      <c r="J724" s="28"/>
      <c r="K724" s="28"/>
      <c r="L724" s="28"/>
      <c r="M724" s="28"/>
      <c r="N724" s="21"/>
      <c r="O724" s="28"/>
      <c r="P724" s="38"/>
      <c r="Q724" s="21"/>
      <c r="R724" s="21"/>
      <c r="S724" s="47"/>
      <c r="T724" s="25">
        <f t="shared" si="25"/>
        <v>0</v>
      </c>
      <c r="U724" s="25" t="str">
        <f>IF('PART III-DEMOGRAPHICS'!Q734="","",'PART III-DEMOGRAPHICS'!Q734)</f>
        <v/>
      </c>
    </row>
    <row r="725" spans="1:21">
      <c r="A725" s="25" t="str">
        <f>IF('PART III-DEMOGRAPHICS'!A735="","",'PART III-DEMOGRAPHICS'!A735)</f>
        <v/>
      </c>
      <c r="B725" s="28"/>
      <c r="C725" s="27"/>
      <c r="D725" s="28"/>
      <c r="E725" s="21"/>
      <c r="F725" s="36" t="str">
        <f t="shared" si="26"/>
        <v>Did Not</v>
      </c>
      <c r="G725" s="28"/>
      <c r="H725" s="28"/>
      <c r="I725" s="28"/>
      <c r="J725" s="28"/>
      <c r="K725" s="28"/>
      <c r="L725" s="28"/>
      <c r="M725" s="28"/>
      <c r="N725" s="21"/>
      <c r="O725" s="28"/>
      <c r="P725" s="38"/>
      <c r="Q725" s="21"/>
      <c r="R725" s="21"/>
      <c r="S725" s="47"/>
      <c r="T725" s="25">
        <f t="shared" si="25"/>
        <v>0</v>
      </c>
      <c r="U725" s="25" t="str">
        <f>IF('PART III-DEMOGRAPHICS'!Q735="","",'PART III-DEMOGRAPHICS'!Q735)</f>
        <v/>
      </c>
    </row>
    <row r="726" spans="1:21">
      <c r="A726" s="25" t="str">
        <f>IF('PART III-DEMOGRAPHICS'!A736="","",'PART III-DEMOGRAPHICS'!A736)</f>
        <v/>
      </c>
      <c r="B726" s="28"/>
      <c r="C726" s="27"/>
      <c r="D726" s="28"/>
      <c r="E726" s="21"/>
      <c r="F726" s="36" t="str">
        <f t="shared" si="26"/>
        <v>Did Not</v>
      </c>
      <c r="G726" s="28"/>
      <c r="H726" s="28"/>
      <c r="I726" s="28"/>
      <c r="J726" s="28"/>
      <c r="K726" s="28"/>
      <c r="L726" s="28"/>
      <c r="M726" s="28"/>
      <c r="N726" s="21"/>
      <c r="O726" s="28"/>
      <c r="P726" s="38"/>
      <c r="Q726" s="21"/>
      <c r="R726" s="21"/>
      <c r="S726" s="47"/>
      <c r="T726" s="25">
        <f t="shared" si="25"/>
        <v>0</v>
      </c>
      <c r="U726" s="25" t="str">
        <f>IF('PART III-DEMOGRAPHICS'!Q736="","",'PART III-DEMOGRAPHICS'!Q736)</f>
        <v/>
      </c>
    </row>
    <row r="727" spans="1:21">
      <c r="A727" s="25" t="str">
        <f>IF('PART III-DEMOGRAPHICS'!A737="","",'PART III-DEMOGRAPHICS'!A737)</f>
        <v/>
      </c>
      <c r="B727" s="28"/>
      <c r="C727" s="27"/>
      <c r="D727" s="28"/>
      <c r="E727" s="21"/>
      <c r="F727" s="36" t="str">
        <f t="shared" si="26"/>
        <v>Did Not</v>
      </c>
      <c r="G727" s="28"/>
      <c r="H727" s="28"/>
      <c r="I727" s="28"/>
      <c r="J727" s="28"/>
      <c r="K727" s="28"/>
      <c r="L727" s="28"/>
      <c r="M727" s="28"/>
      <c r="N727" s="21"/>
      <c r="O727" s="28"/>
      <c r="P727" s="38"/>
      <c r="Q727" s="21"/>
      <c r="R727" s="21"/>
      <c r="S727" s="47"/>
      <c r="T727" s="25">
        <f t="shared" si="25"/>
        <v>0</v>
      </c>
      <c r="U727" s="25" t="str">
        <f>IF('PART III-DEMOGRAPHICS'!Q737="","",'PART III-DEMOGRAPHICS'!Q737)</f>
        <v/>
      </c>
    </row>
    <row r="728" spans="1:21">
      <c r="A728" s="25" t="str">
        <f>IF('PART III-DEMOGRAPHICS'!A738="","",'PART III-DEMOGRAPHICS'!A738)</f>
        <v/>
      </c>
      <c r="B728" s="28"/>
      <c r="C728" s="27"/>
      <c r="D728" s="28"/>
      <c r="E728" s="21"/>
      <c r="F728" s="36" t="str">
        <f t="shared" si="26"/>
        <v>Did Not</v>
      </c>
      <c r="G728" s="28"/>
      <c r="H728" s="28"/>
      <c r="I728" s="28"/>
      <c r="J728" s="28"/>
      <c r="K728" s="28"/>
      <c r="L728" s="28"/>
      <c r="M728" s="28"/>
      <c r="N728" s="21"/>
      <c r="O728" s="28"/>
      <c r="P728" s="38"/>
      <c r="Q728" s="21"/>
      <c r="R728" s="21"/>
      <c r="S728" s="47"/>
      <c r="T728" s="25">
        <f t="shared" si="25"/>
        <v>0</v>
      </c>
      <c r="U728" s="25" t="str">
        <f>IF('PART III-DEMOGRAPHICS'!Q738="","",'PART III-DEMOGRAPHICS'!Q738)</f>
        <v/>
      </c>
    </row>
    <row r="729" spans="1:21">
      <c r="A729" s="25" t="str">
        <f>IF('PART III-DEMOGRAPHICS'!A739="","",'PART III-DEMOGRAPHICS'!A739)</f>
        <v/>
      </c>
      <c r="B729" s="28"/>
      <c r="C729" s="27"/>
      <c r="D729" s="28"/>
      <c r="E729" s="21"/>
      <c r="F729" s="36" t="str">
        <f t="shared" si="26"/>
        <v>Did Not</v>
      </c>
      <c r="G729" s="28"/>
      <c r="H729" s="28"/>
      <c r="I729" s="28"/>
      <c r="J729" s="28"/>
      <c r="K729" s="28"/>
      <c r="L729" s="28"/>
      <c r="M729" s="28"/>
      <c r="N729" s="21"/>
      <c r="O729" s="28"/>
      <c r="P729" s="38"/>
      <c r="Q729" s="21"/>
      <c r="R729" s="21"/>
      <c r="S729" s="47"/>
      <c r="T729" s="25">
        <f t="shared" si="25"/>
        <v>0</v>
      </c>
      <c r="U729" s="25" t="str">
        <f>IF('PART III-DEMOGRAPHICS'!Q739="","",'PART III-DEMOGRAPHICS'!Q739)</f>
        <v/>
      </c>
    </row>
    <row r="730" spans="1:21">
      <c r="A730" s="25" t="str">
        <f>IF('PART III-DEMOGRAPHICS'!A740="","",'PART III-DEMOGRAPHICS'!A740)</f>
        <v/>
      </c>
      <c r="B730" s="28"/>
      <c r="C730" s="27"/>
      <c r="D730" s="28"/>
      <c r="E730" s="21"/>
      <c r="F730" s="36" t="str">
        <f t="shared" si="26"/>
        <v>Did Not</v>
      </c>
      <c r="G730" s="28"/>
      <c r="H730" s="28"/>
      <c r="I730" s="28"/>
      <c r="J730" s="28"/>
      <c r="K730" s="28"/>
      <c r="L730" s="28"/>
      <c r="M730" s="28"/>
      <c r="N730" s="21"/>
      <c r="O730" s="28"/>
      <c r="P730" s="38"/>
      <c r="Q730" s="21"/>
      <c r="R730" s="21"/>
      <c r="S730" s="47"/>
      <c r="T730" s="25">
        <f t="shared" si="25"/>
        <v>0</v>
      </c>
      <c r="U730" s="25" t="str">
        <f>IF('PART III-DEMOGRAPHICS'!Q740="","",'PART III-DEMOGRAPHICS'!Q740)</f>
        <v/>
      </c>
    </row>
    <row r="731" spans="1:21">
      <c r="A731" s="25" t="str">
        <f>IF('PART III-DEMOGRAPHICS'!A741="","",'PART III-DEMOGRAPHICS'!A741)</f>
        <v/>
      </c>
      <c r="B731" s="28"/>
      <c r="C731" s="27"/>
      <c r="D731" s="28"/>
      <c r="E731" s="21"/>
      <c r="F731" s="36" t="str">
        <f t="shared" si="26"/>
        <v>Did Not</v>
      </c>
      <c r="G731" s="28"/>
      <c r="H731" s="28"/>
      <c r="I731" s="28"/>
      <c r="J731" s="28"/>
      <c r="K731" s="28"/>
      <c r="L731" s="28"/>
      <c r="M731" s="28"/>
      <c r="N731" s="21"/>
      <c r="O731" s="28"/>
      <c r="P731" s="38"/>
      <c r="Q731" s="21"/>
      <c r="R731" s="21"/>
      <c r="S731" s="47"/>
      <c r="T731" s="25">
        <f t="shared" si="25"/>
        <v>0</v>
      </c>
      <c r="U731" s="25" t="str">
        <f>IF('PART III-DEMOGRAPHICS'!Q741="","",'PART III-DEMOGRAPHICS'!Q741)</f>
        <v/>
      </c>
    </row>
    <row r="732" spans="1:21">
      <c r="A732" s="25" t="str">
        <f>IF('PART III-DEMOGRAPHICS'!A742="","",'PART III-DEMOGRAPHICS'!A742)</f>
        <v/>
      </c>
      <c r="B732" s="28"/>
      <c r="C732" s="27"/>
      <c r="D732" s="28"/>
      <c r="E732" s="21"/>
      <c r="F732" s="36" t="str">
        <f t="shared" si="26"/>
        <v>Did Not</v>
      </c>
      <c r="G732" s="28"/>
      <c r="H732" s="28"/>
      <c r="I732" s="28"/>
      <c r="J732" s="28"/>
      <c r="K732" s="28"/>
      <c r="L732" s="28"/>
      <c r="M732" s="28"/>
      <c r="N732" s="21"/>
      <c r="O732" s="28"/>
      <c r="P732" s="38"/>
      <c r="Q732" s="21"/>
      <c r="R732" s="21"/>
      <c r="S732" s="47"/>
      <c r="T732" s="25">
        <f t="shared" si="25"/>
        <v>0</v>
      </c>
      <c r="U732" s="25" t="str">
        <f>IF('PART III-DEMOGRAPHICS'!Q742="","",'PART III-DEMOGRAPHICS'!Q742)</f>
        <v/>
      </c>
    </row>
    <row r="733" spans="1:21">
      <c r="A733" s="25" t="str">
        <f>IF('PART III-DEMOGRAPHICS'!A743="","",'PART III-DEMOGRAPHICS'!A743)</f>
        <v/>
      </c>
      <c r="B733" s="28"/>
      <c r="C733" s="27"/>
      <c r="D733" s="28"/>
      <c r="E733" s="21"/>
      <c r="F733" s="36" t="str">
        <f t="shared" si="26"/>
        <v>Did Not</v>
      </c>
      <c r="G733" s="28"/>
      <c r="H733" s="28"/>
      <c r="I733" s="28"/>
      <c r="J733" s="28"/>
      <c r="K733" s="28"/>
      <c r="L733" s="28"/>
      <c r="M733" s="28"/>
      <c r="N733" s="21"/>
      <c r="O733" s="28"/>
      <c r="P733" s="38"/>
      <c r="Q733" s="21"/>
      <c r="R733" s="21"/>
      <c r="S733" s="47"/>
      <c r="T733" s="25">
        <f t="shared" si="25"/>
        <v>0</v>
      </c>
      <c r="U733" s="25" t="str">
        <f>IF('PART III-DEMOGRAPHICS'!Q743="","",'PART III-DEMOGRAPHICS'!Q743)</f>
        <v/>
      </c>
    </row>
    <row r="734" spans="1:21">
      <c r="A734" s="25" t="str">
        <f>IF('PART III-DEMOGRAPHICS'!A744="","",'PART III-DEMOGRAPHICS'!A744)</f>
        <v/>
      </c>
      <c r="B734" s="28"/>
      <c r="C734" s="27"/>
      <c r="D734" s="28"/>
      <c r="E734" s="21"/>
      <c r="F734" s="36" t="str">
        <f t="shared" si="26"/>
        <v>Did Not</v>
      </c>
      <c r="G734" s="28"/>
      <c r="H734" s="28"/>
      <c r="I734" s="28"/>
      <c r="J734" s="28"/>
      <c r="K734" s="28"/>
      <c r="L734" s="28"/>
      <c r="M734" s="28"/>
      <c r="N734" s="21"/>
      <c r="O734" s="28"/>
      <c r="P734" s="38"/>
      <c r="Q734" s="21"/>
      <c r="R734" s="21"/>
      <c r="S734" s="47"/>
      <c r="T734" s="25">
        <f t="shared" si="25"/>
        <v>0</v>
      </c>
      <c r="U734" s="25" t="str">
        <f>IF('PART III-DEMOGRAPHICS'!Q744="","",'PART III-DEMOGRAPHICS'!Q744)</f>
        <v/>
      </c>
    </row>
    <row r="735" spans="1:21">
      <c r="A735" s="25" t="str">
        <f>IF('PART III-DEMOGRAPHICS'!A745="","",'PART III-DEMOGRAPHICS'!A745)</f>
        <v/>
      </c>
      <c r="B735" s="28"/>
      <c r="C735" s="27"/>
      <c r="D735" s="28"/>
      <c r="E735" s="21"/>
      <c r="F735" s="36" t="str">
        <f t="shared" si="26"/>
        <v>Did Not</v>
      </c>
      <c r="G735" s="28"/>
      <c r="H735" s="28"/>
      <c r="I735" s="28"/>
      <c r="J735" s="28"/>
      <c r="K735" s="28"/>
      <c r="L735" s="28"/>
      <c r="M735" s="28"/>
      <c r="N735" s="21"/>
      <c r="O735" s="28"/>
      <c r="P735" s="38"/>
      <c r="Q735" s="21"/>
      <c r="R735" s="21"/>
      <c r="S735" s="47"/>
      <c r="T735" s="25">
        <f t="shared" si="25"/>
        <v>0</v>
      </c>
      <c r="U735" s="25" t="str">
        <f>IF('PART III-DEMOGRAPHICS'!Q745="","",'PART III-DEMOGRAPHICS'!Q745)</f>
        <v/>
      </c>
    </row>
    <row r="736" spans="1:21">
      <c r="A736" s="25" t="str">
        <f>IF('PART III-DEMOGRAPHICS'!A746="","",'PART III-DEMOGRAPHICS'!A746)</f>
        <v/>
      </c>
      <c r="B736" s="28"/>
      <c r="C736" s="27"/>
      <c r="D736" s="28"/>
      <c r="E736" s="21"/>
      <c r="F736" s="36" t="str">
        <f t="shared" si="26"/>
        <v>Did Not</v>
      </c>
      <c r="G736" s="28"/>
      <c r="H736" s="28"/>
      <c r="I736" s="28"/>
      <c r="J736" s="28"/>
      <c r="K736" s="28"/>
      <c r="L736" s="28"/>
      <c r="M736" s="28"/>
      <c r="N736" s="21"/>
      <c r="O736" s="28"/>
      <c r="P736" s="38"/>
      <c r="Q736" s="21"/>
      <c r="R736" s="21"/>
      <c r="S736" s="47"/>
      <c r="T736" s="25">
        <f t="shared" si="25"/>
        <v>0</v>
      </c>
      <c r="U736" s="25" t="str">
        <f>IF('PART III-DEMOGRAPHICS'!Q746="","",'PART III-DEMOGRAPHICS'!Q746)</f>
        <v/>
      </c>
    </row>
    <row r="737" spans="1:21">
      <c r="A737" s="25" t="str">
        <f>IF('PART III-DEMOGRAPHICS'!A747="","",'PART III-DEMOGRAPHICS'!A747)</f>
        <v/>
      </c>
      <c r="B737" s="28"/>
      <c r="C737" s="27"/>
      <c r="D737" s="28"/>
      <c r="E737" s="21"/>
      <c r="F737" s="36" t="str">
        <f t="shared" si="26"/>
        <v>Did Not</v>
      </c>
      <c r="G737" s="28"/>
      <c r="H737" s="28"/>
      <c r="I737" s="28"/>
      <c r="J737" s="28"/>
      <c r="K737" s="28"/>
      <c r="L737" s="28"/>
      <c r="M737" s="28"/>
      <c r="N737" s="21"/>
      <c r="O737" s="28"/>
      <c r="P737" s="38"/>
      <c r="Q737" s="21"/>
      <c r="R737" s="21"/>
      <c r="S737" s="47"/>
      <c r="T737" s="25">
        <f t="shared" si="25"/>
        <v>0</v>
      </c>
      <c r="U737" s="25" t="str">
        <f>IF('PART III-DEMOGRAPHICS'!Q747="","",'PART III-DEMOGRAPHICS'!Q747)</f>
        <v/>
      </c>
    </row>
    <row r="738" spans="1:21">
      <c r="A738" s="25" t="str">
        <f>IF('PART III-DEMOGRAPHICS'!A748="","",'PART III-DEMOGRAPHICS'!A748)</f>
        <v/>
      </c>
      <c r="B738" s="28"/>
      <c r="C738" s="27"/>
      <c r="D738" s="28"/>
      <c r="E738" s="21"/>
      <c r="F738" s="36" t="str">
        <f t="shared" si="26"/>
        <v>Did Not</v>
      </c>
      <c r="G738" s="28"/>
      <c r="H738" s="28"/>
      <c r="I738" s="28"/>
      <c r="J738" s="28"/>
      <c r="K738" s="28"/>
      <c r="L738" s="28"/>
      <c r="M738" s="28"/>
      <c r="N738" s="21"/>
      <c r="O738" s="28"/>
      <c r="P738" s="38"/>
      <c r="Q738" s="21"/>
      <c r="R738" s="21"/>
      <c r="S738" s="47"/>
      <c r="T738" s="25">
        <f t="shared" si="25"/>
        <v>0</v>
      </c>
      <c r="U738" s="25" t="str">
        <f>IF('PART III-DEMOGRAPHICS'!Q748="","",'PART III-DEMOGRAPHICS'!Q748)</f>
        <v/>
      </c>
    </row>
    <row r="739" spans="1:21">
      <c r="A739" s="25" t="str">
        <f>IF('PART III-DEMOGRAPHICS'!A749="","",'PART III-DEMOGRAPHICS'!A749)</f>
        <v/>
      </c>
      <c r="B739" s="28"/>
      <c r="C739" s="27"/>
      <c r="D739" s="28"/>
      <c r="E739" s="21"/>
      <c r="F739" s="36" t="str">
        <f t="shared" si="26"/>
        <v>Did Not</v>
      </c>
      <c r="G739" s="28"/>
      <c r="H739" s="28"/>
      <c r="I739" s="28"/>
      <c r="J739" s="28"/>
      <c r="K739" s="28"/>
      <c r="L739" s="28"/>
      <c r="M739" s="28"/>
      <c r="N739" s="21"/>
      <c r="O739" s="28"/>
      <c r="P739" s="38"/>
      <c r="Q739" s="21"/>
      <c r="R739" s="21"/>
      <c r="S739" s="47"/>
      <c r="T739" s="25">
        <f t="shared" si="25"/>
        <v>0</v>
      </c>
      <c r="U739" s="25" t="str">
        <f>IF('PART III-DEMOGRAPHICS'!Q749="","",'PART III-DEMOGRAPHICS'!Q749)</f>
        <v/>
      </c>
    </row>
    <row r="740" spans="1:21">
      <c r="A740" s="25" t="str">
        <f>IF('PART III-DEMOGRAPHICS'!A750="","",'PART III-DEMOGRAPHICS'!A750)</f>
        <v/>
      </c>
      <c r="B740" s="28"/>
      <c r="C740" s="27"/>
      <c r="D740" s="28"/>
      <c r="E740" s="21"/>
      <c r="F740" s="36" t="str">
        <f t="shared" si="26"/>
        <v>Did Not</v>
      </c>
      <c r="G740" s="28"/>
      <c r="H740" s="28"/>
      <c r="I740" s="28"/>
      <c r="J740" s="28"/>
      <c r="K740" s="28"/>
      <c r="L740" s="28"/>
      <c r="M740" s="28"/>
      <c r="N740" s="21"/>
      <c r="O740" s="28"/>
      <c r="P740" s="38"/>
      <c r="Q740" s="21"/>
      <c r="R740" s="21"/>
      <c r="S740" s="47"/>
      <c r="T740" s="25">
        <f t="shared" si="25"/>
        <v>0</v>
      </c>
      <c r="U740" s="25" t="str">
        <f>IF('PART III-DEMOGRAPHICS'!Q750="","",'PART III-DEMOGRAPHICS'!Q750)</f>
        <v/>
      </c>
    </row>
    <row r="741" spans="1:21">
      <c r="A741" s="25" t="str">
        <f>IF('PART III-DEMOGRAPHICS'!A751="","",'PART III-DEMOGRAPHICS'!A751)</f>
        <v/>
      </c>
      <c r="B741" s="28"/>
      <c r="C741" s="27"/>
      <c r="D741" s="28"/>
      <c r="E741" s="21"/>
      <c r="F741" s="36" t="str">
        <f t="shared" si="26"/>
        <v>Did Not</v>
      </c>
      <c r="G741" s="28"/>
      <c r="H741" s="28"/>
      <c r="I741" s="28"/>
      <c r="J741" s="28"/>
      <c r="K741" s="28"/>
      <c r="L741" s="28"/>
      <c r="M741" s="28"/>
      <c r="N741" s="21"/>
      <c r="O741" s="28"/>
      <c r="P741" s="38"/>
      <c r="Q741" s="21"/>
      <c r="R741" s="21"/>
      <c r="S741" s="47"/>
      <c r="T741" s="25">
        <f t="shared" si="25"/>
        <v>0</v>
      </c>
      <c r="U741" s="25" t="str">
        <f>IF('PART III-DEMOGRAPHICS'!Q751="","",'PART III-DEMOGRAPHICS'!Q751)</f>
        <v/>
      </c>
    </row>
    <row r="742" spans="1:21">
      <c r="A742" s="25" t="str">
        <f>IF('PART III-DEMOGRAPHICS'!A752="","",'PART III-DEMOGRAPHICS'!A752)</f>
        <v/>
      </c>
      <c r="B742" s="28"/>
      <c r="C742" s="27"/>
      <c r="D742" s="28"/>
      <c r="E742" s="21"/>
      <c r="F742" s="36" t="str">
        <f t="shared" si="26"/>
        <v>Did Not</v>
      </c>
      <c r="G742" s="28"/>
      <c r="H742" s="28"/>
      <c r="I742" s="28"/>
      <c r="J742" s="28"/>
      <c r="K742" s="28"/>
      <c r="L742" s="28"/>
      <c r="M742" s="28"/>
      <c r="N742" s="21"/>
      <c r="O742" s="28"/>
      <c r="P742" s="38"/>
      <c r="Q742" s="21"/>
      <c r="R742" s="21"/>
      <c r="S742" s="47"/>
      <c r="T742" s="25">
        <f t="shared" si="25"/>
        <v>0</v>
      </c>
      <c r="U742" s="25" t="str">
        <f>IF('PART III-DEMOGRAPHICS'!Q752="","",'PART III-DEMOGRAPHICS'!Q752)</f>
        <v/>
      </c>
    </row>
    <row r="743" spans="1:21">
      <c r="A743" s="25" t="str">
        <f>IF('PART III-DEMOGRAPHICS'!A753="","",'PART III-DEMOGRAPHICS'!A753)</f>
        <v/>
      </c>
      <c r="B743" s="28"/>
      <c r="C743" s="27"/>
      <c r="D743" s="28"/>
      <c r="E743" s="21"/>
      <c r="F743" s="36" t="str">
        <f t="shared" si="26"/>
        <v>Did Not</v>
      </c>
      <c r="G743" s="28"/>
      <c r="H743" s="28"/>
      <c r="I743" s="28"/>
      <c r="J743" s="28"/>
      <c r="K743" s="28"/>
      <c r="L743" s="28"/>
      <c r="M743" s="28"/>
      <c r="N743" s="21"/>
      <c r="O743" s="28"/>
      <c r="P743" s="38"/>
      <c r="Q743" s="21"/>
      <c r="R743" s="21"/>
      <c r="S743" s="47"/>
      <c r="T743" s="25">
        <f t="shared" si="25"/>
        <v>0</v>
      </c>
      <c r="U743" s="25" t="str">
        <f>IF('PART III-DEMOGRAPHICS'!Q753="","",'PART III-DEMOGRAPHICS'!Q753)</f>
        <v/>
      </c>
    </row>
    <row r="744" spans="1:21">
      <c r="A744" s="25" t="str">
        <f>IF('PART III-DEMOGRAPHICS'!A754="","",'PART III-DEMOGRAPHICS'!A754)</f>
        <v/>
      </c>
      <c r="B744" s="28"/>
      <c r="C744" s="27"/>
      <c r="D744" s="28"/>
      <c r="E744" s="21"/>
      <c r="F744" s="36" t="str">
        <f t="shared" si="26"/>
        <v>Did Not</v>
      </c>
      <c r="G744" s="28"/>
      <c r="H744" s="28"/>
      <c r="I744" s="28"/>
      <c r="J744" s="28"/>
      <c r="K744" s="28"/>
      <c r="L744" s="28"/>
      <c r="M744" s="28"/>
      <c r="N744" s="21"/>
      <c r="O744" s="28"/>
      <c r="P744" s="38"/>
      <c r="Q744" s="21"/>
      <c r="R744" s="21"/>
      <c r="S744" s="47"/>
      <c r="T744" s="25">
        <f t="shared" si="25"/>
        <v>0</v>
      </c>
      <c r="U744" s="25" t="str">
        <f>IF('PART III-DEMOGRAPHICS'!Q754="","",'PART III-DEMOGRAPHICS'!Q754)</f>
        <v/>
      </c>
    </row>
    <row r="745" spans="1:21">
      <c r="A745" s="25" t="str">
        <f>IF('PART III-DEMOGRAPHICS'!A755="","",'PART III-DEMOGRAPHICS'!A755)</f>
        <v/>
      </c>
      <c r="B745" s="28"/>
      <c r="C745" s="27"/>
      <c r="D745" s="28"/>
      <c r="E745" s="21"/>
      <c r="F745" s="36" t="str">
        <f t="shared" si="26"/>
        <v>Did Not</v>
      </c>
      <c r="G745" s="28"/>
      <c r="H745" s="28"/>
      <c r="I745" s="28"/>
      <c r="J745" s="28"/>
      <c r="K745" s="28"/>
      <c r="L745" s="28"/>
      <c r="M745" s="28"/>
      <c r="N745" s="21"/>
      <c r="O745" s="28"/>
      <c r="P745" s="38"/>
      <c r="Q745" s="21"/>
      <c r="R745" s="21"/>
      <c r="S745" s="47"/>
      <c r="T745" s="25">
        <f t="shared" si="25"/>
        <v>0</v>
      </c>
      <c r="U745" s="25" t="str">
        <f>IF('PART III-DEMOGRAPHICS'!Q755="","",'PART III-DEMOGRAPHICS'!Q755)</f>
        <v/>
      </c>
    </row>
    <row r="746" spans="1:21">
      <c r="A746" s="25" t="str">
        <f>IF('PART III-DEMOGRAPHICS'!A756="","",'PART III-DEMOGRAPHICS'!A756)</f>
        <v/>
      </c>
      <c r="B746" s="28"/>
      <c r="C746" s="27"/>
      <c r="D746" s="28"/>
      <c r="E746" s="21"/>
      <c r="F746" s="36" t="str">
        <f t="shared" si="26"/>
        <v>Did Not</v>
      </c>
      <c r="G746" s="28"/>
      <c r="H746" s="28"/>
      <c r="I746" s="28"/>
      <c r="J746" s="28"/>
      <c r="K746" s="28"/>
      <c r="L746" s="28"/>
      <c r="M746" s="28"/>
      <c r="N746" s="21"/>
      <c r="O746" s="28"/>
      <c r="P746" s="38"/>
      <c r="Q746" s="21"/>
      <c r="R746" s="21"/>
      <c r="S746" s="47"/>
      <c r="T746" s="25">
        <f t="shared" si="25"/>
        <v>0</v>
      </c>
      <c r="U746" s="25" t="str">
        <f>IF('PART III-DEMOGRAPHICS'!Q756="","",'PART III-DEMOGRAPHICS'!Q756)</f>
        <v/>
      </c>
    </row>
    <row r="747" spans="1:21">
      <c r="A747" s="25" t="str">
        <f>IF('PART III-DEMOGRAPHICS'!A757="","",'PART III-DEMOGRAPHICS'!A757)</f>
        <v/>
      </c>
      <c r="B747" s="28"/>
      <c r="C747" s="27"/>
      <c r="D747" s="28"/>
      <c r="E747" s="21"/>
      <c r="F747" s="36" t="str">
        <f t="shared" si="26"/>
        <v>Did Not</v>
      </c>
      <c r="G747" s="28"/>
      <c r="H747" s="28"/>
      <c r="I747" s="28"/>
      <c r="J747" s="28"/>
      <c r="K747" s="28"/>
      <c r="L747" s="28"/>
      <c r="M747" s="28"/>
      <c r="N747" s="21"/>
      <c r="O747" s="28"/>
      <c r="P747" s="38"/>
      <c r="Q747" s="21"/>
      <c r="R747" s="21"/>
      <c r="S747" s="47"/>
      <c r="T747" s="25">
        <f t="shared" si="25"/>
        <v>0</v>
      </c>
      <c r="U747" s="25" t="str">
        <f>IF('PART III-DEMOGRAPHICS'!Q757="","",'PART III-DEMOGRAPHICS'!Q757)</f>
        <v/>
      </c>
    </row>
    <row r="748" spans="1:21">
      <c r="A748" s="25" t="str">
        <f>IF('PART III-DEMOGRAPHICS'!A758="","",'PART III-DEMOGRAPHICS'!A758)</f>
        <v/>
      </c>
      <c r="B748" s="28"/>
      <c r="C748" s="27"/>
      <c r="D748" s="28"/>
      <c r="E748" s="21"/>
      <c r="F748" s="36" t="str">
        <f t="shared" si="26"/>
        <v>Did Not</v>
      </c>
      <c r="G748" s="28"/>
      <c r="H748" s="28"/>
      <c r="I748" s="28"/>
      <c r="J748" s="28"/>
      <c r="K748" s="28"/>
      <c r="L748" s="28"/>
      <c r="M748" s="28"/>
      <c r="N748" s="21"/>
      <c r="O748" s="28"/>
      <c r="P748" s="38"/>
      <c r="Q748" s="21"/>
      <c r="R748" s="21"/>
      <c r="S748" s="47"/>
      <c r="T748" s="25">
        <f t="shared" si="25"/>
        <v>0</v>
      </c>
      <c r="U748" s="25" t="str">
        <f>IF('PART III-DEMOGRAPHICS'!Q758="","",'PART III-DEMOGRAPHICS'!Q758)</f>
        <v/>
      </c>
    </row>
    <row r="749" spans="1:21">
      <c r="A749" s="25" t="str">
        <f>IF('PART III-DEMOGRAPHICS'!A759="","",'PART III-DEMOGRAPHICS'!A759)</f>
        <v/>
      </c>
      <c r="B749" s="28"/>
      <c r="C749" s="27"/>
      <c r="D749" s="28"/>
      <c r="E749" s="21"/>
      <c r="F749" s="36" t="str">
        <f t="shared" si="26"/>
        <v>Did Not</v>
      </c>
      <c r="G749" s="28"/>
      <c r="H749" s="28"/>
      <c r="I749" s="28"/>
      <c r="J749" s="28"/>
      <c r="K749" s="28"/>
      <c r="L749" s="28"/>
      <c r="M749" s="28"/>
      <c r="N749" s="21"/>
      <c r="O749" s="28"/>
      <c r="P749" s="38"/>
      <c r="Q749" s="21"/>
      <c r="R749" s="21"/>
      <c r="S749" s="47"/>
      <c r="T749" s="25">
        <f t="shared" si="25"/>
        <v>0</v>
      </c>
      <c r="U749" s="25" t="str">
        <f>IF('PART III-DEMOGRAPHICS'!Q759="","",'PART III-DEMOGRAPHICS'!Q759)</f>
        <v/>
      </c>
    </row>
    <row r="750" spans="1:21">
      <c r="A750" s="25" t="str">
        <f>IF('PART III-DEMOGRAPHICS'!A760="","",'PART III-DEMOGRAPHICS'!A760)</f>
        <v/>
      </c>
      <c r="B750" s="28"/>
      <c r="C750" s="27"/>
      <c r="D750" s="28"/>
      <c r="E750" s="21"/>
      <c r="F750" s="36" t="str">
        <f t="shared" si="26"/>
        <v>Did Not</v>
      </c>
      <c r="G750" s="28"/>
      <c r="H750" s="28"/>
      <c r="I750" s="28"/>
      <c r="J750" s="28"/>
      <c r="K750" s="28"/>
      <c r="L750" s="28"/>
      <c r="M750" s="28"/>
      <c r="N750" s="21"/>
      <c r="O750" s="28"/>
      <c r="P750" s="38"/>
      <c r="Q750" s="21"/>
      <c r="R750" s="21"/>
      <c r="S750" s="47"/>
      <c r="T750" s="25">
        <f t="shared" si="25"/>
        <v>0</v>
      </c>
      <c r="U750" s="25" t="str">
        <f>IF('PART III-DEMOGRAPHICS'!Q760="","",'PART III-DEMOGRAPHICS'!Q760)</f>
        <v/>
      </c>
    </row>
    <row r="751" spans="1:21">
      <c r="A751" s="25" t="str">
        <f>IF('PART III-DEMOGRAPHICS'!A761="","",'PART III-DEMOGRAPHICS'!A761)</f>
        <v/>
      </c>
      <c r="B751" s="28"/>
      <c r="C751" s="27"/>
      <c r="D751" s="28"/>
      <c r="E751" s="21"/>
      <c r="F751" s="36" t="str">
        <f t="shared" si="26"/>
        <v>Did Not</v>
      </c>
      <c r="G751" s="28"/>
      <c r="H751" s="28"/>
      <c r="I751" s="28"/>
      <c r="J751" s="28"/>
      <c r="K751" s="28"/>
      <c r="L751" s="28"/>
      <c r="M751" s="28"/>
      <c r="N751" s="21"/>
      <c r="O751" s="28"/>
      <c r="P751" s="38"/>
      <c r="Q751" s="21"/>
      <c r="R751" s="21"/>
      <c r="S751" s="47"/>
      <c r="T751" s="25">
        <f t="shared" si="25"/>
        <v>0</v>
      </c>
      <c r="U751" s="25" t="str">
        <f>IF('PART III-DEMOGRAPHICS'!Q761="","",'PART III-DEMOGRAPHICS'!Q761)</f>
        <v/>
      </c>
    </row>
    <row r="752" spans="1:21">
      <c r="A752" s="25" t="str">
        <f>IF('PART III-DEMOGRAPHICS'!A762="","",'PART III-DEMOGRAPHICS'!A762)</f>
        <v/>
      </c>
      <c r="B752" s="28"/>
      <c r="C752" s="27"/>
      <c r="D752" s="28"/>
      <c r="E752" s="21"/>
      <c r="F752" s="36" t="str">
        <f t="shared" si="26"/>
        <v>Did Not</v>
      </c>
      <c r="G752" s="28"/>
      <c r="H752" s="28"/>
      <c r="I752" s="28"/>
      <c r="J752" s="28"/>
      <c r="K752" s="28"/>
      <c r="L752" s="28"/>
      <c r="M752" s="28"/>
      <c r="N752" s="21"/>
      <c r="O752" s="28"/>
      <c r="P752" s="38"/>
      <c r="Q752" s="21"/>
      <c r="R752" s="21"/>
      <c r="S752" s="47"/>
      <c r="T752" s="25">
        <f t="shared" si="25"/>
        <v>0</v>
      </c>
      <c r="U752" s="25" t="str">
        <f>IF('PART III-DEMOGRAPHICS'!Q762="","",'PART III-DEMOGRAPHICS'!Q762)</f>
        <v/>
      </c>
    </row>
    <row r="753" spans="1:21">
      <c r="A753" s="25" t="str">
        <f>IF('PART III-DEMOGRAPHICS'!A763="","",'PART III-DEMOGRAPHICS'!A763)</f>
        <v/>
      </c>
      <c r="B753" s="28"/>
      <c r="C753" s="27"/>
      <c r="D753" s="28"/>
      <c r="E753" s="21"/>
      <c r="F753" s="36" t="str">
        <f t="shared" si="26"/>
        <v>Did Not</v>
      </c>
      <c r="G753" s="28"/>
      <c r="H753" s="28"/>
      <c r="I753" s="28"/>
      <c r="J753" s="28"/>
      <c r="K753" s="28"/>
      <c r="L753" s="28"/>
      <c r="M753" s="28"/>
      <c r="N753" s="21"/>
      <c r="O753" s="28"/>
      <c r="P753" s="38"/>
      <c r="Q753" s="21"/>
      <c r="R753" s="21"/>
      <c r="S753" s="47"/>
      <c r="T753" s="25">
        <f t="shared" si="25"/>
        <v>0</v>
      </c>
      <c r="U753" s="25" t="str">
        <f>IF('PART III-DEMOGRAPHICS'!Q763="","",'PART III-DEMOGRAPHICS'!Q763)</f>
        <v/>
      </c>
    </row>
    <row r="754" spans="1:21">
      <c r="A754" s="25" t="str">
        <f>IF('PART III-DEMOGRAPHICS'!A764="","",'PART III-DEMOGRAPHICS'!A764)</f>
        <v/>
      </c>
      <c r="B754" s="28"/>
      <c r="C754" s="27"/>
      <c r="D754" s="28"/>
      <c r="E754" s="21"/>
      <c r="F754" s="36" t="str">
        <f t="shared" si="26"/>
        <v>Did Not</v>
      </c>
      <c r="G754" s="28"/>
      <c r="H754" s="28"/>
      <c r="I754" s="28"/>
      <c r="J754" s="28"/>
      <c r="K754" s="28"/>
      <c r="L754" s="28"/>
      <c r="M754" s="28"/>
      <c r="N754" s="21"/>
      <c r="O754" s="28"/>
      <c r="P754" s="38"/>
      <c r="Q754" s="21"/>
      <c r="R754" s="21"/>
      <c r="S754" s="47"/>
      <c r="T754" s="25">
        <f t="shared" si="25"/>
        <v>0</v>
      </c>
      <c r="U754" s="25" t="str">
        <f>IF('PART III-DEMOGRAPHICS'!Q764="","",'PART III-DEMOGRAPHICS'!Q764)</f>
        <v/>
      </c>
    </row>
    <row r="755" spans="1:21">
      <c r="A755" s="25" t="str">
        <f>IF('PART III-DEMOGRAPHICS'!A765="","",'PART III-DEMOGRAPHICS'!A765)</f>
        <v/>
      </c>
      <c r="B755" s="28"/>
      <c r="C755" s="27"/>
      <c r="D755" s="28"/>
      <c r="E755" s="21"/>
      <c r="F755" s="36" t="str">
        <f t="shared" si="26"/>
        <v>Did Not</v>
      </c>
      <c r="G755" s="28"/>
      <c r="H755" s="28"/>
      <c r="I755" s="28"/>
      <c r="J755" s="28"/>
      <c r="K755" s="28"/>
      <c r="L755" s="28"/>
      <c r="M755" s="28"/>
      <c r="N755" s="21"/>
      <c r="O755" s="28"/>
      <c r="P755" s="38"/>
      <c r="Q755" s="21"/>
      <c r="R755" s="21"/>
      <c r="S755" s="47"/>
      <c r="T755" s="25">
        <f t="shared" si="25"/>
        <v>0</v>
      </c>
      <c r="U755" s="25" t="str">
        <f>IF('PART III-DEMOGRAPHICS'!Q765="","",'PART III-DEMOGRAPHICS'!Q765)</f>
        <v/>
      </c>
    </row>
    <row r="756" spans="1:21">
      <c r="A756" s="25" t="str">
        <f>IF('PART III-DEMOGRAPHICS'!A766="","",'PART III-DEMOGRAPHICS'!A766)</f>
        <v/>
      </c>
      <c r="B756" s="28"/>
      <c r="C756" s="27"/>
      <c r="D756" s="28"/>
      <c r="E756" s="21"/>
      <c r="F756" s="36" t="str">
        <f t="shared" si="26"/>
        <v>Did Not</v>
      </c>
      <c r="G756" s="28"/>
      <c r="H756" s="28"/>
      <c r="I756" s="28"/>
      <c r="J756" s="28"/>
      <c r="K756" s="28"/>
      <c r="L756" s="28"/>
      <c r="M756" s="28"/>
      <c r="N756" s="21"/>
      <c r="O756" s="28"/>
      <c r="P756" s="38"/>
      <c r="Q756" s="21"/>
      <c r="R756" s="21"/>
      <c r="S756" s="47"/>
      <c r="T756" s="25">
        <f t="shared" si="25"/>
        <v>0</v>
      </c>
      <c r="U756" s="25" t="str">
        <f>IF('PART III-DEMOGRAPHICS'!Q766="","",'PART III-DEMOGRAPHICS'!Q766)</f>
        <v/>
      </c>
    </row>
    <row r="757" spans="1:21">
      <c r="A757" s="25" t="str">
        <f>IF('PART III-DEMOGRAPHICS'!A767="","",'PART III-DEMOGRAPHICS'!A767)</f>
        <v/>
      </c>
      <c r="B757" s="28"/>
      <c r="C757" s="27"/>
      <c r="D757" s="28"/>
      <c r="E757" s="21"/>
      <c r="F757" s="36" t="str">
        <f t="shared" si="26"/>
        <v>Did Not</v>
      </c>
      <c r="G757" s="28"/>
      <c r="H757" s="28"/>
      <c r="I757" s="28"/>
      <c r="J757" s="28"/>
      <c r="K757" s="28"/>
      <c r="L757" s="28"/>
      <c r="M757" s="28"/>
      <c r="N757" s="21"/>
      <c r="O757" s="28"/>
      <c r="P757" s="38"/>
      <c r="Q757" s="21"/>
      <c r="R757" s="21"/>
      <c r="S757" s="47"/>
      <c r="T757" s="25">
        <f t="shared" si="25"/>
        <v>0</v>
      </c>
      <c r="U757" s="25" t="str">
        <f>IF('PART III-DEMOGRAPHICS'!Q767="","",'PART III-DEMOGRAPHICS'!Q767)</f>
        <v/>
      </c>
    </row>
    <row r="758" spans="1:21">
      <c r="A758" s="25" t="str">
        <f>IF('PART III-DEMOGRAPHICS'!A768="","",'PART III-DEMOGRAPHICS'!A768)</f>
        <v/>
      </c>
      <c r="B758" s="28"/>
      <c r="C758" s="27"/>
      <c r="D758" s="28"/>
      <c r="E758" s="21"/>
      <c r="F758" s="36" t="str">
        <f t="shared" si="26"/>
        <v>Did Not</v>
      </c>
      <c r="G758" s="28"/>
      <c r="H758" s="28"/>
      <c r="I758" s="28"/>
      <c r="J758" s="28"/>
      <c r="K758" s="28"/>
      <c r="L758" s="28"/>
      <c r="M758" s="28"/>
      <c r="N758" s="21"/>
      <c r="O758" s="28"/>
      <c r="P758" s="38"/>
      <c r="Q758" s="21"/>
      <c r="R758" s="21"/>
      <c r="S758" s="47"/>
      <c r="T758" s="25">
        <f t="shared" si="25"/>
        <v>0</v>
      </c>
      <c r="U758" s="25" t="str">
        <f>IF('PART III-DEMOGRAPHICS'!Q768="","",'PART III-DEMOGRAPHICS'!Q768)</f>
        <v/>
      </c>
    </row>
    <row r="759" spans="1:21">
      <c r="A759" s="25" t="str">
        <f>IF('PART III-DEMOGRAPHICS'!A769="","",'PART III-DEMOGRAPHICS'!A769)</f>
        <v/>
      </c>
      <c r="B759" s="28"/>
      <c r="C759" s="27"/>
      <c r="D759" s="28"/>
      <c r="E759" s="21"/>
      <c r="F759" s="36" t="str">
        <f t="shared" si="26"/>
        <v>Did Not</v>
      </c>
      <c r="G759" s="28"/>
      <c r="H759" s="28"/>
      <c r="I759" s="28"/>
      <c r="J759" s="28"/>
      <c r="K759" s="28"/>
      <c r="L759" s="28"/>
      <c r="M759" s="28"/>
      <c r="N759" s="21"/>
      <c r="O759" s="28"/>
      <c r="P759" s="38"/>
      <c r="Q759" s="21"/>
      <c r="R759" s="21"/>
      <c r="S759" s="47"/>
      <c r="T759" s="25">
        <f t="shared" si="25"/>
        <v>0</v>
      </c>
      <c r="U759" s="25" t="str">
        <f>IF('PART III-DEMOGRAPHICS'!Q769="","",'PART III-DEMOGRAPHICS'!Q769)</f>
        <v/>
      </c>
    </row>
    <row r="760" spans="1:21">
      <c r="A760" s="25" t="str">
        <f>IF('PART III-DEMOGRAPHICS'!A770="","",'PART III-DEMOGRAPHICS'!A770)</f>
        <v/>
      </c>
      <c r="B760" s="28"/>
      <c r="C760" s="27"/>
      <c r="D760" s="28"/>
      <c r="E760" s="21"/>
      <c r="F760" s="36" t="str">
        <f t="shared" si="26"/>
        <v>Did Not</v>
      </c>
      <c r="G760" s="28"/>
      <c r="H760" s="28"/>
      <c r="I760" s="28"/>
      <c r="J760" s="28"/>
      <c r="K760" s="28"/>
      <c r="L760" s="28"/>
      <c r="M760" s="28"/>
      <c r="N760" s="21"/>
      <c r="O760" s="28"/>
      <c r="P760" s="38"/>
      <c r="Q760" s="21"/>
      <c r="R760" s="21"/>
      <c r="S760" s="47"/>
      <c r="T760" s="25">
        <f t="shared" si="25"/>
        <v>0</v>
      </c>
      <c r="U760" s="25" t="str">
        <f>IF('PART III-DEMOGRAPHICS'!Q770="","",'PART III-DEMOGRAPHICS'!Q770)</f>
        <v/>
      </c>
    </row>
    <row r="761" spans="1:21">
      <c r="A761" s="25" t="str">
        <f>IF('PART III-DEMOGRAPHICS'!A771="","",'PART III-DEMOGRAPHICS'!A771)</f>
        <v/>
      </c>
      <c r="B761" s="28"/>
      <c r="C761" s="27"/>
      <c r="D761" s="28"/>
      <c r="E761" s="21"/>
      <c r="F761" s="36" t="str">
        <f t="shared" si="26"/>
        <v>Did Not</v>
      </c>
      <c r="G761" s="28"/>
      <c r="H761" s="28"/>
      <c r="I761" s="28"/>
      <c r="J761" s="28"/>
      <c r="K761" s="28"/>
      <c r="L761" s="28"/>
      <c r="M761" s="28"/>
      <c r="N761" s="21"/>
      <c r="O761" s="28"/>
      <c r="P761" s="38"/>
      <c r="Q761" s="21"/>
      <c r="R761" s="21"/>
      <c r="S761" s="47"/>
      <c r="T761" s="25">
        <f t="shared" si="25"/>
        <v>0</v>
      </c>
      <c r="U761" s="25" t="str">
        <f>IF('PART III-DEMOGRAPHICS'!Q771="","",'PART III-DEMOGRAPHICS'!Q771)</f>
        <v/>
      </c>
    </row>
    <row r="762" spans="1:21">
      <c r="A762" s="25" t="str">
        <f>IF('PART III-DEMOGRAPHICS'!A772="","",'PART III-DEMOGRAPHICS'!A772)</f>
        <v/>
      </c>
      <c r="B762" s="28"/>
      <c r="C762" s="27"/>
      <c r="D762" s="28"/>
      <c r="E762" s="21"/>
      <c r="F762" s="36" t="str">
        <f t="shared" si="26"/>
        <v>Did Not</v>
      </c>
      <c r="G762" s="28"/>
      <c r="H762" s="28"/>
      <c r="I762" s="28"/>
      <c r="J762" s="28"/>
      <c r="K762" s="28"/>
      <c r="L762" s="28"/>
      <c r="M762" s="28"/>
      <c r="N762" s="21"/>
      <c r="O762" s="28"/>
      <c r="P762" s="38"/>
      <c r="Q762" s="21"/>
      <c r="R762" s="21"/>
      <c r="S762" s="47"/>
      <c r="T762" s="25">
        <f t="shared" si="25"/>
        <v>0</v>
      </c>
      <c r="U762" s="25" t="str">
        <f>IF('PART III-DEMOGRAPHICS'!Q772="","",'PART III-DEMOGRAPHICS'!Q772)</f>
        <v/>
      </c>
    </row>
    <row r="763" spans="1:21">
      <c r="A763" s="25" t="str">
        <f>IF('PART III-DEMOGRAPHICS'!A773="","",'PART III-DEMOGRAPHICS'!A773)</f>
        <v/>
      </c>
      <c r="B763" s="28"/>
      <c r="C763" s="27"/>
      <c r="D763" s="28"/>
      <c r="E763" s="21"/>
      <c r="F763" s="36" t="str">
        <f t="shared" si="26"/>
        <v>Did Not</v>
      </c>
      <c r="G763" s="28"/>
      <c r="H763" s="28"/>
      <c r="I763" s="28"/>
      <c r="J763" s="28"/>
      <c r="K763" s="28"/>
      <c r="L763" s="28"/>
      <c r="M763" s="28"/>
      <c r="N763" s="21"/>
      <c r="O763" s="28"/>
      <c r="P763" s="38"/>
      <c r="Q763" s="21"/>
      <c r="R763" s="21"/>
      <c r="S763" s="47"/>
      <c r="T763" s="25">
        <f t="shared" si="25"/>
        <v>0</v>
      </c>
      <c r="U763" s="25" t="str">
        <f>IF('PART III-DEMOGRAPHICS'!Q773="","",'PART III-DEMOGRAPHICS'!Q773)</f>
        <v/>
      </c>
    </row>
    <row r="764" spans="1:21">
      <c r="A764" s="25" t="str">
        <f>IF('PART III-DEMOGRAPHICS'!A774="","",'PART III-DEMOGRAPHICS'!A774)</f>
        <v/>
      </c>
      <c r="B764" s="28"/>
      <c r="C764" s="27"/>
      <c r="D764" s="28"/>
      <c r="E764" s="21"/>
      <c r="F764" s="36" t="str">
        <f t="shared" si="26"/>
        <v>Did Not</v>
      </c>
      <c r="G764" s="28"/>
      <c r="H764" s="28"/>
      <c r="I764" s="28"/>
      <c r="J764" s="28"/>
      <c r="K764" s="28"/>
      <c r="L764" s="28"/>
      <c r="M764" s="28"/>
      <c r="N764" s="21"/>
      <c r="O764" s="28"/>
      <c r="P764" s="38"/>
      <c r="Q764" s="21"/>
      <c r="R764" s="21"/>
      <c r="S764" s="47"/>
      <c r="T764" s="25">
        <f t="shared" si="25"/>
        <v>0</v>
      </c>
      <c r="U764" s="25" t="str">
        <f>IF('PART III-DEMOGRAPHICS'!Q774="","",'PART III-DEMOGRAPHICS'!Q774)</f>
        <v/>
      </c>
    </row>
    <row r="765" spans="1:21">
      <c r="A765" s="25" t="str">
        <f>IF('PART III-DEMOGRAPHICS'!A775="","",'PART III-DEMOGRAPHICS'!A775)</f>
        <v/>
      </c>
      <c r="B765" s="28"/>
      <c r="C765" s="27"/>
      <c r="D765" s="28"/>
      <c r="E765" s="21"/>
      <c r="F765" s="36" t="str">
        <f t="shared" si="26"/>
        <v>Did Not</v>
      </c>
      <c r="G765" s="28"/>
      <c r="H765" s="28"/>
      <c r="I765" s="28"/>
      <c r="J765" s="28"/>
      <c r="K765" s="28"/>
      <c r="L765" s="28"/>
      <c r="M765" s="28"/>
      <c r="N765" s="21"/>
      <c r="O765" s="28"/>
      <c r="P765" s="38"/>
      <c r="Q765" s="21"/>
      <c r="R765" s="21"/>
      <c r="S765" s="47"/>
      <c r="T765" s="25">
        <f t="shared" si="25"/>
        <v>0</v>
      </c>
      <c r="U765" s="25" t="str">
        <f>IF('PART III-DEMOGRAPHICS'!Q775="","",'PART III-DEMOGRAPHICS'!Q775)</f>
        <v/>
      </c>
    </row>
    <row r="766" spans="1:21">
      <c r="A766" s="25" t="str">
        <f>IF('PART III-DEMOGRAPHICS'!A776="","",'PART III-DEMOGRAPHICS'!A776)</f>
        <v/>
      </c>
      <c r="B766" s="28"/>
      <c r="C766" s="27"/>
      <c r="D766" s="28"/>
      <c r="E766" s="21"/>
      <c r="F766" s="36" t="str">
        <f t="shared" si="26"/>
        <v>Did Not</v>
      </c>
      <c r="G766" s="28"/>
      <c r="H766" s="28"/>
      <c r="I766" s="28"/>
      <c r="J766" s="28"/>
      <c r="K766" s="28"/>
      <c r="L766" s="28"/>
      <c r="M766" s="28"/>
      <c r="N766" s="21"/>
      <c r="O766" s="28"/>
      <c r="P766" s="38"/>
      <c r="Q766" s="21"/>
      <c r="R766" s="21"/>
      <c r="S766" s="47"/>
      <c r="T766" s="25">
        <f t="shared" si="25"/>
        <v>0</v>
      </c>
      <c r="U766" s="25" t="str">
        <f>IF('PART III-DEMOGRAPHICS'!Q776="","",'PART III-DEMOGRAPHICS'!Q776)</f>
        <v/>
      </c>
    </row>
    <row r="767" spans="1:21">
      <c r="A767" s="25" t="str">
        <f>IF('PART III-DEMOGRAPHICS'!A777="","",'PART III-DEMOGRAPHICS'!A777)</f>
        <v/>
      </c>
      <c r="B767" s="28"/>
      <c r="C767" s="27"/>
      <c r="D767" s="28"/>
      <c r="E767" s="21"/>
      <c r="F767" s="36" t="str">
        <f t="shared" si="26"/>
        <v>Did Not</v>
      </c>
      <c r="G767" s="28"/>
      <c r="H767" s="28"/>
      <c r="I767" s="28"/>
      <c r="J767" s="28"/>
      <c r="K767" s="28"/>
      <c r="L767" s="28"/>
      <c r="M767" s="28"/>
      <c r="N767" s="21"/>
      <c r="O767" s="28"/>
      <c r="P767" s="38"/>
      <c r="Q767" s="21"/>
      <c r="R767" s="21"/>
      <c r="S767" s="47"/>
      <c r="T767" s="25">
        <f t="shared" si="25"/>
        <v>0</v>
      </c>
      <c r="U767" s="25" t="str">
        <f>IF('PART III-DEMOGRAPHICS'!Q777="","",'PART III-DEMOGRAPHICS'!Q777)</f>
        <v/>
      </c>
    </row>
    <row r="768" spans="1:21">
      <c r="A768" s="25" t="str">
        <f>IF('PART III-DEMOGRAPHICS'!A778="","",'PART III-DEMOGRAPHICS'!A778)</f>
        <v/>
      </c>
      <c r="B768" s="28"/>
      <c r="C768" s="27"/>
      <c r="D768" s="28"/>
      <c r="E768" s="21"/>
      <c r="F768" s="36" t="str">
        <f t="shared" si="26"/>
        <v>Did Not</v>
      </c>
      <c r="G768" s="28"/>
      <c r="H768" s="28"/>
      <c r="I768" s="28"/>
      <c r="J768" s="28"/>
      <c r="K768" s="28"/>
      <c r="L768" s="28"/>
      <c r="M768" s="28"/>
      <c r="N768" s="21"/>
      <c r="O768" s="28"/>
      <c r="P768" s="38"/>
      <c r="Q768" s="21"/>
      <c r="R768" s="21"/>
      <c r="S768" s="47"/>
      <c r="T768" s="25">
        <f t="shared" si="25"/>
        <v>0</v>
      </c>
      <c r="U768" s="25" t="str">
        <f>IF('PART III-DEMOGRAPHICS'!Q778="","",'PART III-DEMOGRAPHICS'!Q778)</f>
        <v/>
      </c>
    </row>
    <row r="769" spans="1:21">
      <c r="A769" s="25" t="str">
        <f>IF('PART III-DEMOGRAPHICS'!A779="","",'PART III-DEMOGRAPHICS'!A779)</f>
        <v/>
      </c>
      <c r="B769" s="28"/>
      <c r="C769" s="27"/>
      <c r="D769" s="28"/>
      <c r="E769" s="21"/>
      <c r="F769" s="36" t="str">
        <f t="shared" si="26"/>
        <v>Did Not</v>
      </c>
      <c r="G769" s="28"/>
      <c r="H769" s="28"/>
      <c r="I769" s="28"/>
      <c r="J769" s="28"/>
      <c r="K769" s="28"/>
      <c r="L769" s="28"/>
      <c r="M769" s="28"/>
      <c r="N769" s="21"/>
      <c r="O769" s="28"/>
      <c r="P769" s="38"/>
      <c r="Q769" s="21"/>
      <c r="R769" s="21"/>
      <c r="S769" s="47"/>
      <c r="T769" s="25">
        <f t="shared" si="25"/>
        <v>0</v>
      </c>
      <c r="U769" s="25" t="str">
        <f>IF('PART III-DEMOGRAPHICS'!Q779="","",'PART III-DEMOGRAPHICS'!Q779)</f>
        <v/>
      </c>
    </row>
    <row r="770" spans="1:21">
      <c r="A770" s="25" t="str">
        <f>IF('PART III-DEMOGRAPHICS'!A780="","",'PART III-DEMOGRAPHICS'!A780)</f>
        <v/>
      </c>
      <c r="B770" s="28"/>
      <c r="C770" s="27"/>
      <c r="D770" s="28"/>
      <c r="E770" s="21"/>
      <c r="F770" s="36" t="str">
        <f t="shared" si="26"/>
        <v>Did Not</v>
      </c>
      <c r="G770" s="28"/>
      <c r="H770" s="28"/>
      <c r="I770" s="28"/>
      <c r="J770" s="28"/>
      <c r="K770" s="28"/>
      <c r="L770" s="28"/>
      <c r="M770" s="28"/>
      <c r="N770" s="21"/>
      <c r="O770" s="28"/>
      <c r="P770" s="38"/>
      <c r="Q770" s="21"/>
      <c r="R770" s="21"/>
      <c r="S770" s="47"/>
      <c r="T770" s="25">
        <f t="shared" si="25"/>
        <v>0</v>
      </c>
      <c r="U770" s="25" t="str">
        <f>IF('PART III-DEMOGRAPHICS'!Q780="","",'PART III-DEMOGRAPHICS'!Q780)</f>
        <v/>
      </c>
    </row>
    <row r="771" spans="1:21">
      <c r="A771" s="25" t="str">
        <f>IF('PART III-DEMOGRAPHICS'!A781="","",'PART III-DEMOGRAPHICS'!A781)</f>
        <v/>
      </c>
      <c r="B771" s="28"/>
      <c r="C771" s="27"/>
      <c r="D771" s="28"/>
      <c r="E771" s="21"/>
      <c r="F771" s="36" t="str">
        <f t="shared" si="26"/>
        <v>Did Not</v>
      </c>
      <c r="G771" s="28"/>
      <c r="H771" s="28"/>
      <c r="I771" s="28"/>
      <c r="J771" s="28"/>
      <c r="K771" s="28"/>
      <c r="L771" s="28"/>
      <c r="M771" s="28"/>
      <c r="N771" s="21"/>
      <c r="O771" s="28"/>
      <c r="P771" s="38"/>
      <c r="Q771" s="21"/>
      <c r="R771" s="21"/>
      <c r="S771" s="47"/>
      <c r="T771" s="25">
        <f t="shared" si="25"/>
        <v>0</v>
      </c>
      <c r="U771" s="25" t="str">
        <f>IF('PART III-DEMOGRAPHICS'!Q781="","",'PART III-DEMOGRAPHICS'!Q781)</f>
        <v/>
      </c>
    </row>
    <row r="772" spans="1:21">
      <c r="A772" s="25" t="str">
        <f>IF('PART III-DEMOGRAPHICS'!A782="","",'PART III-DEMOGRAPHICS'!A782)</f>
        <v/>
      </c>
      <c r="B772" s="28"/>
      <c r="C772" s="27"/>
      <c r="D772" s="28"/>
      <c r="E772" s="21"/>
      <c r="F772" s="36" t="str">
        <f t="shared" si="26"/>
        <v>Did Not</v>
      </c>
      <c r="G772" s="28"/>
      <c r="H772" s="28"/>
      <c r="I772" s="28"/>
      <c r="J772" s="28"/>
      <c r="K772" s="28"/>
      <c r="L772" s="28"/>
      <c r="M772" s="28"/>
      <c r="N772" s="21"/>
      <c r="O772" s="28"/>
      <c r="P772" s="38"/>
      <c r="Q772" s="21"/>
      <c r="R772" s="21"/>
      <c r="S772" s="47"/>
      <c r="T772" s="25">
        <f t="shared" si="25"/>
        <v>0</v>
      </c>
      <c r="U772" s="25" t="str">
        <f>IF('PART III-DEMOGRAPHICS'!Q782="","",'PART III-DEMOGRAPHICS'!Q782)</f>
        <v/>
      </c>
    </row>
    <row r="773" spans="1:21">
      <c r="A773" s="25" t="str">
        <f>IF('PART III-DEMOGRAPHICS'!A783="","",'PART III-DEMOGRAPHICS'!A783)</f>
        <v/>
      </c>
      <c r="B773" s="28"/>
      <c r="C773" s="27"/>
      <c r="D773" s="28"/>
      <c r="E773" s="21"/>
      <c r="F773" s="36" t="str">
        <f t="shared" si="26"/>
        <v>Did Not</v>
      </c>
      <c r="G773" s="28"/>
      <c r="H773" s="28"/>
      <c r="I773" s="28"/>
      <c r="J773" s="28"/>
      <c r="K773" s="28"/>
      <c r="L773" s="28"/>
      <c r="M773" s="28"/>
      <c r="N773" s="21"/>
      <c r="O773" s="28"/>
      <c r="P773" s="38"/>
      <c r="Q773" s="21"/>
      <c r="R773" s="21"/>
      <c r="S773" s="47"/>
      <c r="T773" s="25">
        <f t="shared" si="25"/>
        <v>0</v>
      </c>
      <c r="U773" s="25" t="str">
        <f>IF('PART III-DEMOGRAPHICS'!Q783="","",'PART III-DEMOGRAPHICS'!Q783)</f>
        <v/>
      </c>
    </row>
    <row r="774" spans="1:21">
      <c r="A774" s="25" t="str">
        <f>IF('PART III-DEMOGRAPHICS'!A784="","",'PART III-DEMOGRAPHICS'!A784)</f>
        <v/>
      </c>
      <c r="B774" s="28"/>
      <c r="C774" s="27"/>
      <c r="D774" s="28"/>
      <c r="E774" s="21"/>
      <c r="F774" s="36" t="str">
        <f t="shared" si="26"/>
        <v>Did Not</v>
      </c>
      <c r="G774" s="28"/>
      <c r="H774" s="28"/>
      <c r="I774" s="28"/>
      <c r="J774" s="28"/>
      <c r="K774" s="28"/>
      <c r="L774" s="28"/>
      <c r="M774" s="28"/>
      <c r="N774" s="21"/>
      <c r="O774" s="28"/>
      <c r="P774" s="38"/>
      <c r="Q774" s="21"/>
      <c r="R774" s="21"/>
      <c r="S774" s="47"/>
      <c r="T774" s="25">
        <f t="shared" si="25"/>
        <v>0</v>
      </c>
      <c r="U774" s="25" t="str">
        <f>IF('PART III-DEMOGRAPHICS'!Q784="","",'PART III-DEMOGRAPHICS'!Q784)</f>
        <v/>
      </c>
    </row>
    <row r="775" spans="1:21">
      <c r="A775" s="25" t="str">
        <f>IF('PART III-DEMOGRAPHICS'!A785="","",'PART III-DEMOGRAPHICS'!A785)</f>
        <v/>
      </c>
      <c r="B775" s="28"/>
      <c r="C775" s="27"/>
      <c r="D775" s="28"/>
      <c r="E775" s="21"/>
      <c r="F775" s="36" t="str">
        <f t="shared" si="26"/>
        <v>Did Not</v>
      </c>
      <c r="G775" s="28"/>
      <c r="H775" s="28"/>
      <c r="I775" s="28"/>
      <c r="J775" s="28"/>
      <c r="K775" s="28"/>
      <c r="L775" s="28"/>
      <c r="M775" s="28"/>
      <c r="N775" s="21"/>
      <c r="O775" s="28"/>
      <c r="P775" s="38"/>
      <c r="Q775" s="21"/>
      <c r="R775" s="21"/>
      <c r="S775" s="47"/>
      <c r="T775" s="25">
        <f t="shared" ref="T775:T838" si="27">COUNTIF(A775:R775,"Yes")</f>
        <v>0</v>
      </c>
      <c r="U775" s="25" t="str">
        <f>IF('PART III-DEMOGRAPHICS'!Q785="","",'PART III-DEMOGRAPHICS'!Q785)</f>
        <v/>
      </c>
    </row>
    <row r="776" spans="1:21">
      <c r="A776" s="25" t="str">
        <f>IF('PART III-DEMOGRAPHICS'!A786="","",'PART III-DEMOGRAPHICS'!A786)</f>
        <v/>
      </c>
      <c r="B776" s="28"/>
      <c r="C776" s="27"/>
      <c r="D776" s="28"/>
      <c r="E776" s="21"/>
      <c r="F776" s="36" t="str">
        <f t="shared" si="26"/>
        <v>Did Not</v>
      </c>
      <c r="G776" s="28"/>
      <c r="H776" s="28"/>
      <c r="I776" s="28"/>
      <c r="J776" s="28"/>
      <c r="K776" s="28"/>
      <c r="L776" s="28"/>
      <c r="M776" s="28"/>
      <c r="N776" s="21"/>
      <c r="O776" s="28"/>
      <c r="P776" s="38"/>
      <c r="Q776" s="21"/>
      <c r="R776" s="21"/>
      <c r="S776" s="47"/>
      <c r="T776" s="25">
        <f t="shared" si="27"/>
        <v>0</v>
      </c>
      <c r="U776" s="25" t="str">
        <f>IF('PART III-DEMOGRAPHICS'!Q786="","",'PART III-DEMOGRAPHICS'!Q786)</f>
        <v/>
      </c>
    </row>
    <row r="777" spans="1:21">
      <c r="A777" s="25" t="str">
        <f>IF('PART III-DEMOGRAPHICS'!A787="","",'PART III-DEMOGRAPHICS'!A787)</f>
        <v/>
      </c>
      <c r="B777" s="28"/>
      <c r="C777" s="27"/>
      <c r="D777" s="28"/>
      <c r="E777" s="21"/>
      <c r="F777" s="36" t="str">
        <f t="shared" si="26"/>
        <v>Did Not</v>
      </c>
      <c r="G777" s="28"/>
      <c r="H777" s="28"/>
      <c r="I777" s="28"/>
      <c r="J777" s="28"/>
      <c r="K777" s="28"/>
      <c r="L777" s="28"/>
      <c r="M777" s="28"/>
      <c r="N777" s="21"/>
      <c r="O777" s="28"/>
      <c r="P777" s="38"/>
      <c r="Q777" s="21"/>
      <c r="R777" s="21"/>
      <c r="S777" s="47"/>
      <c r="T777" s="25">
        <f t="shared" si="27"/>
        <v>0</v>
      </c>
      <c r="U777" s="25" t="str">
        <f>IF('PART III-DEMOGRAPHICS'!Q787="","",'PART III-DEMOGRAPHICS'!Q787)</f>
        <v/>
      </c>
    </row>
    <row r="778" spans="1:21">
      <c r="A778" s="25" t="str">
        <f>IF('PART III-DEMOGRAPHICS'!A788="","",'PART III-DEMOGRAPHICS'!A788)</f>
        <v/>
      </c>
      <c r="B778" s="28"/>
      <c r="C778" s="27"/>
      <c r="D778" s="28"/>
      <c r="E778" s="21"/>
      <c r="F778" s="36" t="str">
        <f t="shared" si="26"/>
        <v>Did Not</v>
      </c>
      <c r="G778" s="28"/>
      <c r="H778" s="28"/>
      <c r="I778" s="28"/>
      <c r="J778" s="28"/>
      <c r="K778" s="28"/>
      <c r="L778" s="28"/>
      <c r="M778" s="28"/>
      <c r="N778" s="21"/>
      <c r="O778" s="28"/>
      <c r="P778" s="38"/>
      <c r="Q778" s="21"/>
      <c r="R778" s="21"/>
      <c r="S778" s="47"/>
      <c r="T778" s="25">
        <f t="shared" si="27"/>
        <v>0</v>
      </c>
      <c r="U778" s="25" t="str">
        <f>IF('PART III-DEMOGRAPHICS'!Q788="","",'PART III-DEMOGRAPHICS'!Q788)</f>
        <v/>
      </c>
    </row>
    <row r="779" spans="1:21">
      <c r="A779" s="25" t="str">
        <f>IF('PART III-DEMOGRAPHICS'!A789="","",'PART III-DEMOGRAPHICS'!A789)</f>
        <v/>
      </c>
      <c r="B779" s="28"/>
      <c r="C779" s="27"/>
      <c r="D779" s="28"/>
      <c r="E779" s="21"/>
      <c r="F779" s="36" t="str">
        <f t="shared" si="26"/>
        <v>Did Not</v>
      </c>
      <c r="G779" s="28"/>
      <c r="H779" s="28"/>
      <c r="I779" s="28"/>
      <c r="J779" s="28"/>
      <c r="K779" s="28"/>
      <c r="L779" s="28"/>
      <c r="M779" s="28"/>
      <c r="N779" s="21"/>
      <c r="O779" s="28"/>
      <c r="P779" s="38"/>
      <c r="Q779" s="21"/>
      <c r="R779" s="21"/>
      <c r="S779" s="47"/>
      <c r="T779" s="25">
        <f t="shared" si="27"/>
        <v>0</v>
      </c>
      <c r="U779" s="25" t="str">
        <f>IF('PART III-DEMOGRAPHICS'!Q789="","",'PART III-DEMOGRAPHICS'!Q789)</f>
        <v/>
      </c>
    </row>
    <row r="780" spans="1:21">
      <c r="A780" s="25" t="str">
        <f>IF('PART III-DEMOGRAPHICS'!A790="","",'PART III-DEMOGRAPHICS'!A790)</f>
        <v/>
      </c>
      <c r="B780" s="28"/>
      <c r="C780" s="27"/>
      <c r="D780" s="28"/>
      <c r="E780" s="21"/>
      <c r="F780" s="36" t="str">
        <f t="shared" si="26"/>
        <v>Did Not</v>
      </c>
      <c r="G780" s="28"/>
      <c r="H780" s="28"/>
      <c r="I780" s="28"/>
      <c r="J780" s="28"/>
      <c r="K780" s="28"/>
      <c r="L780" s="28"/>
      <c r="M780" s="28"/>
      <c r="N780" s="21"/>
      <c r="O780" s="28"/>
      <c r="P780" s="38"/>
      <c r="Q780" s="21"/>
      <c r="R780" s="21"/>
      <c r="S780" s="47"/>
      <c r="T780" s="25">
        <f t="shared" si="27"/>
        <v>0</v>
      </c>
      <c r="U780" s="25" t="str">
        <f>IF('PART III-DEMOGRAPHICS'!Q790="","",'PART III-DEMOGRAPHICS'!Q790)</f>
        <v/>
      </c>
    </row>
    <row r="781" spans="1:21">
      <c r="A781" s="25" t="str">
        <f>IF('PART III-DEMOGRAPHICS'!A791="","",'PART III-DEMOGRAPHICS'!A791)</f>
        <v/>
      </c>
      <c r="B781" s="28"/>
      <c r="C781" s="27"/>
      <c r="D781" s="28"/>
      <c r="E781" s="21"/>
      <c r="F781" s="36" t="str">
        <f t="shared" si="26"/>
        <v>Did Not</v>
      </c>
      <c r="G781" s="28"/>
      <c r="H781" s="28"/>
      <c r="I781" s="28"/>
      <c r="J781" s="28"/>
      <c r="K781" s="28"/>
      <c r="L781" s="28"/>
      <c r="M781" s="28"/>
      <c r="N781" s="21"/>
      <c r="O781" s="28"/>
      <c r="P781" s="38"/>
      <c r="Q781" s="21"/>
      <c r="R781" s="21"/>
      <c r="S781" s="47"/>
      <c r="T781" s="25">
        <f t="shared" si="27"/>
        <v>0</v>
      </c>
      <c r="U781" s="25" t="str">
        <f>IF('PART III-DEMOGRAPHICS'!Q791="","",'PART III-DEMOGRAPHICS'!Q791)</f>
        <v/>
      </c>
    </row>
    <row r="782" spans="1:21">
      <c r="A782" s="25" t="str">
        <f>IF('PART III-DEMOGRAPHICS'!A792="","",'PART III-DEMOGRAPHICS'!A792)</f>
        <v/>
      </c>
      <c r="B782" s="28"/>
      <c r="C782" s="27"/>
      <c r="D782" s="28"/>
      <c r="E782" s="21"/>
      <c r="F782" s="36" t="str">
        <f t="shared" ref="F782:F845" si="28">IF(OR(G782="Yes",H782="Yes",I782="Yes",J782="Yes",K782="Yes",L782="Yes",M782="Yes"),"Did","Did Not")</f>
        <v>Did Not</v>
      </c>
      <c r="G782" s="28"/>
      <c r="H782" s="28"/>
      <c r="I782" s="28"/>
      <c r="J782" s="28"/>
      <c r="K782" s="28"/>
      <c r="L782" s="28"/>
      <c r="M782" s="28"/>
      <c r="N782" s="21"/>
      <c r="O782" s="28"/>
      <c r="P782" s="38"/>
      <c r="Q782" s="21"/>
      <c r="R782" s="21"/>
      <c r="S782" s="47"/>
      <c r="T782" s="25">
        <f t="shared" si="27"/>
        <v>0</v>
      </c>
      <c r="U782" s="25" t="str">
        <f>IF('PART III-DEMOGRAPHICS'!Q792="","",'PART III-DEMOGRAPHICS'!Q792)</f>
        <v/>
      </c>
    </row>
    <row r="783" spans="1:21">
      <c r="A783" s="25" t="str">
        <f>IF('PART III-DEMOGRAPHICS'!A793="","",'PART III-DEMOGRAPHICS'!A793)</f>
        <v/>
      </c>
      <c r="B783" s="28"/>
      <c r="C783" s="27"/>
      <c r="D783" s="28"/>
      <c r="E783" s="21"/>
      <c r="F783" s="36" t="str">
        <f t="shared" si="28"/>
        <v>Did Not</v>
      </c>
      <c r="G783" s="28"/>
      <c r="H783" s="28"/>
      <c r="I783" s="28"/>
      <c r="J783" s="28"/>
      <c r="K783" s="28"/>
      <c r="L783" s="28"/>
      <c r="M783" s="28"/>
      <c r="N783" s="21"/>
      <c r="O783" s="28"/>
      <c r="P783" s="38"/>
      <c r="Q783" s="21"/>
      <c r="R783" s="21"/>
      <c r="S783" s="47"/>
      <c r="T783" s="25">
        <f t="shared" si="27"/>
        <v>0</v>
      </c>
      <c r="U783" s="25" t="str">
        <f>IF('PART III-DEMOGRAPHICS'!Q793="","",'PART III-DEMOGRAPHICS'!Q793)</f>
        <v/>
      </c>
    </row>
    <row r="784" spans="1:21">
      <c r="A784" s="25" t="str">
        <f>IF('PART III-DEMOGRAPHICS'!A794="","",'PART III-DEMOGRAPHICS'!A794)</f>
        <v/>
      </c>
      <c r="B784" s="28"/>
      <c r="C784" s="27"/>
      <c r="D784" s="28"/>
      <c r="E784" s="21"/>
      <c r="F784" s="36" t="str">
        <f t="shared" si="28"/>
        <v>Did Not</v>
      </c>
      <c r="G784" s="28"/>
      <c r="H784" s="28"/>
      <c r="I784" s="28"/>
      <c r="J784" s="28"/>
      <c r="K784" s="28"/>
      <c r="L784" s="28"/>
      <c r="M784" s="28"/>
      <c r="N784" s="21"/>
      <c r="O784" s="28"/>
      <c r="P784" s="38"/>
      <c r="Q784" s="21"/>
      <c r="R784" s="21"/>
      <c r="S784" s="47"/>
      <c r="T784" s="25">
        <f t="shared" si="27"/>
        <v>0</v>
      </c>
      <c r="U784" s="25" t="str">
        <f>IF('PART III-DEMOGRAPHICS'!Q794="","",'PART III-DEMOGRAPHICS'!Q794)</f>
        <v/>
      </c>
    </row>
    <row r="785" spans="1:21">
      <c r="A785" s="25" t="str">
        <f>IF('PART III-DEMOGRAPHICS'!A795="","",'PART III-DEMOGRAPHICS'!A795)</f>
        <v/>
      </c>
      <c r="B785" s="28"/>
      <c r="C785" s="27"/>
      <c r="D785" s="28"/>
      <c r="E785" s="21"/>
      <c r="F785" s="36" t="str">
        <f t="shared" si="28"/>
        <v>Did Not</v>
      </c>
      <c r="G785" s="28"/>
      <c r="H785" s="28"/>
      <c r="I785" s="28"/>
      <c r="J785" s="28"/>
      <c r="K785" s="28"/>
      <c r="L785" s="28"/>
      <c r="M785" s="28"/>
      <c r="N785" s="21"/>
      <c r="O785" s="28"/>
      <c r="P785" s="38"/>
      <c r="Q785" s="21"/>
      <c r="R785" s="21"/>
      <c r="S785" s="47"/>
      <c r="T785" s="25">
        <f t="shared" si="27"/>
        <v>0</v>
      </c>
      <c r="U785" s="25" t="str">
        <f>IF('PART III-DEMOGRAPHICS'!Q795="","",'PART III-DEMOGRAPHICS'!Q795)</f>
        <v/>
      </c>
    </row>
    <row r="786" spans="1:21">
      <c r="A786" s="25" t="str">
        <f>IF('PART III-DEMOGRAPHICS'!A796="","",'PART III-DEMOGRAPHICS'!A796)</f>
        <v/>
      </c>
      <c r="B786" s="28"/>
      <c r="C786" s="27"/>
      <c r="D786" s="28"/>
      <c r="E786" s="21"/>
      <c r="F786" s="36" t="str">
        <f t="shared" si="28"/>
        <v>Did Not</v>
      </c>
      <c r="G786" s="28"/>
      <c r="H786" s="28"/>
      <c r="I786" s="28"/>
      <c r="J786" s="28"/>
      <c r="K786" s="28"/>
      <c r="L786" s="28"/>
      <c r="M786" s="28"/>
      <c r="N786" s="21"/>
      <c r="O786" s="28"/>
      <c r="P786" s="38"/>
      <c r="Q786" s="21"/>
      <c r="R786" s="21"/>
      <c r="S786" s="47"/>
      <c r="T786" s="25">
        <f t="shared" si="27"/>
        <v>0</v>
      </c>
      <c r="U786" s="25" t="str">
        <f>IF('PART III-DEMOGRAPHICS'!Q796="","",'PART III-DEMOGRAPHICS'!Q796)</f>
        <v/>
      </c>
    </row>
    <row r="787" spans="1:21">
      <c r="A787" s="25" t="str">
        <f>IF('PART III-DEMOGRAPHICS'!A797="","",'PART III-DEMOGRAPHICS'!A797)</f>
        <v/>
      </c>
      <c r="B787" s="28"/>
      <c r="C787" s="27"/>
      <c r="D787" s="28"/>
      <c r="E787" s="21"/>
      <c r="F787" s="36" t="str">
        <f t="shared" si="28"/>
        <v>Did Not</v>
      </c>
      <c r="G787" s="28"/>
      <c r="H787" s="28"/>
      <c r="I787" s="28"/>
      <c r="J787" s="28"/>
      <c r="K787" s="28"/>
      <c r="L787" s="28"/>
      <c r="M787" s="28"/>
      <c r="N787" s="21"/>
      <c r="O787" s="28"/>
      <c r="P787" s="38"/>
      <c r="Q787" s="21"/>
      <c r="R787" s="21"/>
      <c r="S787" s="47"/>
      <c r="T787" s="25">
        <f t="shared" si="27"/>
        <v>0</v>
      </c>
      <c r="U787" s="25" t="str">
        <f>IF('PART III-DEMOGRAPHICS'!Q797="","",'PART III-DEMOGRAPHICS'!Q797)</f>
        <v/>
      </c>
    </row>
    <row r="788" spans="1:21">
      <c r="A788" s="25" t="str">
        <f>IF('PART III-DEMOGRAPHICS'!A798="","",'PART III-DEMOGRAPHICS'!A798)</f>
        <v/>
      </c>
      <c r="B788" s="28"/>
      <c r="C788" s="27"/>
      <c r="D788" s="28"/>
      <c r="E788" s="21"/>
      <c r="F788" s="36" t="str">
        <f t="shared" si="28"/>
        <v>Did Not</v>
      </c>
      <c r="G788" s="28"/>
      <c r="H788" s="28"/>
      <c r="I788" s="28"/>
      <c r="J788" s="28"/>
      <c r="K788" s="28"/>
      <c r="L788" s="28"/>
      <c r="M788" s="28"/>
      <c r="N788" s="21"/>
      <c r="O788" s="28"/>
      <c r="P788" s="38"/>
      <c r="Q788" s="21"/>
      <c r="R788" s="21"/>
      <c r="S788" s="47"/>
      <c r="T788" s="25">
        <f t="shared" si="27"/>
        <v>0</v>
      </c>
      <c r="U788" s="25" t="str">
        <f>IF('PART III-DEMOGRAPHICS'!Q798="","",'PART III-DEMOGRAPHICS'!Q798)</f>
        <v/>
      </c>
    </row>
    <row r="789" spans="1:21">
      <c r="A789" s="25" t="str">
        <f>IF('PART III-DEMOGRAPHICS'!A799="","",'PART III-DEMOGRAPHICS'!A799)</f>
        <v/>
      </c>
      <c r="B789" s="28"/>
      <c r="C789" s="27"/>
      <c r="D789" s="28"/>
      <c r="E789" s="21"/>
      <c r="F789" s="36" t="str">
        <f t="shared" si="28"/>
        <v>Did Not</v>
      </c>
      <c r="G789" s="28"/>
      <c r="H789" s="28"/>
      <c r="I789" s="28"/>
      <c r="J789" s="28"/>
      <c r="K789" s="28"/>
      <c r="L789" s="28"/>
      <c r="M789" s="28"/>
      <c r="N789" s="21"/>
      <c r="O789" s="28"/>
      <c r="P789" s="38"/>
      <c r="Q789" s="21"/>
      <c r="R789" s="21"/>
      <c r="S789" s="47"/>
      <c r="T789" s="25">
        <f t="shared" si="27"/>
        <v>0</v>
      </c>
      <c r="U789" s="25" t="str">
        <f>IF('PART III-DEMOGRAPHICS'!Q799="","",'PART III-DEMOGRAPHICS'!Q799)</f>
        <v/>
      </c>
    </row>
    <row r="790" spans="1:21">
      <c r="A790" s="25" t="str">
        <f>IF('PART III-DEMOGRAPHICS'!A800="","",'PART III-DEMOGRAPHICS'!A800)</f>
        <v/>
      </c>
      <c r="B790" s="28"/>
      <c r="C790" s="27"/>
      <c r="D790" s="28"/>
      <c r="E790" s="21"/>
      <c r="F790" s="36" t="str">
        <f t="shared" si="28"/>
        <v>Did Not</v>
      </c>
      <c r="G790" s="28"/>
      <c r="H790" s="28"/>
      <c r="I790" s="28"/>
      <c r="J790" s="28"/>
      <c r="K790" s="28"/>
      <c r="L790" s="28"/>
      <c r="M790" s="28"/>
      <c r="N790" s="21"/>
      <c r="O790" s="28"/>
      <c r="P790" s="38"/>
      <c r="Q790" s="21"/>
      <c r="R790" s="21"/>
      <c r="S790" s="47"/>
      <c r="T790" s="25">
        <f t="shared" si="27"/>
        <v>0</v>
      </c>
      <c r="U790" s="25" t="str">
        <f>IF('PART III-DEMOGRAPHICS'!Q800="","",'PART III-DEMOGRAPHICS'!Q800)</f>
        <v/>
      </c>
    </row>
    <row r="791" spans="1:21">
      <c r="A791" s="25" t="str">
        <f>IF('PART III-DEMOGRAPHICS'!A801="","",'PART III-DEMOGRAPHICS'!A801)</f>
        <v/>
      </c>
      <c r="B791" s="28"/>
      <c r="C791" s="27"/>
      <c r="D791" s="28"/>
      <c r="E791" s="21"/>
      <c r="F791" s="36" t="str">
        <f t="shared" si="28"/>
        <v>Did Not</v>
      </c>
      <c r="G791" s="28"/>
      <c r="H791" s="28"/>
      <c r="I791" s="28"/>
      <c r="J791" s="28"/>
      <c r="K791" s="28"/>
      <c r="L791" s="28"/>
      <c r="M791" s="28"/>
      <c r="N791" s="21"/>
      <c r="O791" s="28"/>
      <c r="P791" s="38"/>
      <c r="Q791" s="21"/>
      <c r="R791" s="21"/>
      <c r="S791" s="47"/>
      <c r="T791" s="25">
        <f t="shared" si="27"/>
        <v>0</v>
      </c>
      <c r="U791" s="25" t="str">
        <f>IF('PART III-DEMOGRAPHICS'!Q801="","",'PART III-DEMOGRAPHICS'!Q801)</f>
        <v/>
      </c>
    </row>
    <row r="792" spans="1:21">
      <c r="A792" s="25" t="str">
        <f>IF('PART III-DEMOGRAPHICS'!A802="","",'PART III-DEMOGRAPHICS'!A802)</f>
        <v/>
      </c>
      <c r="B792" s="28"/>
      <c r="C792" s="27"/>
      <c r="D792" s="28"/>
      <c r="E792" s="21"/>
      <c r="F792" s="36" t="str">
        <f t="shared" si="28"/>
        <v>Did Not</v>
      </c>
      <c r="G792" s="28"/>
      <c r="H792" s="28"/>
      <c r="I792" s="28"/>
      <c r="J792" s="28"/>
      <c r="K792" s="28"/>
      <c r="L792" s="28"/>
      <c r="M792" s="28"/>
      <c r="N792" s="21"/>
      <c r="O792" s="28"/>
      <c r="P792" s="38"/>
      <c r="Q792" s="21"/>
      <c r="R792" s="21"/>
      <c r="S792" s="47"/>
      <c r="T792" s="25">
        <f t="shared" si="27"/>
        <v>0</v>
      </c>
      <c r="U792" s="25" t="str">
        <f>IF('PART III-DEMOGRAPHICS'!Q802="","",'PART III-DEMOGRAPHICS'!Q802)</f>
        <v/>
      </c>
    </row>
    <row r="793" spans="1:21">
      <c r="A793" s="25" t="str">
        <f>IF('PART III-DEMOGRAPHICS'!A803="","",'PART III-DEMOGRAPHICS'!A803)</f>
        <v/>
      </c>
      <c r="B793" s="28"/>
      <c r="C793" s="27"/>
      <c r="D793" s="28"/>
      <c r="E793" s="21"/>
      <c r="F793" s="36" t="str">
        <f t="shared" si="28"/>
        <v>Did Not</v>
      </c>
      <c r="G793" s="28"/>
      <c r="H793" s="28"/>
      <c r="I793" s="28"/>
      <c r="J793" s="28"/>
      <c r="K793" s="28"/>
      <c r="L793" s="28"/>
      <c r="M793" s="28"/>
      <c r="N793" s="21"/>
      <c r="O793" s="28"/>
      <c r="P793" s="38"/>
      <c r="Q793" s="21"/>
      <c r="R793" s="21"/>
      <c r="S793" s="47"/>
      <c r="T793" s="25">
        <f t="shared" si="27"/>
        <v>0</v>
      </c>
      <c r="U793" s="25" t="str">
        <f>IF('PART III-DEMOGRAPHICS'!Q803="","",'PART III-DEMOGRAPHICS'!Q803)</f>
        <v/>
      </c>
    </row>
    <row r="794" spans="1:21">
      <c r="A794" s="25" t="str">
        <f>IF('PART III-DEMOGRAPHICS'!A804="","",'PART III-DEMOGRAPHICS'!A804)</f>
        <v/>
      </c>
      <c r="B794" s="28"/>
      <c r="C794" s="27"/>
      <c r="D794" s="28"/>
      <c r="E794" s="21"/>
      <c r="F794" s="36" t="str">
        <f t="shared" si="28"/>
        <v>Did Not</v>
      </c>
      <c r="G794" s="28"/>
      <c r="H794" s="28"/>
      <c r="I794" s="28"/>
      <c r="J794" s="28"/>
      <c r="K794" s="28"/>
      <c r="L794" s="28"/>
      <c r="M794" s="28"/>
      <c r="N794" s="21"/>
      <c r="O794" s="28"/>
      <c r="P794" s="38"/>
      <c r="Q794" s="21"/>
      <c r="R794" s="21"/>
      <c r="S794" s="47"/>
      <c r="T794" s="25">
        <f t="shared" si="27"/>
        <v>0</v>
      </c>
      <c r="U794" s="25" t="str">
        <f>IF('PART III-DEMOGRAPHICS'!Q804="","",'PART III-DEMOGRAPHICS'!Q804)</f>
        <v/>
      </c>
    </row>
    <row r="795" spans="1:21">
      <c r="A795" s="25" t="str">
        <f>IF('PART III-DEMOGRAPHICS'!A805="","",'PART III-DEMOGRAPHICS'!A805)</f>
        <v/>
      </c>
      <c r="B795" s="28"/>
      <c r="C795" s="27"/>
      <c r="D795" s="28"/>
      <c r="E795" s="21"/>
      <c r="F795" s="36" t="str">
        <f t="shared" si="28"/>
        <v>Did Not</v>
      </c>
      <c r="G795" s="28"/>
      <c r="H795" s="28"/>
      <c r="I795" s="28"/>
      <c r="J795" s="28"/>
      <c r="K795" s="28"/>
      <c r="L795" s="28"/>
      <c r="M795" s="28"/>
      <c r="N795" s="21"/>
      <c r="O795" s="28"/>
      <c r="P795" s="38"/>
      <c r="Q795" s="21"/>
      <c r="R795" s="21"/>
      <c r="S795" s="47"/>
      <c r="T795" s="25">
        <f t="shared" si="27"/>
        <v>0</v>
      </c>
      <c r="U795" s="25" t="str">
        <f>IF('PART III-DEMOGRAPHICS'!Q805="","",'PART III-DEMOGRAPHICS'!Q805)</f>
        <v/>
      </c>
    </row>
    <row r="796" spans="1:21">
      <c r="A796" s="25" t="str">
        <f>IF('PART III-DEMOGRAPHICS'!A806="","",'PART III-DEMOGRAPHICS'!A806)</f>
        <v/>
      </c>
      <c r="B796" s="28"/>
      <c r="C796" s="27"/>
      <c r="D796" s="28"/>
      <c r="E796" s="21"/>
      <c r="F796" s="36" t="str">
        <f t="shared" si="28"/>
        <v>Did Not</v>
      </c>
      <c r="G796" s="28"/>
      <c r="H796" s="28"/>
      <c r="I796" s="28"/>
      <c r="J796" s="28"/>
      <c r="K796" s="28"/>
      <c r="L796" s="28"/>
      <c r="M796" s="28"/>
      <c r="N796" s="21"/>
      <c r="O796" s="28"/>
      <c r="P796" s="38"/>
      <c r="Q796" s="21"/>
      <c r="R796" s="21"/>
      <c r="S796" s="47"/>
      <c r="T796" s="25">
        <f t="shared" si="27"/>
        <v>0</v>
      </c>
      <c r="U796" s="25" t="str">
        <f>IF('PART III-DEMOGRAPHICS'!Q806="","",'PART III-DEMOGRAPHICS'!Q806)</f>
        <v/>
      </c>
    </row>
    <row r="797" spans="1:21">
      <c r="A797" s="25" t="str">
        <f>IF('PART III-DEMOGRAPHICS'!A807="","",'PART III-DEMOGRAPHICS'!A807)</f>
        <v/>
      </c>
      <c r="B797" s="28"/>
      <c r="C797" s="27"/>
      <c r="D797" s="28"/>
      <c r="E797" s="21"/>
      <c r="F797" s="36" t="str">
        <f t="shared" si="28"/>
        <v>Did Not</v>
      </c>
      <c r="G797" s="28"/>
      <c r="H797" s="28"/>
      <c r="I797" s="28"/>
      <c r="J797" s="28"/>
      <c r="K797" s="28"/>
      <c r="L797" s="28"/>
      <c r="M797" s="28"/>
      <c r="N797" s="21"/>
      <c r="O797" s="28"/>
      <c r="P797" s="38"/>
      <c r="Q797" s="21"/>
      <c r="R797" s="21"/>
      <c r="S797" s="47"/>
      <c r="T797" s="25">
        <f t="shared" si="27"/>
        <v>0</v>
      </c>
      <c r="U797" s="25" t="str">
        <f>IF('PART III-DEMOGRAPHICS'!Q807="","",'PART III-DEMOGRAPHICS'!Q807)</f>
        <v/>
      </c>
    </row>
    <row r="798" spans="1:21">
      <c r="A798" s="25" t="str">
        <f>IF('PART III-DEMOGRAPHICS'!A808="","",'PART III-DEMOGRAPHICS'!A808)</f>
        <v/>
      </c>
      <c r="B798" s="28"/>
      <c r="C798" s="27"/>
      <c r="D798" s="28"/>
      <c r="E798" s="21"/>
      <c r="F798" s="36" t="str">
        <f t="shared" si="28"/>
        <v>Did Not</v>
      </c>
      <c r="G798" s="28"/>
      <c r="H798" s="28"/>
      <c r="I798" s="28"/>
      <c r="J798" s="28"/>
      <c r="K798" s="28"/>
      <c r="L798" s="28"/>
      <c r="M798" s="28"/>
      <c r="N798" s="21"/>
      <c r="O798" s="28"/>
      <c r="P798" s="38"/>
      <c r="Q798" s="21"/>
      <c r="R798" s="21"/>
      <c r="S798" s="47"/>
      <c r="T798" s="25">
        <f t="shared" si="27"/>
        <v>0</v>
      </c>
      <c r="U798" s="25" t="str">
        <f>IF('PART III-DEMOGRAPHICS'!Q808="","",'PART III-DEMOGRAPHICS'!Q808)</f>
        <v/>
      </c>
    </row>
    <row r="799" spans="1:21">
      <c r="A799" s="25" t="str">
        <f>IF('PART III-DEMOGRAPHICS'!A809="","",'PART III-DEMOGRAPHICS'!A809)</f>
        <v/>
      </c>
      <c r="B799" s="28"/>
      <c r="C799" s="27"/>
      <c r="D799" s="28"/>
      <c r="E799" s="21"/>
      <c r="F799" s="36" t="str">
        <f t="shared" si="28"/>
        <v>Did Not</v>
      </c>
      <c r="G799" s="28"/>
      <c r="H799" s="28"/>
      <c r="I799" s="28"/>
      <c r="J799" s="28"/>
      <c r="K799" s="28"/>
      <c r="L799" s="28"/>
      <c r="M799" s="28"/>
      <c r="N799" s="21"/>
      <c r="O799" s="28"/>
      <c r="P799" s="38"/>
      <c r="Q799" s="21"/>
      <c r="R799" s="21"/>
      <c r="S799" s="47"/>
      <c r="T799" s="25">
        <f t="shared" si="27"/>
        <v>0</v>
      </c>
      <c r="U799" s="25" t="str">
        <f>IF('PART III-DEMOGRAPHICS'!Q809="","",'PART III-DEMOGRAPHICS'!Q809)</f>
        <v/>
      </c>
    </row>
    <row r="800" spans="1:21">
      <c r="A800" s="25" t="str">
        <f>IF('PART III-DEMOGRAPHICS'!A810="","",'PART III-DEMOGRAPHICS'!A810)</f>
        <v/>
      </c>
      <c r="B800" s="28"/>
      <c r="C800" s="27"/>
      <c r="D800" s="28"/>
      <c r="E800" s="21"/>
      <c r="F800" s="36" t="str">
        <f t="shared" si="28"/>
        <v>Did Not</v>
      </c>
      <c r="G800" s="28"/>
      <c r="H800" s="28"/>
      <c r="I800" s="28"/>
      <c r="J800" s="28"/>
      <c r="K800" s="28"/>
      <c r="L800" s="28"/>
      <c r="M800" s="28"/>
      <c r="N800" s="21"/>
      <c r="O800" s="28"/>
      <c r="P800" s="38"/>
      <c r="Q800" s="21"/>
      <c r="R800" s="21"/>
      <c r="S800" s="47"/>
      <c r="T800" s="25">
        <f t="shared" si="27"/>
        <v>0</v>
      </c>
      <c r="U800" s="25" t="str">
        <f>IF('PART III-DEMOGRAPHICS'!Q810="","",'PART III-DEMOGRAPHICS'!Q810)</f>
        <v/>
      </c>
    </row>
    <row r="801" spans="1:21">
      <c r="A801" s="25" t="str">
        <f>IF('PART III-DEMOGRAPHICS'!A811="","",'PART III-DEMOGRAPHICS'!A811)</f>
        <v/>
      </c>
      <c r="B801" s="28"/>
      <c r="C801" s="27"/>
      <c r="D801" s="28"/>
      <c r="E801" s="21"/>
      <c r="F801" s="36" t="str">
        <f t="shared" si="28"/>
        <v>Did Not</v>
      </c>
      <c r="G801" s="28"/>
      <c r="H801" s="28"/>
      <c r="I801" s="28"/>
      <c r="J801" s="28"/>
      <c r="K801" s="28"/>
      <c r="L801" s="28"/>
      <c r="M801" s="28"/>
      <c r="N801" s="21"/>
      <c r="O801" s="28"/>
      <c r="P801" s="38"/>
      <c r="Q801" s="21"/>
      <c r="R801" s="21"/>
      <c r="S801" s="47"/>
      <c r="T801" s="25">
        <f t="shared" si="27"/>
        <v>0</v>
      </c>
      <c r="U801" s="25" t="str">
        <f>IF('PART III-DEMOGRAPHICS'!Q811="","",'PART III-DEMOGRAPHICS'!Q811)</f>
        <v/>
      </c>
    </row>
    <row r="802" spans="1:21">
      <c r="A802" s="25" t="str">
        <f>IF('PART III-DEMOGRAPHICS'!A812="","",'PART III-DEMOGRAPHICS'!A812)</f>
        <v/>
      </c>
      <c r="B802" s="28"/>
      <c r="C802" s="27"/>
      <c r="D802" s="28"/>
      <c r="E802" s="21"/>
      <c r="F802" s="36" t="str">
        <f t="shared" si="28"/>
        <v>Did Not</v>
      </c>
      <c r="G802" s="28"/>
      <c r="H802" s="28"/>
      <c r="I802" s="28"/>
      <c r="J802" s="28"/>
      <c r="K802" s="28"/>
      <c r="L802" s="28"/>
      <c r="M802" s="28"/>
      <c r="N802" s="21"/>
      <c r="O802" s="28"/>
      <c r="P802" s="38"/>
      <c r="Q802" s="21"/>
      <c r="R802" s="21"/>
      <c r="S802" s="47"/>
      <c r="T802" s="25">
        <f t="shared" si="27"/>
        <v>0</v>
      </c>
      <c r="U802" s="25" t="str">
        <f>IF('PART III-DEMOGRAPHICS'!Q812="","",'PART III-DEMOGRAPHICS'!Q812)</f>
        <v/>
      </c>
    </row>
    <row r="803" spans="1:21">
      <c r="A803" s="25" t="str">
        <f>IF('PART III-DEMOGRAPHICS'!A813="","",'PART III-DEMOGRAPHICS'!A813)</f>
        <v/>
      </c>
      <c r="B803" s="28"/>
      <c r="C803" s="27"/>
      <c r="D803" s="28"/>
      <c r="E803" s="21"/>
      <c r="F803" s="36" t="str">
        <f t="shared" si="28"/>
        <v>Did Not</v>
      </c>
      <c r="G803" s="28"/>
      <c r="H803" s="28"/>
      <c r="I803" s="28"/>
      <c r="J803" s="28"/>
      <c r="K803" s="28"/>
      <c r="L803" s="28"/>
      <c r="M803" s="28"/>
      <c r="N803" s="21"/>
      <c r="O803" s="28"/>
      <c r="P803" s="38"/>
      <c r="Q803" s="21"/>
      <c r="R803" s="21"/>
      <c r="S803" s="47"/>
      <c r="T803" s="25">
        <f t="shared" si="27"/>
        <v>0</v>
      </c>
      <c r="U803" s="25" t="str">
        <f>IF('PART III-DEMOGRAPHICS'!Q813="","",'PART III-DEMOGRAPHICS'!Q813)</f>
        <v/>
      </c>
    </row>
    <row r="804" spans="1:21">
      <c r="A804" s="25" t="str">
        <f>IF('PART III-DEMOGRAPHICS'!A814="","",'PART III-DEMOGRAPHICS'!A814)</f>
        <v/>
      </c>
      <c r="B804" s="28"/>
      <c r="C804" s="27"/>
      <c r="D804" s="28"/>
      <c r="E804" s="21"/>
      <c r="F804" s="36" t="str">
        <f t="shared" si="28"/>
        <v>Did Not</v>
      </c>
      <c r="G804" s="28"/>
      <c r="H804" s="28"/>
      <c r="I804" s="28"/>
      <c r="J804" s="28"/>
      <c r="K804" s="28"/>
      <c r="L804" s="28"/>
      <c r="M804" s="28"/>
      <c r="N804" s="21"/>
      <c r="O804" s="28"/>
      <c r="P804" s="38"/>
      <c r="Q804" s="21"/>
      <c r="R804" s="21"/>
      <c r="S804" s="47"/>
      <c r="T804" s="25">
        <f t="shared" si="27"/>
        <v>0</v>
      </c>
      <c r="U804" s="25" t="str">
        <f>IF('PART III-DEMOGRAPHICS'!Q814="","",'PART III-DEMOGRAPHICS'!Q814)</f>
        <v/>
      </c>
    </row>
    <row r="805" spans="1:21">
      <c r="A805" s="25" t="str">
        <f>IF('PART III-DEMOGRAPHICS'!A815="","",'PART III-DEMOGRAPHICS'!A815)</f>
        <v/>
      </c>
      <c r="B805" s="28"/>
      <c r="C805" s="27"/>
      <c r="D805" s="28"/>
      <c r="E805" s="21"/>
      <c r="F805" s="36" t="str">
        <f t="shared" si="28"/>
        <v>Did Not</v>
      </c>
      <c r="G805" s="28"/>
      <c r="H805" s="28"/>
      <c r="I805" s="28"/>
      <c r="J805" s="28"/>
      <c r="K805" s="28"/>
      <c r="L805" s="28"/>
      <c r="M805" s="28"/>
      <c r="N805" s="21"/>
      <c r="O805" s="28"/>
      <c r="P805" s="38"/>
      <c r="Q805" s="21"/>
      <c r="R805" s="21"/>
      <c r="S805" s="47"/>
      <c r="T805" s="25">
        <f t="shared" si="27"/>
        <v>0</v>
      </c>
      <c r="U805" s="25" t="str">
        <f>IF('PART III-DEMOGRAPHICS'!Q815="","",'PART III-DEMOGRAPHICS'!Q815)</f>
        <v/>
      </c>
    </row>
    <row r="806" spans="1:21">
      <c r="A806" s="25" t="str">
        <f>IF('PART III-DEMOGRAPHICS'!A816="","",'PART III-DEMOGRAPHICS'!A816)</f>
        <v/>
      </c>
      <c r="B806" s="28"/>
      <c r="C806" s="27"/>
      <c r="D806" s="28"/>
      <c r="E806" s="21"/>
      <c r="F806" s="36" t="str">
        <f t="shared" si="28"/>
        <v>Did Not</v>
      </c>
      <c r="G806" s="28"/>
      <c r="H806" s="28"/>
      <c r="I806" s="28"/>
      <c r="J806" s="28"/>
      <c r="K806" s="28"/>
      <c r="L806" s="28"/>
      <c r="M806" s="28"/>
      <c r="N806" s="21"/>
      <c r="O806" s="28"/>
      <c r="P806" s="38"/>
      <c r="Q806" s="21"/>
      <c r="R806" s="21"/>
      <c r="S806" s="47"/>
      <c r="T806" s="25">
        <f t="shared" si="27"/>
        <v>0</v>
      </c>
      <c r="U806" s="25" t="str">
        <f>IF('PART III-DEMOGRAPHICS'!Q816="","",'PART III-DEMOGRAPHICS'!Q816)</f>
        <v/>
      </c>
    </row>
    <row r="807" spans="1:21">
      <c r="A807" s="25" t="str">
        <f>IF('PART III-DEMOGRAPHICS'!A817="","",'PART III-DEMOGRAPHICS'!A817)</f>
        <v/>
      </c>
      <c r="B807" s="28"/>
      <c r="C807" s="27"/>
      <c r="D807" s="28"/>
      <c r="E807" s="21"/>
      <c r="F807" s="36" t="str">
        <f t="shared" si="28"/>
        <v>Did Not</v>
      </c>
      <c r="G807" s="28"/>
      <c r="H807" s="28"/>
      <c r="I807" s="28"/>
      <c r="J807" s="28"/>
      <c r="K807" s="28"/>
      <c r="L807" s="28"/>
      <c r="M807" s="28"/>
      <c r="N807" s="21"/>
      <c r="O807" s="28"/>
      <c r="P807" s="38"/>
      <c r="Q807" s="21"/>
      <c r="R807" s="21"/>
      <c r="S807" s="47"/>
      <c r="T807" s="25">
        <f t="shared" si="27"/>
        <v>0</v>
      </c>
      <c r="U807" s="25" t="str">
        <f>IF('PART III-DEMOGRAPHICS'!Q817="","",'PART III-DEMOGRAPHICS'!Q817)</f>
        <v/>
      </c>
    </row>
    <row r="808" spans="1:21">
      <c r="A808" s="25" t="str">
        <f>IF('PART III-DEMOGRAPHICS'!A818="","",'PART III-DEMOGRAPHICS'!A818)</f>
        <v/>
      </c>
      <c r="B808" s="28"/>
      <c r="C808" s="27"/>
      <c r="D808" s="28"/>
      <c r="E808" s="21"/>
      <c r="F808" s="36" t="str">
        <f t="shared" si="28"/>
        <v>Did Not</v>
      </c>
      <c r="G808" s="28"/>
      <c r="H808" s="28"/>
      <c r="I808" s="28"/>
      <c r="J808" s="28"/>
      <c r="K808" s="28"/>
      <c r="L808" s="28"/>
      <c r="M808" s="28"/>
      <c r="N808" s="21"/>
      <c r="O808" s="28"/>
      <c r="P808" s="38"/>
      <c r="Q808" s="21"/>
      <c r="R808" s="21"/>
      <c r="S808" s="47"/>
      <c r="T808" s="25">
        <f t="shared" si="27"/>
        <v>0</v>
      </c>
      <c r="U808" s="25" t="str">
        <f>IF('PART III-DEMOGRAPHICS'!Q818="","",'PART III-DEMOGRAPHICS'!Q818)</f>
        <v/>
      </c>
    </row>
    <row r="809" spans="1:21">
      <c r="A809" s="25" t="str">
        <f>IF('PART III-DEMOGRAPHICS'!A819="","",'PART III-DEMOGRAPHICS'!A819)</f>
        <v/>
      </c>
      <c r="B809" s="28"/>
      <c r="C809" s="27"/>
      <c r="D809" s="28"/>
      <c r="E809" s="21"/>
      <c r="F809" s="36" t="str">
        <f t="shared" si="28"/>
        <v>Did Not</v>
      </c>
      <c r="G809" s="28"/>
      <c r="H809" s="28"/>
      <c r="I809" s="28"/>
      <c r="J809" s="28"/>
      <c r="K809" s="28"/>
      <c r="L809" s="28"/>
      <c r="M809" s="28"/>
      <c r="N809" s="21"/>
      <c r="O809" s="28"/>
      <c r="P809" s="38"/>
      <c r="Q809" s="21"/>
      <c r="R809" s="21"/>
      <c r="S809" s="47"/>
      <c r="T809" s="25">
        <f t="shared" si="27"/>
        <v>0</v>
      </c>
      <c r="U809" s="25" t="str">
        <f>IF('PART III-DEMOGRAPHICS'!Q819="","",'PART III-DEMOGRAPHICS'!Q819)</f>
        <v/>
      </c>
    </row>
    <row r="810" spans="1:21">
      <c r="A810" s="25" t="str">
        <f>IF('PART III-DEMOGRAPHICS'!A820="","",'PART III-DEMOGRAPHICS'!A820)</f>
        <v/>
      </c>
      <c r="B810" s="28"/>
      <c r="C810" s="27"/>
      <c r="D810" s="28"/>
      <c r="E810" s="21"/>
      <c r="F810" s="36" t="str">
        <f t="shared" si="28"/>
        <v>Did Not</v>
      </c>
      <c r="G810" s="28"/>
      <c r="H810" s="28"/>
      <c r="I810" s="28"/>
      <c r="J810" s="28"/>
      <c r="K810" s="28"/>
      <c r="L810" s="28"/>
      <c r="M810" s="28"/>
      <c r="N810" s="21"/>
      <c r="O810" s="28"/>
      <c r="P810" s="38"/>
      <c r="Q810" s="21"/>
      <c r="R810" s="21"/>
      <c r="S810" s="47"/>
      <c r="T810" s="25">
        <f t="shared" si="27"/>
        <v>0</v>
      </c>
      <c r="U810" s="25" t="str">
        <f>IF('PART III-DEMOGRAPHICS'!Q820="","",'PART III-DEMOGRAPHICS'!Q820)</f>
        <v/>
      </c>
    </row>
    <row r="811" spans="1:21">
      <c r="A811" s="25" t="str">
        <f>IF('PART III-DEMOGRAPHICS'!A821="","",'PART III-DEMOGRAPHICS'!A821)</f>
        <v/>
      </c>
      <c r="B811" s="28"/>
      <c r="C811" s="27"/>
      <c r="D811" s="28"/>
      <c r="E811" s="21"/>
      <c r="F811" s="36" t="str">
        <f t="shared" si="28"/>
        <v>Did Not</v>
      </c>
      <c r="G811" s="28"/>
      <c r="H811" s="28"/>
      <c r="I811" s="28"/>
      <c r="J811" s="28"/>
      <c r="K811" s="28"/>
      <c r="L811" s="28"/>
      <c r="M811" s="28"/>
      <c r="N811" s="21"/>
      <c r="O811" s="28"/>
      <c r="P811" s="38"/>
      <c r="Q811" s="21"/>
      <c r="R811" s="21"/>
      <c r="S811" s="47"/>
      <c r="T811" s="25">
        <f t="shared" si="27"/>
        <v>0</v>
      </c>
      <c r="U811" s="25" t="str">
        <f>IF('PART III-DEMOGRAPHICS'!Q821="","",'PART III-DEMOGRAPHICS'!Q821)</f>
        <v/>
      </c>
    </row>
    <row r="812" spans="1:21">
      <c r="A812" s="25" t="str">
        <f>IF('PART III-DEMOGRAPHICS'!A822="","",'PART III-DEMOGRAPHICS'!A822)</f>
        <v/>
      </c>
      <c r="B812" s="28"/>
      <c r="C812" s="27"/>
      <c r="D812" s="28"/>
      <c r="E812" s="21"/>
      <c r="F812" s="36" t="str">
        <f t="shared" si="28"/>
        <v>Did Not</v>
      </c>
      <c r="G812" s="28"/>
      <c r="H812" s="28"/>
      <c r="I812" s="28"/>
      <c r="J812" s="28"/>
      <c r="K812" s="28"/>
      <c r="L812" s="28"/>
      <c r="M812" s="28"/>
      <c r="N812" s="21"/>
      <c r="O812" s="28"/>
      <c r="P812" s="38"/>
      <c r="Q812" s="21"/>
      <c r="R812" s="21"/>
      <c r="S812" s="47"/>
      <c r="T812" s="25">
        <f t="shared" si="27"/>
        <v>0</v>
      </c>
      <c r="U812" s="25" t="str">
        <f>IF('PART III-DEMOGRAPHICS'!Q822="","",'PART III-DEMOGRAPHICS'!Q822)</f>
        <v/>
      </c>
    </row>
    <row r="813" spans="1:21">
      <c r="A813" s="25" t="str">
        <f>IF('PART III-DEMOGRAPHICS'!A823="","",'PART III-DEMOGRAPHICS'!A823)</f>
        <v/>
      </c>
      <c r="B813" s="28"/>
      <c r="C813" s="27"/>
      <c r="D813" s="28"/>
      <c r="E813" s="21"/>
      <c r="F813" s="36" t="str">
        <f t="shared" si="28"/>
        <v>Did Not</v>
      </c>
      <c r="G813" s="28"/>
      <c r="H813" s="28"/>
      <c r="I813" s="28"/>
      <c r="J813" s="28"/>
      <c r="K813" s="28"/>
      <c r="L813" s="28"/>
      <c r="M813" s="28"/>
      <c r="N813" s="21"/>
      <c r="O813" s="28"/>
      <c r="P813" s="38"/>
      <c r="Q813" s="21"/>
      <c r="R813" s="21"/>
      <c r="S813" s="47"/>
      <c r="T813" s="25">
        <f t="shared" si="27"/>
        <v>0</v>
      </c>
      <c r="U813" s="25" t="str">
        <f>IF('PART III-DEMOGRAPHICS'!Q823="","",'PART III-DEMOGRAPHICS'!Q823)</f>
        <v/>
      </c>
    </row>
    <row r="814" spans="1:21">
      <c r="A814" s="25" t="str">
        <f>IF('PART III-DEMOGRAPHICS'!A824="","",'PART III-DEMOGRAPHICS'!A824)</f>
        <v/>
      </c>
      <c r="B814" s="28"/>
      <c r="C814" s="27"/>
      <c r="D814" s="28"/>
      <c r="E814" s="21"/>
      <c r="F814" s="36" t="str">
        <f t="shared" si="28"/>
        <v>Did Not</v>
      </c>
      <c r="G814" s="28"/>
      <c r="H814" s="28"/>
      <c r="I814" s="28"/>
      <c r="J814" s="28"/>
      <c r="K814" s="28"/>
      <c r="L814" s="28"/>
      <c r="M814" s="28"/>
      <c r="N814" s="21"/>
      <c r="O814" s="28"/>
      <c r="P814" s="38"/>
      <c r="Q814" s="21"/>
      <c r="R814" s="21"/>
      <c r="S814" s="47"/>
      <c r="T814" s="25">
        <f t="shared" si="27"/>
        <v>0</v>
      </c>
      <c r="U814" s="25" t="str">
        <f>IF('PART III-DEMOGRAPHICS'!Q824="","",'PART III-DEMOGRAPHICS'!Q824)</f>
        <v/>
      </c>
    </row>
    <row r="815" spans="1:21">
      <c r="A815" s="25" t="str">
        <f>IF('PART III-DEMOGRAPHICS'!A825="","",'PART III-DEMOGRAPHICS'!A825)</f>
        <v/>
      </c>
      <c r="B815" s="28"/>
      <c r="C815" s="27"/>
      <c r="D815" s="28"/>
      <c r="E815" s="21"/>
      <c r="F815" s="36" t="str">
        <f t="shared" si="28"/>
        <v>Did Not</v>
      </c>
      <c r="G815" s="28"/>
      <c r="H815" s="28"/>
      <c r="I815" s="28"/>
      <c r="J815" s="28"/>
      <c r="K815" s="28"/>
      <c r="L815" s="28"/>
      <c r="M815" s="28"/>
      <c r="N815" s="21"/>
      <c r="O815" s="28"/>
      <c r="P815" s="38"/>
      <c r="Q815" s="21"/>
      <c r="R815" s="21"/>
      <c r="S815" s="47"/>
      <c r="T815" s="25">
        <f t="shared" si="27"/>
        <v>0</v>
      </c>
      <c r="U815" s="25" t="str">
        <f>IF('PART III-DEMOGRAPHICS'!Q825="","",'PART III-DEMOGRAPHICS'!Q825)</f>
        <v/>
      </c>
    </row>
    <row r="816" spans="1:21">
      <c r="A816" s="25" t="str">
        <f>IF('PART III-DEMOGRAPHICS'!A826="","",'PART III-DEMOGRAPHICS'!A826)</f>
        <v/>
      </c>
      <c r="B816" s="28"/>
      <c r="C816" s="27"/>
      <c r="D816" s="28"/>
      <c r="E816" s="21"/>
      <c r="F816" s="36" t="str">
        <f t="shared" si="28"/>
        <v>Did Not</v>
      </c>
      <c r="G816" s="28"/>
      <c r="H816" s="28"/>
      <c r="I816" s="28"/>
      <c r="J816" s="28"/>
      <c r="K816" s="28"/>
      <c r="L816" s="28"/>
      <c r="M816" s="28"/>
      <c r="N816" s="21"/>
      <c r="O816" s="28"/>
      <c r="P816" s="38"/>
      <c r="Q816" s="21"/>
      <c r="R816" s="21"/>
      <c r="S816" s="47"/>
      <c r="T816" s="25">
        <f t="shared" si="27"/>
        <v>0</v>
      </c>
      <c r="U816" s="25" t="str">
        <f>IF('PART III-DEMOGRAPHICS'!Q826="","",'PART III-DEMOGRAPHICS'!Q826)</f>
        <v/>
      </c>
    </row>
    <row r="817" spans="1:21">
      <c r="A817" s="25" t="str">
        <f>IF('PART III-DEMOGRAPHICS'!A827="","",'PART III-DEMOGRAPHICS'!A827)</f>
        <v/>
      </c>
      <c r="B817" s="28"/>
      <c r="C817" s="27"/>
      <c r="D817" s="28"/>
      <c r="E817" s="21"/>
      <c r="F817" s="36" t="str">
        <f t="shared" si="28"/>
        <v>Did Not</v>
      </c>
      <c r="G817" s="28"/>
      <c r="H817" s="28"/>
      <c r="I817" s="28"/>
      <c r="J817" s="28"/>
      <c r="K817" s="28"/>
      <c r="L817" s="28"/>
      <c r="M817" s="28"/>
      <c r="N817" s="21"/>
      <c r="O817" s="28"/>
      <c r="P817" s="38"/>
      <c r="Q817" s="21"/>
      <c r="R817" s="21"/>
      <c r="S817" s="47"/>
      <c r="T817" s="25">
        <f t="shared" si="27"/>
        <v>0</v>
      </c>
      <c r="U817" s="25" t="str">
        <f>IF('PART III-DEMOGRAPHICS'!Q827="","",'PART III-DEMOGRAPHICS'!Q827)</f>
        <v/>
      </c>
    </row>
    <row r="818" spans="1:21">
      <c r="A818" s="25" t="str">
        <f>IF('PART III-DEMOGRAPHICS'!A828="","",'PART III-DEMOGRAPHICS'!A828)</f>
        <v/>
      </c>
      <c r="B818" s="28"/>
      <c r="C818" s="27"/>
      <c r="D818" s="28"/>
      <c r="E818" s="21"/>
      <c r="F818" s="36" t="str">
        <f t="shared" si="28"/>
        <v>Did Not</v>
      </c>
      <c r="G818" s="28"/>
      <c r="H818" s="28"/>
      <c r="I818" s="28"/>
      <c r="J818" s="28"/>
      <c r="K818" s="28"/>
      <c r="L818" s="28"/>
      <c r="M818" s="28"/>
      <c r="N818" s="21"/>
      <c r="O818" s="28"/>
      <c r="P818" s="38"/>
      <c r="Q818" s="21"/>
      <c r="R818" s="21"/>
      <c r="S818" s="47"/>
      <c r="T818" s="25">
        <f t="shared" si="27"/>
        <v>0</v>
      </c>
      <c r="U818" s="25" t="str">
        <f>IF('PART III-DEMOGRAPHICS'!Q828="","",'PART III-DEMOGRAPHICS'!Q828)</f>
        <v/>
      </c>
    </row>
    <row r="819" spans="1:21">
      <c r="A819" s="25" t="str">
        <f>IF('PART III-DEMOGRAPHICS'!A829="","",'PART III-DEMOGRAPHICS'!A829)</f>
        <v/>
      </c>
      <c r="B819" s="28"/>
      <c r="C819" s="27"/>
      <c r="D819" s="28"/>
      <c r="E819" s="21"/>
      <c r="F819" s="36" t="str">
        <f t="shared" si="28"/>
        <v>Did Not</v>
      </c>
      <c r="G819" s="28"/>
      <c r="H819" s="28"/>
      <c r="I819" s="28"/>
      <c r="J819" s="28"/>
      <c r="K819" s="28"/>
      <c r="L819" s="28"/>
      <c r="M819" s="28"/>
      <c r="N819" s="21"/>
      <c r="O819" s="28"/>
      <c r="P819" s="38"/>
      <c r="Q819" s="21"/>
      <c r="R819" s="21"/>
      <c r="S819" s="47"/>
      <c r="T819" s="25">
        <f t="shared" si="27"/>
        <v>0</v>
      </c>
      <c r="U819" s="25" t="str">
        <f>IF('PART III-DEMOGRAPHICS'!Q829="","",'PART III-DEMOGRAPHICS'!Q829)</f>
        <v/>
      </c>
    </row>
    <row r="820" spans="1:21">
      <c r="A820" s="25" t="str">
        <f>IF('PART III-DEMOGRAPHICS'!A830="","",'PART III-DEMOGRAPHICS'!A830)</f>
        <v/>
      </c>
      <c r="B820" s="28"/>
      <c r="C820" s="27"/>
      <c r="D820" s="28"/>
      <c r="E820" s="21"/>
      <c r="F820" s="36" t="str">
        <f t="shared" si="28"/>
        <v>Did Not</v>
      </c>
      <c r="G820" s="28"/>
      <c r="H820" s="28"/>
      <c r="I820" s="28"/>
      <c r="J820" s="28"/>
      <c r="K820" s="28"/>
      <c r="L820" s="28"/>
      <c r="M820" s="28"/>
      <c r="N820" s="21"/>
      <c r="O820" s="28"/>
      <c r="P820" s="38"/>
      <c r="Q820" s="21"/>
      <c r="R820" s="21"/>
      <c r="S820" s="47"/>
      <c r="T820" s="25">
        <f t="shared" si="27"/>
        <v>0</v>
      </c>
      <c r="U820" s="25" t="str">
        <f>IF('PART III-DEMOGRAPHICS'!Q830="","",'PART III-DEMOGRAPHICS'!Q830)</f>
        <v/>
      </c>
    </row>
    <row r="821" spans="1:21">
      <c r="A821" s="25" t="str">
        <f>IF('PART III-DEMOGRAPHICS'!A831="","",'PART III-DEMOGRAPHICS'!A831)</f>
        <v/>
      </c>
      <c r="B821" s="28"/>
      <c r="C821" s="27"/>
      <c r="D821" s="28"/>
      <c r="E821" s="21"/>
      <c r="F821" s="36" t="str">
        <f t="shared" si="28"/>
        <v>Did Not</v>
      </c>
      <c r="G821" s="28"/>
      <c r="H821" s="28"/>
      <c r="I821" s="28"/>
      <c r="J821" s="28"/>
      <c r="K821" s="28"/>
      <c r="L821" s="28"/>
      <c r="M821" s="28"/>
      <c r="N821" s="21"/>
      <c r="O821" s="28"/>
      <c r="P821" s="38"/>
      <c r="Q821" s="21"/>
      <c r="R821" s="21"/>
      <c r="S821" s="47"/>
      <c r="T821" s="25">
        <f t="shared" si="27"/>
        <v>0</v>
      </c>
      <c r="U821" s="25" t="str">
        <f>IF('PART III-DEMOGRAPHICS'!Q831="","",'PART III-DEMOGRAPHICS'!Q831)</f>
        <v/>
      </c>
    </row>
    <row r="822" spans="1:21">
      <c r="A822" s="25" t="str">
        <f>IF('PART III-DEMOGRAPHICS'!A832="","",'PART III-DEMOGRAPHICS'!A832)</f>
        <v/>
      </c>
      <c r="B822" s="28"/>
      <c r="C822" s="27"/>
      <c r="D822" s="28"/>
      <c r="E822" s="21"/>
      <c r="F822" s="36" t="str">
        <f t="shared" si="28"/>
        <v>Did Not</v>
      </c>
      <c r="G822" s="28"/>
      <c r="H822" s="28"/>
      <c r="I822" s="28"/>
      <c r="J822" s="28"/>
      <c r="K822" s="28"/>
      <c r="L822" s="28"/>
      <c r="M822" s="28"/>
      <c r="N822" s="21"/>
      <c r="O822" s="28"/>
      <c r="P822" s="38"/>
      <c r="Q822" s="21"/>
      <c r="R822" s="21"/>
      <c r="S822" s="47"/>
      <c r="T822" s="25">
        <f t="shared" si="27"/>
        <v>0</v>
      </c>
      <c r="U822" s="25" t="str">
        <f>IF('PART III-DEMOGRAPHICS'!Q832="","",'PART III-DEMOGRAPHICS'!Q832)</f>
        <v/>
      </c>
    </row>
    <row r="823" spans="1:21">
      <c r="A823" s="25" t="str">
        <f>IF('PART III-DEMOGRAPHICS'!A833="","",'PART III-DEMOGRAPHICS'!A833)</f>
        <v/>
      </c>
      <c r="B823" s="28"/>
      <c r="C823" s="27"/>
      <c r="D823" s="28"/>
      <c r="E823" s="21"/>
      <c r="F823" s="36" t="str">
        <f t="shared" si="28"/>
        <v>Did Not</v>
      </c>
      <c r="G823" s="28"/>
      <c r="H823" s="28"/>
      <c r="I823" s="28"/>
      <c r="J823" s="28"/>
      <c r="K823" s="28"/>
      <c r="L823" s="28"/>
      <c r="M823" s="28"/>
      <c r="N823" s="21"/>
      <c r="O823" s="28"/>
      <c r="P823" s="38"/>
      <c r="Q823" s="21"/>
      <c r="R823" s="21"/>
      <c r="S823" s="47"/>
      <c r="T823" s="25">
        <f t="shared" si="27"/>
        <v>0</v>
      </c>
      <c r="U823" s="25" t="str">
        <f>IF('PART III-DEMOGRAPHICS'!Q833="","",'PART III-DEMOGRAPHICS'!Q833)</f>
        <v/>
      </c>
    </row>
    <row r="824" spans="1:21">
      <c r="A824" s="25" t="str">
        <f>IF('PART III-DEMOGRAPHICS'!A834="","",'PART III-DEMOGRAPHICS'!A834)</f>
        <v/>
      </c>
      <c r="B824" s="28"/>
      <c r="C824" s="27"/>
      <c r="D824" s="28"/>
      <c r="E824" s="21"/>
      <c r="F824" s="36" t="str">
        <f t="shared" si="28"/>
        <v>Did Not</v>
      </c>
      <c r="G824" s="28"/>
      <c r="H824" s="28"/>
      <c r="I824" s="28"/>
      <c r="J824" s="28"/>
      <c r="K824" s="28"/>
      <c r="L824" s="28"/>
      <c r="M824" s="28"/>
      <c r="N824" s="21"/>
      <c r="O824" s="28"/>
      <c r="P824" s="38"/>
      <c r="Q824" s="21"/>
      <c r="R824" s="21"/>
      <c r="S824" s="47"/>
      <c r="T824" s="25">
        <f t="shared" si="27"/>
        <v>0</v>
      </c>
      <c r="U824" s="25" t="str">
        <f>IF('PART III-DEMOGRAPHICS'!Q834="","",'PART III-DEMOGRAPHICS'!Q834)</f>
        <v/>
      </c>
    </row>
    <row r="825" spans="1:21">
      <c r="A825" s="25" t="str">
        <f>IF('PART III-DEMOGRAPHICS'!A835="","",'PART III-DEMOGRAPHICS'!A835)</f>
        <v/>
      </c>
      <c r="B825" s="28"/>
      <c r="C825" s="27"/>
      <c r="D825" s="28"/>
      <c r="E825" s="21"/>
      <c r="F825" s="36" t="str">
        <f t="shared" si="28"/>
        <v>Did Not</v>
      </c>
      <c r="G825" s="28"/>
      <c r="H825" s="28"/>
      <c r="I825" s="28"/>
      <c r="J825" s="28"/>
      <c r="K825" s="28"/>
      <c r="L825" s="28"/>
      <c r="M825" s="28"/>
      <c r="N825" s="21"/>
      <c r="O825" s="28"/>
      <c r="P825" s="38"/>
      <c r="Q825" s="21"/>
      <c r="R825" s="21"/>
      <c r="S825" s="47"/>
      <c r="T825" s="25">
        <f t="shared" si="27"/>
        <v>0</v>
      </c>
      <c r="U825" s="25" t="str">
        <f>IF('PART III-DEMOGRAPHICS'!Q835="","",'PART III-DEMOGRAPHICS'!Q835)</f>
        <v/>
      </c>
    </row>
    <row r="826" spans="1:21">
      <c r="A826" s="25" t="str">
        <f>IF('PART III-DEMOGRAPHICS'!A836="","",'PART III-DEMOGRAPHICS'!A836)</f>
        <v/>
      </c>
      <c r="B826" s="28"/>
      <c r="C826" s="27"/>
      <c r="D826" s="28"/>
      <c r="E826" s="21"/>
      <c r="F826" s="36" t="str">
        <f t="shared" si="28"/>
        <v>Did Not</v>
      </c>
      <c r="G826" s="28"/>
      <c r="H826" s="28"/>
      <c r="I826" s="28"/>
      <c r="J826" s="28"/>
      <c r="K826" s="28"/>
      <c r="L826" s="28"/>
      <c r="M826" s="28"/>
      <c r="N826" s="21"/>
      <c r="O826" s="28"/>
      <c r="P826" s="38"/>
      <c r="Q826" s="21"/>
      <c r="R826" s="21"/>
      <c r="S826" s="47"/>
      <c r="T826" s="25">
        <f t="shared" si="27"/>
        <v>0</v>
      </c>
      <c r="U826" s="25" t="str">
        <f>IF('PART III-DEMOGRAPHICS'!Q836="","",'PART III-DEMOGRAPHICS'!Q836)</f>
        <v/>
      </c>
    </row>
    <row r="827" spans="1:21">
      <c r="A827" s="25" t="str">
        <f>IF('PART III-DEMOGRAPHICS'!A837="","",'PART III-DEMOGRAPHICS'!A837)</f>
        <v/>
      </c>
      <c r="B827" s="28"/>
      <c r="C827" s="27"/>
      <c r="D827" s="28"/>
      <c r="E827" s="21"/>
      <c r="F827" s="36" t="str">
        <f t="shared" si="28"/>
        <v>Did Not</v>
      </c>
      <c r="G827" s="28"/>
      <c r="H827" s="28"/>
      <c r="I827" s="28"/>
      <c r="J827" s="28"/>
      <c r="K827" s="28"/>
      <c r="L827" s="28"/>
      <c r="M827" s="28"/>
      <c r="N827" s="21"/>
      <c r="O827" s="28"/>
      <c r="P827" s="38"/>
      <c r="Q827" s="21"/>
      <c r="R827" s="21"/>
      <c r="S827" s="47"/>
      <c r="T827" s="25">
        <f t="shared" si="27"/>
        <v>0</v>
      </c>
      <c r="U827" s="25" t="str">
        <f>IF('PART III-DEMOGRAPHICS'!Q837="","",'PART III-DEMOGRAPHICS'!Q837)</f>
        <v/>
      </c>
    </row>
    <row r="828" spans="1:21">
      <c r="A828" s="25" t="str">
        <f>IF('PART III-DEMOGRAPHICS'!A838="","",'PART III-DEMOGRAPHICS'!A838)</f>
        <v/>
      </c>
      <c r="B828" s="28"/>
      <c r="C828" s="27"/>
      <c r="D828" s="28"/>
      <c r="E828" s="21"/>
      <c r="F828" s="36" t="str">
        <f t="shared" si="28"/>
        <v>Did Not</v>
      </c>
      <c r="G828" s="28"/>
      <c r="H828" s="28"/>
      <c r="I828" s="28"/>
      <c r="J828" s="28"/>
      <c r="K828" s="28"/>
      <c r="L828" s="28"/>
      <c r="M828" s="28"/>
      <c r="N828" s="21"/>
      <c r="O828" s="28"/>
      <c r="P828" s="38"/>
      <c r="Q828" s="21"/>
      <c r="R828" s="21"/>
      <c r="S828" s="47"/>
      <c r="T828" s="25">
        <f t="shared" si="27"/>
        <v>0</v>
      </c>
      <c r="U828" s="25" t="str">
        <f>IF('PART III-DEMOGRAPHICS'!Q838="","",'PART III-DEMOGRAPHICS'!Q838)</f>
        <v/>
      </c>
    </row>
    <row r="829" spans="1:21">
      <c r="A829" s="25" t="str">
        <f>IF('PART III-DEMOGRAPHICS'!A839="","",'PART III-DEMOGRAPHICS'!A839)</f>
        <v/>
      </c>
      <c r="B829" s="28"/>
      <c r="C829" s="27"/>
      <c r="D829" s="28"/>
      <c r="E829" s="21"/>
      <c r="F829" s="36" t="str">
        <f t="shared" si="28"/>
        <v>Did Not</v>
      </c>
      <c r="G829" s="28"/>
      <c r="H829" s="28"/>
      <c r="I829" s="28"/>
      <c r="J829" s="28"/>
      <c r="K829" s="28"/>
      <c r="L829" s="28"/>
      <c r="M829" s="28"/>
      <c r="N829" s="21"/>
      <c r="O829" s="28"/>
      <c r="P829" s="38"/>
      <c r="Q829" s="21"/>
      <c r="R829" s="21"/>
      <c r="S829" s="47"/>
      <c r="T829" s="25">
        <f t="shared" si="27"/>
        <v>0</v>
      </c>
      <c r="U829" s="25" t="str">
        <f>IF('PART III-DEMOGRAPHICS'!Q839="","",'PART III-DEMOGRAPHICS'!Q839)</f>
        <v/>
      </c>
    </row>
    <row r="830" spans="1:21">
      <c r="A830" s="25" t="str">
        <f>IF('PART III-DEMOGRAPHICS'!A840="","",'PART III-DEMOGRAPHICS'!A840)</f>
        <v/>
      </c>
      <c r="B830" s="28"/>
      <c r="C830" s="27"/>
      <c r="D830" s="28"/>
      <c r="E830" s="21"/>
      <c r="F830" s="36" t="str">
        <f t="shared" si="28"/>
        <v>Did Not</v>
      </c>
      <c r="G830" s="28"/>
      <c r="H830" s="28"/>
      <c r="I830" s="28"/>
      <c r="J830" s="28"/>
      <c r="K830" s="28"/>
      <c r="L830" s="28"/>
      <c r="M830" s="28"/>
      <c r="N830" s="21"/>
      <c r="O830" s="28"/>
      <c r="P830" s="38"/>
      <c r="Q830" s="21"/>
      <c r="R830" s="21"/>
      <c r="S830" s="47"/>
      <c r="T830" s="25">
        <f t="shared" si="27"/>
        <v>0</v>
      </c>
      <c r="U830" s="25" t="str">
        <f>IF('PART III-DEMOGRAPHICS'!Q840="","",'PART III-DEMOGRAPHICS'!Q840)</f>
        <v/>
      </c>
    </row>
    <row r="831" spans="1:21">
      <c r="A831" s="25" t="str">
        <f>IF('PART III-DEMOGRAPHICS'!A841="","",'PART III-DEMOGRAPHICS'!A841)</f>
        <v/>
      </c>
      <c r="B831" s="28"/>
      <c r="C831" s="27"/>
      <c r="D831" s="28"/>
      <c r="E831" s="21"/>
      <c r="F831" s="36" t="str">
        <f t="shared" si="28"/>
        <v>Did Not</v>
      </c>
      <c r="G831" s="28"/>
      <c r="H831" s="28"/>
      <c r="I831" s="28"/>
      <c r="J831" s="28"/>
      <c r="K831" s="28"/>
      <c r="L831" s="28"/>
      <c r="M831" s="28"/>
      <c r="N831" s="21"/>
      <c r="O831" s="28"/>
      <c r="P831" s="38"/>
      <c r="Q831" s="21"/>
      <c r="R831" s="21"/>
      <c r="S831" s="47"/>
      <c r="T831" s="25">
        <f t="shared" si="27"/>
        <v>0</v>
      </c>
      <c r="U831" s="25" t="str">
        <f>IF('PART III-DEMOGRAPHICS'!Q841="","",'PART III-DEMOGRAPHICS'!Q841)</f>
        <v/>
      </c>
    </row>
    <row r="832" spans="1:21">
      <c r="A832" s="25" t="str">
        <f>IF('PART III-DEMOGRAPHICS'!A842="","",'PART III-DEMOGRAPHICS'!A842)</f>
        <v/>
      </c>
      <c r="B832" s="28"/>
      <c r="C832" s="27"/>
      <c r="D832" s="28"/>
      <c r="E832" s="21"/>
      <c r="F832" s="36" t="str">
        <f t="shared" si="28"/>
        <v>Did Not</v>
      </c>
      <c r="G832" s="28"/>
      <c r="H832" s="28"/>
      <c r="I832" s="28"/>
      <c r="J832" s="28"/>
      <c r="K832" s="28"/>
      <c r="L832" s="28"/>
      <c r="M832" s="28"/>
      <c r="N832" s="21"/>
      <c r="O832" s="28"/>
      <c r="P832" s="38"/>
      <c r="Q832" s="21"/>
      <c r="R832" s="21"/>
      <c r="S832" s="47"/>
      <c r="T832" s="25">
        <f t="shared" si="27"/>
        <v>0</v>
      </c>
      <c r="U832" s="25" t="str">
        <f>IF('PART III-DEMOGRAPHICS'!Q842="","",'PART III-DEMOGRAPHICS'!Q842)</f>
        <v/>
      </c>
    </row>
    <row r="833" spans="1:21">
      <c r="A833" s="25" t="str">
        <f>IF('PART III-DEMOGRAPHICS'!A843="","",'PART III-DEMOGRAPHICS'!A843)</f>
        <v/>
      </c>
      <c r="B833" s="28"/>
      <c r="C833" s="27"/>
      <c r="D833" s="28"/>
      <c r="E833" s="21"/>
      <c r="F833" s="36" t="str">
        <f t="shared" si="28"/>
        <v>Did Not</v>
      </c>
      <c r="G833" s="28"/>
      <c r="H833" s="28"/>
      <c r="I833" s="28"/>
      <c r="J833" s="28"/>
      <c r="K833" s="28"/>
      <c r="L833" s="28"/>
      <c r="M833" s="28"/>
      <c r="N833" s="21"/>
      <c r="O833" s="28"/>
      <c r="P833" s="38"/>
      <c r="Q833" s="21"/>
      <c r="R833" s="21"/>
      <c r="S833" s="47"/>
      <c r="T833" s="25">
        <f t="shared" si="27"/>
        <v>0</v>
      </c>
      <c r="U833" s="25" t="str">
        <f>IF('PART III-DEMOGRAPHICS'!Q843="","",'PART III-DEMOGRAPHICS'!Q843)</f>
        <v/>
      </c>
    </row>
    <row r="834" spans="1:21">
      <c r="A834" s="25" t="str">
        <f>IF('PART III-DEMOGRAPHICS'!A844="","",'PART III-DEMOGRAPHICS'!A844)</f>
        <v/>
      </c>
      <c r="B834" s="28"/>
      <c r="C834" s="27"/>
      <c r="D834" s="28"/>
      <c r="E834" s="21"/>
      <c r="F834" s="36" t="str">
        <f t="shared" si="28"/>
        <v>Did Not</v>
      </c>
      <c r="G834" s="28"/>
      <c r="H834" s="28"/>
      <c r="I834" s="28"/>
      <c r="J834" s="28"/>
      <c r="K834" s="28"/>
      <c r="L834" s="28"/>
      <c r="M834" s="28"/>
      <c r="N834" s="21"/>
      <c r="O834" s="28"/>
      <c r="P834" s="38"/>
      <c r="Q834" s="21"/>
      <c r="R834" s="21"/>
      <c r="S834" s="47"/>
      <c r="T834" s="25">
        <f t="shared" si="27"/>
        <v>0</v>
      </c>
      <c r="U834" s="25" t="str">
        <f>IF('PART III-DEMOGRAPHICS'!Q844="","",'PART III-DEMOGRAPHICS'!Q844)</f>
        <v/>
      </c>
    </row>
    <row r="835" spans="1:21">
      <c r="A835" s="25" t="str">
        <f>IF('PART III-DEMOGRAPHICS'!A845="","",'PART III-DEMOGRAPHICS'!A845)</f>
        <v/>
      </c>
      <c r="B835" s="28"/>
      <c r="C835" s="27"/>
      <c r="D835" s="28"/>
      <c r="E835" s="21"/>
      <c r="F835" s="36" t="str">
        <f t="shared" si="28"/>
        <v>Did Not</v>
      </c>
      <c r="G835" s="28"/>
      <c r="H835" s="28"/>
      <c r="I835" s="28"/>
      <c r="J835" s="28"/>
      <c r="K835" s="28"/>
      <c r="L835" s="28"/>
      <c r="M835" s="28"/>
      <c r="N835" s="21"/>
      <c r="O835" s="28"/>
      <c r="P835" s="38"/>
      <c r="Q835" s="21"/>
      <c r="R835" s="21"/>
      <c r="S835" s="47"/>
      <c r="T835" s="25">
        <f t="shared" si="27"/>
        <v>0</v>
      </c>
      <c r="U835" s="25" t="str">
        <f>IF('PART III-DEMOGRAPHICS'!Q845="","",'PART III-DEMOGRAPHICS'!Q845)</f>
        <v/>
      </c>
    </row>
    <row r="836" spans="1:21">
      <c r="A836" s="25" t="str">
        <f>IF('PART III-DEMOGRAPHICS'!A846="","",'PART III-DEMOGRAPHICS'!A846)</f>
        <v/>
      </c>
      <c r="B836" s="28"/>
      <c r="C836" s="27"/>
      <c r="D836" s="28"/>
      <c r="E836" s="21"/>
      <c r="F836" s="36" t="str">
        <f t="shared" si="28"/>
        <v>Did Not</v>
      </c>
      <c r="G836" s="28"/>
      <c r="H836" s="28"/>
      <c r="I836" s="28"/>
      <c r="J836" s="28"/>
      <c r="K836" s="28"/>
      <c r="L836" s="28"/>
      <c r="M836" s="28"/>
      <c r="N836" s="21"/>
      <c r="O836" s="28"/>
      <c r="P836" s="38"/>
      <c r="Q836" s="21"/>
      <c r="R836" s="21"/>
      <c r="S836" s="47"/>
      <c r="T836" s="25">
        <f t="shared" si="27"/>
        <v>0</v>
      </c>
      <c r="U836" s="25" t="str">
        <f>IF('PART III-DEMOGRAPHICS'!Q846="","",'PART III-DEMOGRAPHICS'!Q846)</f>
        <v/>
      </c>
    </row>
    <row r="837" spans="1:21">
      <c r="A837" s="25" t="str">
        <f>IF('PART III-DEMOGRAPHICS'!A847="","",'PART III-DEMOGRAPHICS'!A847)</f>
        <v/>
      </c>
      <c r="B837" s="28"/>
      <c r="C837" s="27"/>
      <c r="D837" s="28"/>
      <c r="E837" s="21"/>
      <c r="F837" s="36" t="str">
        <f t="shared" si="28"/>
        <v>Did Not</v>
      </c>
      <c r="G837" s="28"/>
      <c r="H837" s="28"/>
      <c r="I837" s="28"/>
      <c r="J837" s="28"/>
      <c r="K837" s="28"/>
      <c r="L837" s="28"/>
      <c r="M837" s="28"/>
      <c r="N837" s="21"/>
      <c r="O837" s="28"/>
      <c r="P837" s="38"/>
      <c r="Q837" s="21"/>
      <c r="R837" s="21"/>
      <c r="S837" s="47"/>
      <c r="T837" s="25">
        <f t="shared" si="27"/>
        <v>0</v>
      </c>
      <c r="U837" s="25" t="str">
        <f>IF('PART III-DEMOGRAPHICS'!Q847="","",'PART III-DEMOGRAPHICS'!Q847)</f>
        <v/>
      </c>
    </row>
    <row r="838" spans="1:21">
      <c r="A838" s="25" t="str">
        <f>IF('PART III-DEMOGRAPHICS'!A848="","",'PART III-DEMOGRAPHICS'!A848)</f>
        <v/>
      </c>
      <c r="B838" s="28"/>
      <c r="C838" s="27"/>
      <c r="D838" s="28"/>
      <c r="E838" s="21"/>
      <c r="F838" s="36" t="str">
        <f t="shared" si="28"/>
        <v>Did Not</v>
      </c>
      <c r="G838" s="28"/>
      <c r="H838" s="28"/>
      <c r="I838" s="28"/>
      <c r="J838" s="28"/>
      <c r="K838" s="28"/>
      <c r="L838" s="28"/>
      <c r="M838" s="28"/>
      <c r="N838" s="21"/>
      <c r="O838" s="28"/>
      <c r="P838" s="38"/>
      <c r="Q838" s="21"/>
      <c r="R838" s="21"/>
      <c r="S838" s="47"/>
      <c r="T838" s="25">
        <f t="shared" si="27"/>
        <v>0</v>
      </c>
      <c r="U838" s="25" t="str">
        <f>IF('PART III-DEMOGRAPHICS'!Q848="","",'PART III-DEMOGRAPHICS'!Q848)</f>
        <v/>
      </c>
    </row>
    <row r="839" spans="1:21">
      <c r="A839" s="25" t="str">
        <f>IF('PART III-DEMOGRAPHICS'!A849="","",'PART III-DEMOGRAPHICS'!A849)</f>
        <v/>
      </c>
      <c r="B839" s="28"/>
      <c r="C839" s="27"/>
      <c r="D839" s="28"/>
      <c r="E839" s="21"/>
      <c r="F839" s="36" t="str">
        <f t="shared" si="28"/>
        <v>Did Not</v>
      </c>
      <c r="G839" s="28"/>
      <c r="H839" s="28"/>
      <c r="I839" s="28"/>
      <c r="J839" s="28"/>
      <c r="K839" s="28"/>
      <c r="L839" s="28"/>
      <c r="M839" s="28"/>
      <c r="N839" s="21"/>
      <c r="O839" s="28"/>
      <c r="P839" s="38"/>
      <c r="Q839" s="21"/>
      <c r="R839" s="21"/>
      <c r="S839" s="47"/>
      <c r="T839" s="25">
        <f t="shared" ref="T839:T902" si="29">COUNTIF(A839:R839,"Yes")</f>
        <v>0</v>
      </c>
      <c r="U839" s="25" t="str">
        <f>IF('PART III-DEMOGRAPHICS'!Q849="","",'PART III-DEMOGRAPHICS'!Q849)</f>
        <v/>
      </c>
    </row>
    <row r="840" spans="1:21">
      <c r="A840" s="25" t="str">
        <f>IF('PART III-DEMOGRAPHICS'!A850="","",'PART III-DEMOGRAPHICS'!A850)</f>
        <v/>
      </c>
      <c r="B840" s="28"/>
      <c r="C840" s="27"/>
      <c r="D840" s="28"/>
      <c r="E840" s="21"/>
      <c r="F840" s="36" t="str">
        <f t="shared" si="28"/>
        <v>Did Not</v>
      </c>
      <c r="G840" s="28"/>
      <c r="H840" s="28"/>
      <c r="I840" s="28"/>
      <c r="J840" s="28"/>
      <c r="K840" s="28"/>
      <c r="L840" s="28"/>
      <c r="M840" s="28"/>
      <c r="N840" s="21"/>
      <c r="O840" s="28"/>
      <c r="P840" s="38"/>
      <c r="Q840" s="21"/>
      <c r="R840" s="21"/>
      <c r="S840" s="47"/>
      <c r="T840" s="25">
        <f t="shared" si="29"/>
        <v>0</v>
      </c>
      <c r="U840" s="25" t="str">
        <f>IF('PART III-DEMOGRAPHICS'!Q850="","",'PART III-DEMOGRAPHICS'!Q850)</f>
        <v/>
      </c>
    </row>
    <row r="841" spans="1:21">
      <c r="A841" s="25" t="str">
        <f>IF('PART III-DEMOGRAPHICS'!A851="","",'PART III-DEMOGRAPHICS'!A851)</f>
        <v/>
      </c>
      <c r="B841" s="28"/>
      <c r="C841" s="27"/>
      <c r="D841" s="28"/>
      <c r="E841" s="21"/>
      <c r="F841" s="36" t="str">
        <f t="shared" si="28"/>
        <v>Did Not</v>
      </c>
      <c r="G841" s="28"/>
      <c r="H841" s="28"/>
      <c r="I841" s="28"/>
      <c r="J841" s="28"/>
      <c r="K841" s="28"/>
      <c r="L841" s="28"/>
      <c r="M841" s="28"/>
      <c r="N841" s="21"/>
      <c r="O841" s="28"/>
      <c r="P841" s="38"/>
      <c r="Q841" s="21"/>
      <c r="R841" s="21"/>
      <c r="S841" s="47"/>
      <c r="T841" s="25">
        <f t="shared" si="29"/>
        <v>0</v>
      </c>
      <c r="U841" s="25" t="str">
        <f>IF('PART III-DEMOGRAPHICS'!Q851="","",'PART III-DEMOGRAPHICS'!Q851)</f>
        <v/>
      </c>
    </row>
    <row r="842" spans="1:21">
      <c r="A842" s="25" t="str">
        <f>IF('PART III-DEMOGRAPHICS'!A852="","",'PART III-DEMOGRAPHICS'!A852)</f>
        <v/>
      </c>
      <c r="B842" s="28"/>
      <c r="C842" s="27"/>
      <c r="D842" s="28"/>
      <c r="E842" s="21"/>
      <c r="F842" s="36" t="str">
        <f t="shared" si="28"/>
        <v>Did Not</v>
      </c>
      <c r="G842" s="28"/>
      <c r="H842" s="28"/>
      <c r="I842" s="28"/>
      <c r="J842" s="28"/>
      <c r="K842" s="28"/>
      <c r="L842" s="28"/>
      <c r="M842" s="28"/>
      <c r="N842" s="21"/>
      <c r="O842" s="28"/>
      <c r="P842" s="38"/>
      <c r="Q842" s="21"/>
      <c r="R842" s="21"/>
      <c r="S842" s="47"/>
      <c r="T842" s="25">
        <f t="shared" si="29"/>
        <v>0</v>
      </c>
      <c r="U842" s="25" t="str">
        <f>IF('PART III-DEMOGRAPHICS'!Q852="","",'PART III-DEMOGRAPHICS'!Q852)</f>
        <v/>
      </c>
    </row>
    <row r="843" spans="1:21">
      <c r="A843" s="25" t="str">
        <f>IF('PART III-DEMOGRAPHICS'!A853="","",'PART III-DEMOGRAPHICS'!A853)</f>
        <v/>
      </c>
      <c r="B843" s="28"/>
      <c r="C843" s="27"/>
      <c r="D843" s="28"/>
      <c r="E843" s="21"/>
      <c r="F843" s="36" t="str">
        <f t="shared" si="28"/>
        <v>Did Not</v>
      </c>
      <c r="G843" s="28"/>
      <c r="H843" s="28"/>
      <c r="I843" s="28"/>
      <c r="J843" s="28"/>
      <c r="K843" s="28"/>
      <c r="L843" s="28"/>
      <c r="M843" s="28"/>
      <c r="N843" s="21"/>
      <c r="O843" s="28"/>
      <c r="P843" s="38"/>
      <c r="Q843" s="21"/>
      <c r="R843" s="21"/>
      <c r="S843" s="47"/>
      <c r="T843" s="25">
        <f t="shared" si="29"/>
        <v>0</v>
      </c>
      <c r="U843" s="25" t="str">
        <f>IF('PART III-DEMOGRAPHICS'!Q853="","",'PART III-DEMOGRAPHICS'!Q853)</f>
        <v/>
      </c>
    </row>
    <row r="844" spans="1:21">
      <c r="A844" s="25" t="str">
        <f>IF('PART III-DEMOGRAPHICS'!A854="","",'PART III-DEMOGRAPHICS'!A854)</f>
        <v/>
      </c>
      <c r="B844" s="28"/>
      <c r="C844" s="27"/>
      <c r="D844" s="28"/>
      <c r="E844" s="21"/>
      <c r="F844" s="36" t="str">
        <f t="shared" si="28"/>
        <v>Did Not</v>
      </c>
      <c r="G844" s="28"/>
      <c r="H844" s="28"/>
      <c r="I844" s="28"/>
      <c r="J844" s="28"/>
      <c r="K844" s="28"/>
      <c r="L844" s="28"/>
      <c r="M844" s="28"/>
      <c r="N844" s="21"/>
      <c r="O844" s="28"/>
      <c r="P844" s="38"/>
      <c r="Q844" s="21"/>
      <c r="R844" s="21"/>
      <c r="S844" s="47"/>
      <c r="T844" s="25">
        <f t="shared" si="29"/>
        <v>0</v>
      </c>
      <c r="U844" s="25" t="str">
        <f>IF('PART III-DEMOGRAPHICS'!Q854="","",'PART III-DEMOGRAPHICS'!Q854)</f>
        <v/>
      </c>
    </row>
    <row r="845" spans="1:21">
      <c r="A845" s="25" t="str">
        <f>IF('PART III-DEMOGRAPHICS'!A855="","",'PART III-DEMOGRAPHICS'!A855)</f>
        <v/>
      </c>
      <c r="B845" s="28"/>
      <c r="C845" s="27"/>
      <c r="D845" s="28"/>
      <c r="E845" s="21"/>
      <c r="F845" s="36" t="str">
        <f t="shared" si="28"/>
        <v>Did Not</v>
      </c>
      <c r="G845" s="28"/>
      <c r="H845" s="28"/>
      <c r="I845" s="28"/>
      <c r="J845" s="28"/>
      <c r="K845" s="28"/>
      <c r="L845" s="28"/>
      <c r="M845" s="28"/>
      <c r="N845" s="21"/>
      <c r="O845" s="28"/>
      <c r="P845" s="38"/>
      <c r="Q845" s="21"/>
      <c r="R845" s="21"/>
      <c r="S845" s="47"/>
      <c r="T845" s="25">
        <f t="shared" si="29"/>
        <v>0</v>
      </c>
      <c r="U845" s="25" t="str">
        <f>IF('PART III-DEMOGRAPHICS'!Q855="","",'PART III-DEMOGRAPHICS'!Q855)</f>
        <v/>
      </c>
    </row>
    <row r="846" spans="1:21">
      <c r="A846" s="25" t="str">
        <f>IF('PART III-DEMOGRAPHICS'!A856="","",'PART III-DEMOGRAPHICS'!A856)</f>
        <v/>
      </c>
      <c r="B846" s="28"/>
      <c r="C846" s="27"/>
      <c r="D846" s="28"/>
      <c r="E846" s="21"/>
      <c r="F846" s="36" t="str">
        <f t="shared" ref="F846:F909" si="30">IF(OR(G846="Yes",H846="Yes",I846="Yes",J846="Yes",K846="Yes",L846="Yes",M846="Yes"),"Did","Did Not")</f>
        <v>Did Not</v>
      </c>
      <c r="G846" s="28"/>
      <c r="H846" s="28"/>
      <c r="I846" s="28"/>
      <c r="J846" s="28"/>
      <c r="K846" s="28"/>
      <c r="L846" s="28"/>
      <c r="M846" s="28"/>
      <c r="N846" s="21"/>
      <c r="O846" s="28"/>
      <c r="P846" s="38"/>
      <c r="Q846" s="21"/>
      <c r="R846" s="21"/>
      <c r="S846" s="47"/>
      <c r="T846" s="25">
        <f t="shared" si="29"/>
        <v>0</v>
      </c>
      <c r="U846" s="25" t="str">
        <f>IF('PART III-DEMOGRAPHICS'!Q856="","",'PART III-DEMOGRAPHICS'!Q856)</f>
        <v/>
      </c>
    </row>
    <row r="847" spans="1:21">
      <c r="A847" s="25" t="str">
        <f>IF('PART III-DEMOGRAPHICS'!A857="","",'PART III-DEMOGRAPHICS'!A857)</f>
        <v/>
      </c>
      <c r="B847" s="28"/>
      <c r="C847" s="27"/>
      <c r="D847" s="28"/>
      <c r="E847" s="21"/>
      <c r="F847" s="36" t="str">
        <f t="shared" si="30"/>
        <v>Did Not</v>
      </c>
      <c r="G847" s="28"/>
      <c r="H847" s="28"/>
      <c r="I847" s="28"/>
      <c r="J847" s="28"/>
      <c r="K847" s="28"/>
      <c r="L847" s="28"/>
      <c r="M847" s="28"/>
      <c r="N847" s="21"/>
      <c r="O847" s="28"/>
      <c r="P847" s="38"/>
      <c r="Q847" s="21"/>
      <c r="R847" s="21"/>
      <c r="S847" s="47"/>
      <c r="T847" s="25">
        <f t="shared" si="29"/>
        <v>0</v>
      </c>
      <c r="U847" s="25" t="str">
        <f>IF('PART III-DEMOGRAPHICS'!Q857="","",'PART III-DEMOGRAPHICS'!Q857)</f>
        <v/>
      </c>
    </row>
    <row r="848" spans="1:21">
      <c r="A848" s="25" t="str">
        <f>IF('PART III-DEMOGRAPHICS'!A858="","",'PART III-DEMOGRAPHICS'!A858)</f>
        <v/>
      </c>
      <c r="B848" s="28"/>
      <c r="C848" s="27"/>
      <c r="D848" s="28"/>
      <c r="E848" s="21"/>
      <c r="F848" s="36" t="str">
        <f t="shared" si="30"/>
        <v>Did Not</v>
      </c>
      <c r="G848" s="28"/>
      <c r="H848" s="28"/>
      <c r="I848" s="28"/>
      <c r="J848" s="28"/>
      <c r="K848" s="28"/>
      <c r="L848" s="28"/>
      <c r="M848" s="28"/>
      <c r="N848" s="21"/>
      <c r="O848" s="28"/>
      <c r="P848" s="38"/>
      <c r="Q848" s="21"/>
      <c r="R848" s="21"/>
      <c r="S848" s="47"/>
      <c r="T848" s="25">
        <f t="shared" si="29"/>
        <v>0</v>
      </c>
      <c r="U848" s="25" t="str">
        <f>IF('PART III-DEMOGRAPHICS'!Q858="","",'PART III-DEMOGRAPHICS'!Q858)</f>
        <v/>
      </c>
    </row>
    <row r="849" spans="1:21">
      <c r="A849" s="25" t="str">
        <f>IF('PART III-DEMOGRAPHICS'!A859="","",'PART III-DEMOGRAPHICS'!A859)</f>
        <v/>
      </c>
      <c r="B849" s="28"/>
      <c r="C849" s="27"/>
      <c r="D849" s="28"/>
      <c r="E849" s="21"/>
      <c r="F849" s="36" t="str">
        <f t="shared" si="30"/>
        <v>Did Not</v>
      </c>
      <c r="G849" s="28"/>
      <c r="H849" s="28"/>
      <c r="I849" s="28"/>
      <c r="J849" s="28"/>
      <c r="K849" s="28"/>
      <c r="L849" s="28"/>
      <c r="M849" s="28"/>
      <c r="N849" s="21"/>
      <c r="O849" s="28"/>
      <c r="P849" s="38"/>
      <c r="Q849" s="21"/>
      <c r="R849" s="21"/>
      <c r="S849" s="47"/>
      <c r="T849" s="25">
        <f t="shared" si="29"/>
        <v>0</v>
      </c>
      <c r="U849" s="25" t="str">
        <f>IF('PART III-DEMOGRAPHICS'!Q859="","",'PART III-DEMOGRAPHICS'!Q859)</f>
        <v/>
      </c>
    </row>
    <row r="850" spans="1:21">
      <c r="A850" s="25" t="str">
        <f>IF('PART III-DEMOGRAPHICS'!A860="","",'PART III-DEMOGRAPHICS'!A860)</f>
        <v/>
      </c>
      <c r="B850" s="28"/>
      <c r="C850" s="27"/>
      <c r="D850" s="28"/>
      <c r="E850" s="21"/>
      <c r="F850" s="36" t="str">
        <f t="shared" si="30"/>
        <v>Did Not</v>
      </c>
      <c r="G850" s="28"/>
      <c r="H850" s="28"/>
      <c r="I850" s="28"/>
      <c r="J850" s="28"/>
      <c r="K850" s="28"/>
      <c r="L850" s="28"/>
      <c r="M850" s="28"/>
      <c r="N850" s="21"/>
      <c r="O850" s="28"/>
      <c r="P850" s="38"/>
      <c r="Q850" s="21"/>
      <c r="R850" s="21"/>
      <c r="S850" s="47"/>
      <c r="T850" s="25">
        <f t="shared" si="29"/>
        <v>0</v>
      </c>
      <c r="U850" s="25" t="str">
        <f>IF('PART III-DEMOGRAPHICS'!Q860="","",'PART III-DEMOGRAPHICS'!Q860)</f>
        <v/>
      </c>
    </row>
    <row r="851" spans="1:21">
      <c r="A851" s="25" t="str">
        <f>IF('PART III-DEMOGRAPHICS'!A861="","",'PART III-DEMOGRAPHICS'!A861)</f>
        <v/>
      </c>
      <c r="B851" s="28"/>
      <c r="C851" s="27"/>
      <c r="D851" s="28"/>
      <c r="E851" s="21"/>
      <c r="F851" s="36" t="str">
        <f t="shared" si="30"/>
        <v>Did Not</v>
      </c>
      <c r="G851" s="28"/>
      <c r="H851" s="28"/>
      <c r="I851" s="28"/>
      <c r="J851" s="28"/>
      <c r="K851" s="28"/>
      <c r="L851" s="28"/>
      <c r="M851" s="28"/>
      <c r="N851" s="21"/>
      <c r="O851" s="28"/>
      <c r="P851" s="38"/>
      <c r="Q851" s="21"/>
      <c r="R851" s="21"/>
      <c r="S851" s="47"/>
      <c r="T851" s="25">
        <f t="shared" si="29"/>
        <v>0</v>
      </c>
      <c r="U851" s="25" t="str">
        <f>IF('PART III-DEMOGRAPHICS'!Q861="","",'PART III-DEMOGRAPHICS'!Q861)</f>
        <v/>
      </c>
    </row>
    <row r="852" spans="1:21">
      <c r="A852" s="25" t="str">
        <f>IF('PART III-DEMOGRAPHICS'!A862="","",'PART III-DEMOGRAPHICS'!A862)</f>
        <v/>
      </c>
      <c r="B852" s="28"/>
      <c r="C852" s="27"/>
      <c r="D852" s="28"/>
      <c r="E852" s="21"/>
      <c r="F852" s="36" t="str">
        <f t="shared" si="30"/>
        <v>Did Not</v>
      </c>
      <c r="G852" s="28"/>
      <c r="H852" s="28"/>
      <c r="I852" s="28"/>
      <c r="J852" s="28"/>
      <c r="K852" s="28"/>
      <c r="L852" s="28"/>
      <c r="M852" s="28"/>
      <c r="N852" s="21"/>
      <c r="O852" s="28"/>
      <c r="P852" s="38"/>
      <c r="Q852" s="21"/>
      <c r="R852" s="21"/>
      <c r="S852" s="47"/>
      <c r="T852" s="25">
        <f t="shared" si="29"/>
        <v>0</v>
      </c>
      <c r="U852" s="25" t="str">
        <f>IF('PART III-DEMOGRAPHICS'!Q862="","",'PART III-DEMOGRAPHICS'!Q862)</f>
        <v/>
      </c>
    </row>
    <row r="853" spans="1:21">
      <c r="A853" s="25" t="str">
        <f>IF('PART III-DEMOGRAPHICS'!A863="","",'PART III-DEMOGRAPHICS'!A863)</f>
        <v/>
      </c>
      <c r="B853" s="28"/>
      <c r="C853" s="27"/>
      <c r="D853" s="28"/>
      <c r="E853" s="21"/>
      <c r="F853" s="36" t="str">
        <f t="shared" si="30"/>
        <v>Did Not</v>
      </c>
      <c r="G853" s="28"/>
      <c r="H853" s="28"/>
      <c r="I853" s="28"/>
      <c r="J853" s="28"/>
      <c r="K853" s="28"/>
      <c r="L853" s="28"/>
      <c r="M853" s="28"/>
      <c r="N853" s="21"/>
      <c r="O853" s="28"/>
      <c r="P853" s="38"/>
      <c r="Q853" s="21"/>
      <c r="R853" s="21"/>
      <c r="S853" s="47"/>
      <c r="T853" s="25">
        <f t="shared" si="29"/>
        <v>0</v>
      </c>
      <c r="U853" s="25" t="str">
        <f>IF('PART III-DEMOGRAPHICS'!Q863="","",'PART III-DEMOGRAPHICS'!Q863)</f>
        <v/>
      </c>
    </row>
    <row r="854" spans="1:21">
      <c r="A854" s="25" t="str">
        <f>IF('PART III-DEMOGRAPHICS'!A864="","",'PART III-DEMOGRAPHICS'!A864)</f>
        <v/>
      </c>
      <c r="B854" s="28"/>
      <c r="C854" s="27"/>
      <c r="D854" s="28"/>
      <c r="E854" s="21"/>
      <c r="F854" s="36" t="str">
        <f t="shared" si="30"/>
        <v>Did Not</v>
      </c>
      <c r="G854" s="28"/>
      <c r="H854" s="28"/>
      <c r="I854" s="28"/>
      <c r="J854" s="28"/>
      <c r="K854" s="28"/>
      <c r="L854" s="28"/>
      <c r="M854" s="28"/>
      <c r="N854" s="21"/>
      <c r="O854" s="28"/>
      <c r="P854" s="38"/>
      <c r="Q854" s="21"/>
      <c r="R854" s="21"/>
      <c r="S854" s="47"/>
      <c r="T854" s="25">
        <f t="shared" si="29"/>
        <v>0</v>
      </c>
      <c r="U854" s="25" t="str">
        <f>IF('PART III-DEMOGRAPHICS'!Q864="","",'PART III-DEMOGRAPHICS'!Q864)</f>
        <v/>
      </c>
    </row>
    <row r="855" spans="1:21">
      <c r="A855" s="25" t="str">
        <f>IF('PART III-DEMOGRAPHICS'!A865="","",'PART III-DEMOGRAPHICS'!A865)</f>
        <v/>
      </c>
      <c r="B855" s="28"/>
      <c r="C855" s="27"/>
      <c r="D855" s="28"/>
      <c r="E855" s="21"/>
      <c r="F855" s="36" t="str">
        <f t="shared" si="30"/>
        <v>Did Not</v>
      </c>
      <c r="G855" s="28"/>
      <c r="H855" s="28"/>
      <c r="I855" s="28"/>
      <c r="J855" s="28"/>
      <c r="K855" s="28"/>
      <c r="L855" s="28"/>
      <c r="M855" s="28"/>
      <c r="N855" s="21"/>
      <c r="O855" s="28"/>
      <c r="P855" s="38"/>
      <c r="Q855" s="21"/>
      <c r="R855" s="21"/>
      <c r="S855" s="47"/>
      <c r="T855" s="25">
        <f t="shared" si="29"/>
        <v>0</v>
      </c>
      <c r="U855" s="25" t="str">
        <f>IF('PART III-DEMOGRAPHICS'!Q865="","",'PART III-DEMOGRAPHICS'!Q865)</f>
        <v/>
      </c>
    </row>
    <row r="856" spans="1:21">
      <c r="A856" s="25" t="str">
        <f>IF('PART III-DEMOGRAPHICS'!A866="","",'PART III-DEMOGRAPHICS'!A866)</f>
        <v/>
      </c>
      <c r="B856" s="28"/>
      <c r="C856" s="27"/>
      <c r="D856" s="28"/>
      <c r="E856" s="21"/>
      <c r="F856" s="36" t="str">
        <f t="shared" si="30"/>
        <v>Did Not</v>
      </c>
      <c r="G856" s="28"/>
      <c r="H856" s="28"/>
      <c r="I856" s="28"/>
      <c r="J856" s="28"/>
      <c r="K856" s="28"/>
      <c r="L856" s="28"/>
      <c r="M856" s="28"/>
      <c r="N856" s="21"/>
      <c r="O856" s="28"/>
      <c r="P856" s="38"/>
      <c r="Q856" s="21"/>
      <c r="R856" s="21"/>
      <c r="S856" s="47"/>
      <c r="T856" s="25">
        <f t="shared" si="29"/>
        <v>0</v>
      </c>
      <c r="U856" s="25" t="str">
        <f>IF('PART III-DEMOGRAPHICS'!Q866="","",'PART III-DEMOGRAPHICS'!Q866)</f>
        <v/>
      </c>
    </row>
    <row r="857" spans="1:21">
      <c r="A857" s="25" t="str">
        <f>IF('PART III-DEMOGRAPHICS'!A867="","",'PART III-DEMOGRAPHICS'!A867)</f>
        <v/>
      </c>
      <c r="B857" s="28"/>
      <c r="C857" s="27"/>
      <c r="D857" s="28"/>
      <c r="E857" s="21"/>
      <c r="F857" s="36" t="str">
        <f t="shared" si="30"/>
        <v>Did Not</v>
      </c>
      <c r="G857" s="28"/>
      <c r="H857" s="28"/>
      <c r="I857" s="28"/>
      <c r="J857" s="28"/>
      <c r="K857" s="28"/>
      <c r="L857" s="28"/>
      <c r="M857" s="28"/>
      <c r="N857" s="21"/>
      <c r="O857" s="28"/>
      <c r="P857" s="38"/>
      <c r="Q857" s="21"/>
      <c r="R857" s="21"/>
      <c r="S857" s="47"/>
      <c r="T857" s="25">
        <f t="shared" si="29"/>
        <v>0</v>
      </c>
      <c r="U857" s="25" t="str">
        <f>IF('PART III-DEMOGRAPHICS'!Q867="","",'PART III-DEMOGRAPHICS'!Q867)</f>
        <v/>
      </c>
    </row>
    <row r="858" spans="1:21">
      <c r="A858" s="25" t="str">
        <f>IF('PART III-DEMOGRAPHICS'!A868="","",'PART III-DEMOGRAPHICS'!A868)</f>
        <v/>
      </c>
      <c r="B858" s="28"/>
      <c r="C858" s="27"/>
      <c r="D858" s="28"/>
      <c r="E858" s="21"/>
      <c r="F858" s="36" t="str">
        <f t="shared" si="30"/>
        <v>Did Not</v>
      </c>
      <c r="G858" s="28"/>
      <c r="H858" s="28"/>
      <c r="I858" s="28"/>
      <c r="J858" s="28"/>
      <c r="K858" s="28"/>
      <c r="L858" s="28"/>
      <c r="M858" s="28"/>
      <c r="N858" s="21"/>
      <c r="O858" s="28"/>
      <c r="P858" s="38"/>
      <c r="Q858" s="21"/>
      <c r="R858" s="21"/>
      <c r="S858" s="47"/>
      <c r="T858" s="25">
        <f t="shared" si="29"/>
        <v>0</v>
      </c>
      <c r="U858" s="25" t="str">
        <f>IF('PART III-DEMOGRAPHICS'!Q868="","",'PART III-DEMOGRAPHICS'!Q868)</f>
        <v/>
      </c>
    </row>
    <row r="859" spans="1:21">
      <c r="A859" s="25" t="str">
        <f>IF('PART III-DEMOGRAPHICS'!A869="","",'PART III-DEMOGRAPHICS'!A869)</f>
        <v/>
      </c>
      <c r="B859" s="28"/>
      <c r="C859" s="27"/>
      <c r="D859" s="28"/>
      <c r="E859" s="21"/>
      <c r="F859" s="36" t="str">
        <f t="shared" si="30"/>
        <v>Did Not</v>
      </c>
      <c r="G859" s="28"/>
      <c r="H859" s="28"/>
      <c r="I859" s="28"/>
      <c r="J859" s="28"/>
      <c r="K859" s="28"/>
      <c r="L859" s="28"/>
      <c r="M859" s="28"/>
      <c r="N859" s="21"/>
      <c r="O859" s="28"/>
      <c r="P859" s="38"/>
      <c r="Q859" s="21"/>
      <c r="R859" s="21"/>
      <c r="S859" s="47"/>
      <c r="T859" s="25">
        <f t="shared" si="29"/>
        <v>0</v>
      </c>
      <c r="U859" s="25" t="str">
        <f>IF('PART III-DEMOGRAPHICS'!Q869="","",'PART III-DEMOGRAPHICS'!Q869)</f>
        <v/>
      </c>
    </row>
    <row r="860" spans="1:21">
      <c r="A860" s="25" t="str">
        <f>IF('PART III-DEMOGRAPHICS'!A870="","",'PART III-DEMOGRAPHICS'!A870)</f>
        <v/>
      </c>
      <c r="B860" s="28"/>
      <c r="C860" s="27"/>
      <c r="D860" s="28"/>
      <c r="E860" s="21"/>
      <c r="F860" s="36" t="str">
        <f t="shared" si="30"/>
        <v>Did Not</v>
      </c>
      <c r="G860" s="28"/>
      <c r="H860" s="28"/>
      <c r="I860" s="28"/>
      <c r="J860" s="28"/>
      <c r="K860" s="28"/>
      <c r="L860" s="28"/>
      <c r="M860" s="28"/>
      <c r="N860" s="21"/>
      <c r="O860" s="28"/>
      <c r="P860" s="38"/>
      <c r="Q860" s="21"/>
      <c r="R860" s="21"/>
      <c r="S860" s="47"/>
      <c r="T860" s="25">
        <f t="shared" si="29"/>
        <v>0</v>
      </c>
      <c r="U860" s="25" t="str">
        <f>IF('PART III-DEMOGRAPHICS'!Q870="","",'PART III-DEMOGRAPHICS'!Q870)</f>
        <v/>
      </c>
    </row>
    <row r="861" spans="1:21">
      <c r="A861" s="25" t="str">
        <f>IF('PART III-DEMOGRAPHICS'!A871="","",'PART III-DEMOGRAPHICS'!A871)</f>
        <v/>
      </c>
      <c r="B861" s="28"/>
      <c r="C861" s="27"/>
      <c r="D861" s="28"/>
      <c r="E861" s="21"/>
      <c r="F861" s="36" t="str">
        <f t="shared" si="30"/>
        <v>Did Not</v>
      </c>
      <c r="G861" s="28"/>
      <c r="H861" s="28"/>
      <c r="I861" s="28"/>
      <c r="J861" s="28"/>
      <c r="K861" s="28"/>
      <c r="L861" s="28"/>
      <c r="M861" s="28"/>
      <c r="N861" s="21"/>
      <c r="O861" s="28"/>
      <c r="P861" s="38"/>
      <c r="Q861" s="21"/>
      <c r="R861" s="21"/>
      <c r="S861" s="47"/>
      <c r="T861" s="25">
        <f t="shared" si="29"/>
        <v>0</v>
      </c>
      <c r="U861" s="25" t="str">
        <f>IF('PART III-DEMOGRAPHICS'!Q871="","",'PART III-DEMOGRAPHICS'!Q871)</f>
        <v/>
      </c>
    </row>
    <row r="862" spans="1:21">
      <c r="A862" s="25" t="str">
        <f>IF('PART III-DEMOGRAPHICS'!A872="","",'PART III-DEMOGRAPHICS'!A872)</f>
        <v/>
      </c>
      <c r="B862" s="28"/>
      <c r="C862" s="27"/>
      <c r="D862" s="28"/>
      <c r="E862" s="21"/>
      <c r="F862" s="36" t="str">
        <f t="shared" si="30"/>
        <v>Did Not</v>
      </c>
      <c r="G862" s="28"/>
      <c r="H862" s="28"/>
      <c r="I862" s="28"/>
      <c r="J862" s="28"/>
      <c r="K862" s="28"/>
      <c r="L862" s="28"/>
      <c r="M862" s="28"/>
      <c r="N862" s="21"/>
      <c r="O862" s="28"/>
      <c r="P862" s="38"/>
      <c r="Q862" s="21"/>
      <c r="R862" s="21"/>
      <c r="S862" s="47"/>
      <c r="T862" s="25">
        <f t="shared" si="29"/>
        <v>0</v>
      </c>
      <c r="U862" s="25" t="str">
        <f>IF('PART III-DEMOGRAPHICS'!Q872="","",'PART III-DEMOGRAPHICS'!Q872)</f>
        <v/>
      </c>
    </row>
    <row r="863" spans="1:21">
      <c r="A863" s="25" t="str">
        <f>IF('PART III-DEMOGRAPHICS'!A873="","",'PART III-DEMOGRAPHICS'!A873)</f>
        <v/>
      </c>
      <c r="B863" s="28"/>
      <c r="C863" s="27"/>
      <c r="D863" s="28"/>
      <c r="E863" s="21"/>
      <c r="F863" s="36" t="str">
        <f t="shared" si="30"/>
        <v>Did Not</v>
      </c>
      <c r="G863" s="28"/>
      <c r="H863" s="28"/>
      <c r="I863" s="28"/>
      <c r="J863" s="28"/>
      <c r="K863" s="28"/>
      <c r="L863" s="28"/>
      <c r="M863" s="28"/>
      <c r="N863" s="21"/>
      <c r="O863" s="28"/>
      <c r="P863" s="38"/>
      <c r="Q863" s="21"/>
      <c r="R863" s="21"/>
      <c r="S863" s="47"/>
      <c r="T863" s="25">
        <f t="shared" si="29"/>
        <v>0</v>
      </c>
      <c r="U863" s="25" t="str">
        <f>IF('PART III-DEMOGRAPHICS'!Q873="","",'PART III-DEMOGRAPHICS'!Q873)</f>
        <v/>
      </c>
    </row>
    <row r="864" spans="1:21">
      <c r="A864" s="25" t="str">
        <f>IF('PART III-DEMOGRAPHICS'!A874="","",'PART III-DEMOGRAPHICS'!A874)</f>
        <v/>
      </c>
      <c r="B864" s="28"/>
      <c r="C864" s="27"/>
      <c r="D864" s="28"/>
      <c r="E864" s="21"/>
      <c r="F864" s="36" t="str">
        <f t="shared" si="30"/>
        <v>Did Not</v>
      </c>
      <c r="G864" s="28"/>
      <c r="H864" s="28"/>
      <c r="I864" s="28"/>
      <c r="J864" s="28"/>
      <c r="K864" s="28"/>
      <c r="L864" s="28"/>
      <c r="M864" s="28"/>
      <c r="N864" s="21"/>
      <c r="O864" s="28"/>
      <c r="P864" s="38"/>
      <c r="Q864" s="21"/>
      <c r="R864" s="21"/>
      <c r="S864" s="47"/>
      <c r="T864" s="25">
        <f t="shared" si="29"/>
        <v>0</v>
      </c>
      <c r="U864" s="25" t="str">
        <f>IF('PART III-DEMOGRAPHICS'!Q874="","",'PART III-DEMOGRAPHICS'!Q874)</f>
        <v/>
      </c>
    </row>
    <row r="865" spans="1:21">
      <c r="A865" s="25" t="str">
        <f>IF('PART III-DEMOGRAPHICS'!A875="","",'PART III-DEMOGRAPHICS'!A875)</f>
        <v/>
      </c>
      <c r="B865" s="28"/>
      <c r="C865" s="27"/>
      <c r="D865" s="28"/>
      <c r="E865" s="21"/>
      <c r="F865" s="36" t="str">
        <f t="shared" si="30"/>
        <v>Did Not</v>
      </c>
      <c r="G865" s="28"/>
      <c r="H865" s="28"/>
      <c r="I865" s="28"/>
      <c r="J865" s="28"/>
      <c r="K865" s="28"/>
      <c r="L865" s="28"/>
      <c r="M865" s="28"/>
      <c r="N865" s="21"/>
      <c r="O865" s="28"/>
      <c r="P865" s="38"/>
      <c r="Q865" s="21"/>
      <c r="R865" s="21"/>
      <c r="S865" s="47"/>
      <c r="T865" s="25">
        <f t="shared" si="29"/>
        <v>0</v>
      </c>
      <c r="U865" s="25" t="str">
        <f>IF('PART III-DEMOGRAPHICS'!Q875="","",'PART III-DEMOGRAPHICS'!Q875)</f>
        <v/>
      </c>
    </row>
    <row r="866" spans="1:21">
      <c r="A866" s="25" t="str">
        <f>IF('PART III-DEMOGRAPHICS'!A876="","",'PART III-DEMOGRAPHICS'!A876)</f>
        <v/>
      </c>
      <c r="B866" s="28"/>
      <c r="C866" s="27"/>
      <c r="D866" s="28"/>
      <c r="E866" s="21"/>
      <c r="F866" s="36" t="str">
        <f t="shared" si="30"/>
        <v>Did Not</v>
      </c>
      <c r="G866" s="28"/>
      <c r="H866" s="28"/>
      <c r="I866" s="28"/>
      <c r="J866" s="28"/>
      <c r="K866" s="28"/>
      <c r="L866" s="28"/>
      <c r="M866" s="28"/>
      <c r="N866" s="21"/>
      <c r="O866" s="28"/>
      <c r="P866" s="38"/>
      <c r="Q866" s="21"/>
      <c r="R866" s="21"/>
      <c r="S866" s="47"/>
      <c r="T866" s="25">
        <f t="shared" si="29"/>
        <v>0</v>
      </c>
      <c r="U866" s="25" t="str">
        <f>IF('PART III-DEMOGRAPHICS'!Q876="","",'PART III-DEMOGRAPHICS'!Q876)</f>
        <v/>
      </c>
    </row>
    <row r="867" spans="1:21">
      <c r="A867" s="25" t="str">
        <f>IF('PART III-DEMOGRAPHICS'!A877="","",'PART III-DEMOGRAPHICS'!A877)</f>
        <v/>
      </c>
      <c r="B867" s="28"/>
      <c r="C867" s="27"/>
      <c r="D867" s="28"/>
      <c r="E867" s="21"/>
      <c r="F867" s="36" t="str">
        <f t="shared" si="30"/>
        <v>Did Not</v>
      </c>
      <c r="G867" s="28"/>
      <c r="H867" s="28"/>
      <c r="I867" s="28"/>
      <c r="J867" s="28"/>
      <c r="K867" s="28"/>
      <c r="L867" s="28"/>
      <c r="M867" s="28"/>
      <c r="N867" s="21"/>
      <c r="O867" s="28"/>
      <c r="P867" s="38"/>
      <c r="Q867" s="21"/>
      <c r="R867" s="21"/>
      <c r="S867" s="47"/>
      <c r="T867" s="25">
        <f t="shared" si="29"/>
        <v>0</v>
      </c>
      <c r="U867" s="25" t="str">
        <f>IF('PART III-DEMOGRAPHICS'!Q877="","",'PART III-DEMOGRAPHICS'!Q877)</f>
        <v/>
      </c>
    </row>
    <row r="868" spans="1:21">
      <c r="A868" s="25" t="str">
        <f>IF('PART III-DEMOGRAPHICS'!A878="","",'PART III-DEMOGRAPHICS'!A878)</f>
        <v/>
      </c>
      <c r="B868" s="28"/>
      <c r="C868" s="27"/>
      <c r="D868" s="28"/>
      <c r="E868" s="21"/>
      <c r="F868" s="36" t="str">
        <f t="shared" si="30"/>
        <v>Did Not</v>
      </c>
      <c r="G868" s="28"/>
      <c r="H868" s="28"/>
      <c r="I868" s="28"/>
      <c r="J868" s="28"/>
      <c r="K868" s="28"/>
      <c r="L868" s="28"/>
      <c r="M868" s="28"/>
      <c r="N868" s="21"/>
      <c r="O868" s="28"/>
      <c r="P868" s="38"/>
      <c r="Q868" s="21"/>
      <c r="R868" s="21"/>
      <c r="S868" s="47"/>
      <c r="T868" s="25">
        <f t="shared" si="29"/>
        <v>0</v>
      </c>
      <c r="U868" s="25" t="str">
        <f>IF('PART III-DEMOGRAPHICS'!Q878="","",'PART III-DEMOGRAPHICS'!Q878)</f>
        <v/>
      </c>
    </row>
    <row r="869" spans="1:21">
      <c r="A869" s="25" t="str">
        <f>IF('PART III-DEMOGRAPHICS'!A879="","",'PART III-DEMOGRAPHICS'!A879)</f>
        <v/>
      </c>
      <c r="B869" s="28"/>
      <c r="C869" s="27"/>
      <c r="D869" s="28"/>
      <c r="E869" s="21"/>
      <c r="F869" s="36" t="str">
        <f t="shared" si="30"/>
        <v>Did Not</v>
      </c>
      <c r="G869" s="28"/>
      <c r="H869" s="28"/>
      <c r="I869" s="28"/>
      <c r="J869" s="28"/>
      <c r="K869" s="28"/>
      <c r="L869" s="28"/>
      <c r="M869" s="28"/>
      <c r="N869" s="21"/>
      <c r="O869" s="28"/>
      <c r="P869" s="38"/>
      <c r="Q869" s="21"/>
      <c r="R869" s="21"/>
      <c r="S869" s="47"/>
      <c r="T869" s="25">
        <f t="shared" si="29"/>
        <v>0</v>
      </c>
      <c r="U869" s="25" t="str">
        <f>IF('PART III-DEMOGRAPHICS'!Q879="","",'PART III-DEMOGRAPHICS'!Q879)</f>
        <v/>
      </c>
    </row>
    <row r="870" spans="1:21">
      <c r="A870" s="25" t="str">
        <f>IF('PART III-DEMOGRAPHICS'!A880="","",'PART III-DEMOGRAPHICS'!A880)</f>
        <v/>
      </c>
      <c r="B870" s="28"/>
      <c r="C870" s="27"/>
      <c r="D870" s="28"/>
      <c r="E870" s="21"/>
      <c r="F870" s="36" t="str">
        <f t="shared" si="30"/>
        <v>Did Not</v>
      </c>
      <c r="G870" s="28"/>
      <c r="H870" s="28"/>
      <c r="I870" s="28"/>
      <c r="J870" s="28"/>
      <c r="K870" s="28"/>
      <c r="L870" s="28"/>
      <c r="M870" s="28"/>
      <c r="N870" s="21"/>
      <c r="O870" s="28"/>
      <c r="P870" s="38"/>
      <c r="Q870" s="21"/>
      <c r="R870" s="21"/>
      <c r="S870" s="47"/>
      <c r="T870" s="25">
        <f t="shared" si="29"/>
        <v>0</v>
      </c>
      <c r="U870" s="25" t="str">
        <f>IF('PART III-DEMOGRAPHICS'!Q880="","",'PART III-DEMOGRAPHICS'!Q880)</f>
        <v/>
      </c>
    </row>
    <row r="871" spans="1:21">
      <c r="A871" s="25" t="str">
        <f>IF('PART III-DEMOGRAPHICS'!A881="","",'PART III-DEMOGRAPHICS'!A881)</f>
        <v/>
      </c>
      <c r="B871" s="28"/>
      <c r="C871" s="27"/>
      <c r="D871" s="28"/>
      <c r="E871" s="21"/>
      <c r="F871" s="36" t="str">
        <f t="shared" si="30"/>
        <v>Did Not</v>
      </c>
      <c r="G871" s="28"/>
      <c r="H871" s="28"/>
      <c r="I871" s="28"/>
      <c r="J871" s="28"/>
      <c r="K871" s="28"/>
      <c r="L871" s="28"/>
      <c r="M871" s="28"/>
      <c r="N871" s="21"/>
      <c r="O871" s="28"/>
      <c r="P871" s="38"/>
      <c r="Q871" s="21"/>
      <c r="R871" s="21"/>
      <c r="S871" s="47"/>
      <c r="T871" s="25">
        <f t="shared" si="29"/>
        <v>0</v>
      </c>
      <c r="U871" s="25" t="str">
        <f>IF('PART III-DEMOGRAPHICS'!Q881="","",'PART III-DEMOGRAPHICS'!Q881)</f>
        <v/>
      </c>
    </row>
    <row r="872" spans="1:21">
      <c r="A872" s="25" t="str">
        <f>IF('PART III-DEMOGRAPHICS'!A882="","",'PART III-DEMOGRAPHICS'!A882)</f>
        <v/>
      </c>
      <c r="B872" s="28"/>
      <c r="C872" s="27"/>
      <c r="D872" s="28"/>
      <c r="E872" s="21"/>
      <c r="F872" s="36" t="str">
        <f t="shared" si="30"/>
        <v>Did Not</v>
      </c>
      <c r="G872" s="28"/>
      <c r="H872" s="28"/>
      <c r="I872" s="28"/>
      <c r="J872" s="28"/>
      <c r="K872" s="28"/>
      <c r="L872" s="28"/>
      <c r="M872" s="28"/>
      <c r="N872" s="21"/>
      <c r="O872" s="28"/>
      <c r="P872" s="38"/>
      <c r="Q872" s="21"/>
      <c r="R872" s="21"/>
      <c r="S872" s="47"/>
      <c r="T872" s="25">
        <f t="shared" si="29"/>
        <v>0</v>
      </c>
      <c r="U872" s="25" t="str">
        <f>IF('PART III-DEMOGRAPHICS'!Q882="","",'PART III-DEMOGRAPHICS'!Q882)</f>
        <v/>
      </c>
    </row>
    <row r="873" spans="1:21">
      <c r="A873" s="25" t="str">
        <f>IF('PART III-DEMOGRAPHICS'!A883="","",'PART III-DEMOGRAPHICS'!A883)</f>
        <v/>
      </c>
      <c r="B873" s="28"/>
      <c r="C873" s="27"/>
      <c r="D873" s="28"/>
      <c r="E873" s="21"/>
      <c r="F873" s="36" t="str">
        <f t="shared" si="30"/>
        <v>Did Not</v>
      </c>
      <c r="G873" s="28"/>
      <c r="H873" s="28"/>
      <c r="I873" s="28"/>
      <c r="J873" s="28"/>
      <c r="K873" s="28"/>
      <c r="L873" s="28"/>
      <c r="M873" s="28"/>
      <c r="N873" s="21"/>
      <c r="O873" s="28"/>
      <c r="P873" s="38"/>
      <c r="Q873" s="21"/>
      <c r="R873" s="21"/>
      <c r="S873" s="47"/>
      <c r="T873" s="25">
        <f t="shared" si="29"/>
        <v>0</v>
      </c>
      <c r="U873" s="25" t="str">
        <f>IF('PART III-DEMOGRAPHICS'!Q883="","",'PART III-DEMOGRAPHICS'!Q883)</f>
        <v/>
      </c>
    </row>
    <row r="874" spans="1:21">
      <c r="A874" s="25" t="str">
        <f>IF('PART III-DEMOGRAPHICS'!A884="","",'PART III-DEMOGRAPHICS'!A884)</f>
        <v/>
      </c>
      <c r="B874" s="28"/>
      <c r="C874" s="27"/>
      <c r="D874" s="28"/>
      <c r="E874" s="21"/>
      <c r="F874" s="36" t="str">
        <f t="shared" si="30"/>
        <v>Did Not</v>
      </c>
      <c r="G874" s="28"/>
      <c r="H874" s="28"/>
      <c r="I874" s="28"/>
      <c r="J874" s="28"/>
      <c r="K874" s="28"/>
      <c r="L874" s="28"/>
      <c r="M874" s="28"/>
      <c r="N874" s="21"/>
      <c r="O874" s="28"/>
      <c r="P874" s="38"/>
      <c r="Q874" s="21"/>
      <c r="R874" s="21"/>
      <c r="S874" s="47"/>
      <c r="T874" s="25">
        <f t="shared" si="29"/>
        <v>0</v>
      </c>
      <c r="U874" s="25" t="str">
        <f>IF('PART III-DEMOGRAPHICS'!Q884="","",'PART III-DEMOGRAPHICS'!Q884)</f>
        <v/>
      </c>
    </row>
    <row r="875" spans="1:21">
      <c r="A875" s="25" t="str">
        <f>IF('PART III-DEMOGRAPHICS'!A885="","",'PART III-DEMOGRAPHICS'!A885)</f>
        <v/>
      </c>
      <c r="B875" s="28"/>
      <c r="C875" s="27"/>
      <c r="D875" s="28"/>
      <c r="E875" s="21"/>
      <c r="F875" s="36" t="str">
        <f t="shared" si="30"/>
        <v>Did Not</v>
      </c>
      <c r="G875" s="28"/>
      <c r="H875" s="28"/>
      <c r="I875" s="28"/>
      <c r="J875" s="28"/>
      <c r="K875" s="28"/>
      <c r="L875" s="28"/>
      <c r="M875" s="28"/>
      <c r="N875" s="21"/>
      <c r="O875" s="28"/>
      <c r="P875" s="38"/>
      <c r="Q875" s="21"/>
      <c r="R875" s="21"/>
      <c r="S875" s="47"/>
      <c r="T875" s="25">
        <f t="shared" si="29"/>
        <v>0</v>
      </c>
      <c r="U875" s="25" t="str">
        <f>IF('PART III-DEMOGRAPHICS'!Q885="","",'PART III-DEMOGRAPHICS'!Q885)</f>
        <v/>
      </c>
    </row>
    <row r="876" spans="1:21">
      <c r="A876" s="25" t="str">
        <f>IF('PART III-DEMOGRAPHICS'!A886="","",'PART III-DEMOGRAPHICS'!A886)</f>
        <v/>
      </c>
      <c r="B876" s="28"/>
      <c r="C876" s="27"/>
      <c r="D876" s="28"/>
      <c r="E876" s="21"/>
      <c r="F876" s="36" t="str">
        <f t="shared" si="30"/>
        <v>Did Not</v>
      </c>
      <c r="G876" s="28"/>
      <c r="H876" s="28"/>
      <c r="I876" s="28"/>
      <c r="J876" s="28"/>
      <c r="K876" s="28"/>
      <c r="L876" s="28"/>
      <c r="M876" s="28"/>
      <c r="N876" s="21"/>
      <c r="O876" s="28"/>
      <c r="P876" s="38"/>
      <c r="Q876" s="21"/>
      <c r="R876" s="21"/>
      <c r="S876" s="47"/>
      <c r="T876" s="25">
        <f t="shared" si="29"/>
        <v>0</v>
      </c>
      <c r="U876" s="25" t="str">
        <f>IF('PART III-DEMOGRAPHICS'!Q886="","",'PART III-DEMOGRAPHICS'!Q886)</f>
        <v/>
      </c>
    </row>
    <row r="877" spans="1:21">
      <c r="A877" s="25" t="str">
        <f>IF('PART III-DEMOGRAPHICS'!A887="","",'PART III-DEMOGRAPHICS'!A887)</f>
        <v/>
      </c>
      <c r="B877" s="28"/>
      <c r="C877" s="27"/>
      <c r="D877" s="28"/>
      <c r="E877" s="21"/>
      <c r="F877" s="36" t="str">
        <f t="shared" si="30"/>
        <v>Did Not</v>
      </c>
      <c r="G877" s="28"/>
      <c r="H877" s="28"/>
      <c r="I877" s="28"/>
      <c r="J877" s="28"/>
      <c r="K877" s="28"/>
      <c r="L877" s="28"/>
      <c r="M877" s="28"/>
      <c r="N877" s="21"/>
      <c r="O877" s="28"/>
      <c r="P877" s="38"/>
      <c r="Q877" s="21"/>
      <c r="R877" s="21"/>
      <c r="S877" s="47"/>
      <c r="T877" s="25">
        <f t="shared" si="29"/>
        <v>0</v>
      </c>
      <c r="U877" s="25" t="str">
        <f>IF('PART III-DEMOGRAPHICS'!Q887="","",'PART III-DEMOGRAPHICS'!Q887)</f>
        <v/>
      </c>
    </row>
    <row r="878" spans="1:21">
      <c r="A878" s="25" t="str">
        <f>IF('PART III-DEMOGRAPHICS'!A888="","",'PART III-DEMOGRAPHICS'!A888)</f>
        <v/>
      </c>
      <c r="B878" s="28"/>
      <c r="C878" s="27"/>
      <c r="D878" s="28"/>
      <c r="E878" s="21"/>
      <c r="F878" s="36" t="str">
        <f t="shared" si="30"/>
        <v>Did Not</v>
      </c>
      <c r="G878" s="28"/>
      <c r="H878" s="28"/>
      <c r="I878" s="28"/>
      <c r="J878" s="28"/>
      <c r="K878" s="28"/>
      <c r="L878" s="28"/>
      <c r="M878" s="28"/>
      <c r="N878" s="21"/>
      <c r="O878" s="28"/>
      <c r="P878" s="38"/>
      <c r="Q878" s="21"/>
      <c r="R878" s="21"/>
      <c r="S878" s="47"/>
      <c r="T878" s="25">
        <f t="shared" si="29"/>
        <v>0</v>
      </c>
      <c r="U878" s="25" t="str">
        <f>IF('PART III-DEMOGRAPHICS'!Q888="","",'PART III-DEMOGRAPHICS'!Q888)</f>
        <v/>
      </c>
    </row>
    <row r="879" spans="1:21">
      <c r="A879" s="25" t="str">
        <f>IF('PART III-DEMOGRAPHICS'!A889="","",'PART III-DEMOGRAPHICS'!A889)</f>
        <v/>
      </c>
      <c r="B879" s="28"/>
      <c r="C879" s="27"/>
      <c r="D879" s="28"/>
      <c r="E879" s="21"/>
      <c r="F879" s="36" t="str">
        <f t="shared" si="30"/>
        <v>Did Not</v>
      </c>
      <c r="G879" s="28"/>
      <c r="H879" s="28"/>
      <c r="I879" s="28"/>
      <c r="J879" s="28"/>
      <c r="K879" s="28"/>
      <c r="L879" s="28"/>
      <c r="M879" s="28"/>
      <c r="N879" s="21"/>
      <c r="O879" s="28"/>
      <c r="P879" s="38"/>
      <c r="Q879" s="21"/>
      <c r="R879" s="21"/>
      <c r="S879" s="47"/>
      <c r="T879" s="25">
        <f t="shared" si="29"/>
        <v>0</v>
      </c>
      <c r="U879" s="25" t="str">
        <f>IF('PART III-DEMOGRAPHICS'!Q889="","",'PART III-DEMOGRAPHICS'!Q889)</f>
        <v/>
      </c>
    </row>
    <row r="880" spans="1:21">
      <c r="A880" s="25" t="str">
        <f>IF('PART III-DEMOGRAPHICS'!A890="","",'PART III-DEMOGRAPHICS'!A890)</f>
        <v/>
      </c>
      <c r="B880" s="28"/>
      <c r="C880" s="27"/>
      <c r="D880" s="28"/>
      <c r="E880" s="21"/>
      <c r="F880" s="36" t="str">
        <f t="shared" si="30"/>
        <v>Did Not</v>
      </c>
      <c r="G880" s="28"/>
      <c r="H880" s="28"/>
      <c r="I880" s="28"/>
      <c r="J880" s="28"/>
      <c r="K880" s="28"/>
      <c r="L880" s="28"/>
      <c r="M880" s="28"/>
      <c r="N880" s="21"/>
      <c r="O880" s="28"/>
      <c r="P880" s="38"/>
      <c r="Q880" s="21"/>
      <c r="R880" s="21"/>
      <c r="S880" s="47"/>
      <c r="T880" s="25">
        <f t="shared" si="29"/>
        <v>0</v>
      </c>
      <c r="U880" s="25" t="str">
        <f>IF('PART III-DEMOGRAPHICS'!Q890="","",'PART III-DEMOGRAPHICS'!Q890)</f>
        <v/>
      </c>
    </row>
    <row r="881" spans="1:21">
      <c r="A881" s="25" t="str">
        <f>IF('PART III-DEMOGRAPHICS'!A891="","",'PART III-DEMOGRAPHICS'!A891)</f>
        <v/>
      </c>
      <c r="B881" s="28"/>
      <c r="C881" s="27"/>
      <c r="D881" s="28"/>
      <c r="E881" s="21"/>
      <c r="F881" s="36" t="str">
        <f t="shared" si="30"/>
        <v>Did Not</v>
      </c>
      <c r="G881" s="28"/>
      <c r="H881" s="28"/>
      <c r="I881" s="28"/>
      <c r="J881" s="28"/>
      <c r="K881" s="28"/>
      <c r="L881" s="28"/>
      <c r="M881" s="28"/>
      <c r="N881" s="21"/>
      <c r="O881" s="28"/>
      <c r="P881" s="38"/>
      <c r="Q881" s="21"/>
      <c r="R881" s="21"/>
      <c r="S881" s="47"/>
      <c r="T881" s="25">
        <f t="shared" si="29"/>
        <v>0</v>
      </c>
      <c r="U881" s="25" t="str">
        <f>IF('PART III-DEMOGRAPHICS'!Q891="","",'PART III-DEMOGRAPHICS'!Q891)</f>
        <v/>
      </c>
    </row>
    <row r="882" spans="1:21">
      <c r="A882" s="25" t="str">
        <f>IF('PART III-DEMOGRAPHICS'!A892="","",'PART III-DEMOGRAPHICS'!A892)</f>
        <v/>
      </c>
      <c r="B882" s="28"/>
      <c r="C882" s="27"/>
      <c r="D882" s="28"/>
      <c r="E882" s="21"/>
      <c r="F882" s="36" t="str">
        <f t="shared" si="30"/>
        <v>Did Not</v>
      </c>
      <c r="G882" s="28"/>
      <c r="H882" s="28"/>
      <c r="I882" s="28"/>
      <c r="J882" s="28"/>
      <c r="K882" s="28"/>
      <c r="L882" s="28"/>
      <c r="M882" s="28"/>
      <c r="N882" s="21"/>
      <c r="O882" s="28"/>
      <c r="P882" s="38"/>
      <c r="Q882" s="21"/>
      <c r="R882" s="21"/>
      <c r="S882" s="47"/>
      <c r="T882" s="25">
        <f t="shared" si="29"/>
        <v>0</v>
      </c>
      <c r="U882" s="25" t="str">
        <f>IF('PART III-DEMOGRAPHICS'!Q892="","",'PART III-DEMOGRAPHICS'!Q892)</f>
        <v/>
      </c>
    </row>
    <row r="883" spans="1:21">
      <c r="A883" s="25" t="str">
        <f>IF('PART III-DEMOGRAPHICS'!A893="","",'PART III-DEMOGRAPHICS'!A893)</f>
        <v/>
      </c>
      <c r="B883" s="28"/>
      <c r="C883" s="27"/>
      <c r="D883" s="28"/>
      <c r="E883" s="21"/>
      <c r="F883" s="36" t="str">
        <f t="shared" si="30"/>
        <v>Did Not</v>
      </c>
      <c r="G883" s="28"/>
      <c r="H883" s="28"/>
      <c r="I883" s="28"/>
      <c r="J883" s="28"/>
      <c r="K883" s="28"/>
      <c r="L883" s="28"/>
      <c r="M883" s="28"/>
      <c r="N883" s="21"/>
      <c r="O883" s="28"/>
      <c r="P883" s="38"/>
      <c r="Q883" s="21"/>
      <c r="R883" s="21"/>
      <c r="S883" s="47"/>
      <c r="T883" s="25">
        <f t="shared" si="29"/>
        <v>0</v>
      </c>
      <c r="U883" s="25" t="str">
        <f>IF('PART III-DEMOGRAPHICS'!Q893="","",'PART III-DEMOGRAPHICS'!Q893)</f>
        <v/>
      </c>
    </row>
    <row r="884" spans="1:21">
      <c r="A884" s="25" t="str">
        <f>IF('PART III-DEMOGRAPHICS'!A894="","",'PART III-DEMOGRAPHICS'!A894)</f>
        <v/>
      </c>
      <c r="B884" s="28"/>
      <c r="C884" s="27"/>
      <c r="D884" s="28"/>
      <c r="E884" s="21"/>
      <c r="F884" s="36" t="str">
        <f t="shared" si="30"/>
        <v>Did Not</v>
      </c>
      <c r="G884" s="28"/>
      <c r="H884" s="28"/>
      <c r="I884" s="28"/>
      <c r="J884" s="28"/>
      <c r="K884" s="28"/>
      <c r="L884" s="28"/>
      <c r="M884" s="28"/>
      <c r="N884" s="21"/>
      <c r="O884" s="28"/>
      <c r="P884" s="38"/>
      <c r="Q884" s="21"/>
      <c r="R884" s="21"/>
      <c r="S884" s="47"/>
      <c r="T884" s="25">
        <f t="shared" si="29"/>
        <v>0</v>
      </c>
      <c r="U884" s="25" t="str">
        <f>IF('PART III-DEMOGRAPHICS'!Q894="","",'PART III-DEMOGRAPHICS'!Q894)</f>
        <v/>
      </c>
    </row>
    <row r="885" spans="1:21">
      <c r="A885" s="25" t="str">
        <f>IF('PART III-DEMOGRAPHICS'!A895="","",'PART III-DEMOGRAPHICS'!A895)</f>
        <v/>
      </c>
      <c r="B885" s="28"/>
      <c r="C885" s="27"/>
      <c r="D885" s="28"/>
      <c r="E885" s="21"/>
      <c r="F885" s="36" t="str">
        <f t="shared" si="30"/>
        <v>Did Not</v>
      </c>
      <c r="G885" s="28"/>
      <c r="H885" s="28"/>
      <c r="I885" s="28"/>
      <c r="J885" s="28"/>
      <c r="K885" s="28"/>
      <c r="L885" s="28"/>
      <c r="M885" s="28"/>
      <c r="N885" s="21"/>
      <c r="O885" s="28"/>
      <c r="P885" s="38"/>
      <c r="Q885" s="21"/>
      <c r="R885" s="21"/>
      <c r="S885" s="47"/>
      <c r="T885" s="25">
        <f t="shared" si="29"/>
        <v>0</v>
      </c>
      <c r="U885" s="25" t="str">
        <f>IF('PART III-DEMOGRAPHICS'!Q895="","",'PART III-DEMOGRAPHICS'!Q895)</f>
        <v/>
      </c>
    </row>
    <row r="886" spans="1:21">
      <c r="A886" s="25" t="str">
        <f>IF('PART III-DEMOGRAPHICS'!A896="","",'PART III-DEMOGRAPHICS'!A896)</f>
        <v/>
      </c>
      <c r="B886" s="28"/>
      <c r="C886" s="27"/>
      <c r="D886" s="28"/>
      <c r="E886" s="21"/>
      <c r="F886" s="36" t="str">
        <f t="shared" si="30"/>
        <v>Did Not</v>
      </c>
      <c r="G886" s="28"/>
      <c r="H886" s="28"/>
      <c r="I886" s="28"/>
      <c r="J886" s="28"/>
      <c r="K886" s="28"/>
      <c r="L886" s="28"/>
      <c r="M886" s="28"/>
      <c r="N886" s="21"/>
      <c r="O886" s="28"/>
      <c r="P886" s="38"/>
      <c r="Q886" s="21"/>
      <c r="R886" s="21"/>
      <c r="S886" s="47"/>
      <c r="T886" s="25">
        <f t="shared" si="29"/>
        <v>0</v>
      </c>
      <c r="U886" s="25" t="str">
        <f>IF('PART III-DEMOGRAPHICS'!Q896="","",'PART III-DEMOGRAPHICS'!Q896)</f>
        <v/>
      </c>
    </row>
    <row r="887" spans="1:21">
      <c r="A887" s="25" t="str">
        <f>IF('PART III-DEMOGRAPHICS'!A897="","",'PART III-DEMOGRAPHICS'!A897)</f>
        <v/>
      </c>
      <c r="B887" s="28"/>
      <c r="C887" s="27"/>
      <c r="D887" s="28"/>
      <c r="E887" s="21"/>
      <c r="F887" s="36" t="str">
        <f t="shared" si="30"/>
        <v>Did Not</v>
      </c>
      <c r="G887" s="28"/>
      <c r="H887" s="28"/>
      <c r="I887" s="28"/>
      <c r="J887" s="28"/>
      <c r="K887" s="28"/>
      <c r="L887" s="28"/>
      <c r="M887" s="28"/>
      <c r="N887" s="21"/>
      <c r="O887" s="28"/>
      <c r="P887" s="38"/>
      <c r="Q887" s="21"/>
      <c r="R887" s="21"/>
      <c r="S887" s="47"/>
      <c r="T887" s="25">
        <f t="shared" si="29"/>
        <v>0</v>
      </c>
      <c r="U887" s="25" t="str">
        <f>IF('PART III-DEMOGRAPHICS'!Q897="","",'PART III-DEMOGRAPHICS'!Q897)</f>
        <v/>
      </c>
    </row>
    <row r="888" spans="1:21">
      <c r="A888" s="25" t="str">
        <f>IF('PART III-DEMOGRAPHICS'!A898="","",'PART III-DEMOGRAPHICS'!A898)</f>
        <v/>
      </c>
      <c r="B888" s="28"/>
      <c r="C888" s="27"/>
      <c r="D888" s="28"/>
      <c r="E888" s="21"/>
      <c r="F888" s="36" t="str">
        <f t="shared" si="30"/>
        <v>Did Not</v>
      </c>
      <c r="G888" s="28"/>
      <c r="H888" s="28"/>
      <c r="I888" s="28"/>
      <c r="J888" s="28"/>
      <c r="K888" s="28"/>
      <c r="L888" s="28"/>
      <c r="M888" s="28"/>
      <c r="N888" s="21"/>
      <c r="O888" s="28"/>
      <c r="P888" s="38"/>
      <c r="Q888" s="21"/>
      <c r="R888" s="21"/>
      <c r="S888" s="47"/>
      <c r="T888" s="25">
        <f t="shared" si="29"/>
        <v>0</v>
      </c>
      <c r="U888" s="25" t="str">
        <f>IF('PART III-DEMOGRAPHICS'!Q898="","",'PART III-DEMOGRAPHICS'!Q898)</f>
        <v/>
      </c>
    </row>
    <row r="889" spans="1:21">
      <c r="A889" s="25" t="str">
        <f>IF('PART III-DEMOGRAPHICS'!A899="","",'PART III-DEMOGRAPHICS'!A899)</f>
        <v/>
      </c>
      <c r="B889" s="28"/>
      <c r="C889" s="27"/>
      <c r="D889" s="28"/>
      <c r="E889" s="21"/>
      <c r="F889" s="36" t="str">
        <f t="shared" si="30"/>
        <v>Did Not</v>
      </c>
      <c r="G889" s="28"/>
      <c r="H889" s="28"/>
      <c r="I889" s="28"/>
      <c r="J889" s="28"/>
      <c r="K889" s="28"/>
      <c r="L889" s="28"/>
      <c r="M889" s="28"/>
      <c r="N889" s="21"/>
      <c r="O889" s="28"/>
      <c r="P889" s="38"/>
      <c r="Q889" s="21"/>
      <c r="R889" s="21"/>
      <c r="S889" s="47"/>
      <c r="T889" s="25">
        <f t="shared" si="29"/>
        <v>0</v>
      </c>
      <c r="U889" s="25" t="str">
        <f>IF('PART III-DEMOGRAPHICS'!Q899="","",'PART III-DEMOGRAPHICS'!Q899)</f>
        <v/>
      </c>
    </row>
    <row r="890" spans="1:21">
      <c r="A890" s="25" t="str">
        <f>IF('PART III-DEMOGRAPHICS'!A900="","",'PART III-DEMOGRAPHICS'!A900)</f>
        <v/>
      </c>
      <c r="B890" s="28"/>
      <c r="C890" s="27"/>
      <c r="D890" s="28"/>
      <c r="E890" s="21"/>
      <c r="F890" s="36" t="str">
        <f t="shared" si="30"/>
        <v>Did Not</v>
      </c>
      <c r="G890" s="28"/>
      <c r="H890" s="28"/>
      <c r="I890" s="28"/>
      <c r="J890" s="28"/>
      <c r="K890" s="28"/>
      <c r="L890" s="28"/>
      <c r="M890" s="28"/>
      <c r="N890" s="21"/>
      <c r="O890" s="28"/>
      <c r="P890" s="38"/>
      <c r="Q890" s="21"/>
      <c r="R890" s="21"/>
      <c r="S890" s="47"/>
      <c r="T890" s="25">
        <f t="shared" si="29"/>
        <v>0</v>
      </c>
      <c r="U890" s="25" t="str">
        <f>IF('PART III-DEMOGRAPHICS'!Q900="","",'PART III-DEMOGRAPHICS'!Q900)</f>
        <v/>
      </c>
    </row>
    <row r="891" spans="1:21">
      <c r="A891" s="25" t="str">
        <f>IF('PART III-DEMOGRAPHICS'!A901="","",'PART III-DEMOGRAPHICS'!A901)</f>
        <v/>
      </c>
      <c r="B891" s="28"/>
      <c r="C891" s="27"/>
      <c r="D891" s="28"/>
      <c r="E891" s="21"/>
      <c r="F891" s="36" t="str">
        <f t="shared" si="30"/>
        <v>Did Not</v>
      </c>
      <c r="G891" s="28"/>
      <c r="H891" s="28"/>
      <c r="I891" s="28"/>
      <c r="J891" s="28"/>
      <c r="K891" s="28"/>
      <c r="L891" s="28"/>
      <c r="M891" s="28"/>
      <c r="N891" s="21"/>
      <c r="O891" s="28"/>
      <c r="P891" s="38"/>
      <c r="Q891" s="21"/>
      <c r="R891" s="21"/>
      <c r="S891" s="47"/>
      <c r="T891" s="25">
        <f t="shared" si="29"/>
        <v>0</v>
      </c>
      <c r="U891" s="25" t="str">
        <f>IF('PART III-DEMOGRAPHICS'!Q901="","",'PART III-DEMOGRAPHICS'!Q901)</f>
        <v/>
      </c>
    </row>
    <row r="892" spans="1:21">
      <c r="A892" s="25" t="str">
        <f>IF('PART III-DEMOGRAPHICS'!A902="","",'PART III-DEMOGRAPHICS'!A902)</f>
        <v/>
      </c>
      <c r="B892" s="28"/>
      <c r="C892" s="27"/>
      <c r="D892" s="28"/>
      <c r="E892" s="21"/>
      <c r="F892" s="36" t="str">
        <f t="shared" si="30"/>
        <v>Did Not</v>
      </c>
      <c r="G892" s="28"/>
      <c r="H892" s="28"/>
      <c r="I892" s="28"/>
      <c r="J892" s="28"/>
      <c r="K892" s="28"/>
      <c r="L892" s="28"/>
      <c r="M892" s="28"/>
      <c r="N892" s="21"/>
      <c r="O892" s="28"/>
      <c r="P892" s="38"/>
      <c r="Q892" s="21"/>
      <c r="R892" s="21"/>
      <c r="S892" s="47"/>
      <c r="T892" s="25">
        <f t="shared" si="29"/>
        <v>0</v>
      </c>
      <c r="U892" s="25" t="str">
        <f>IF('PART III-DEMOGRAPHICS'!Q902="","",'PART III-DEMOGRAPHICS'!Q902)</f>
        <v/>
      </c>
    </row>
    <row r="893" spans="1:21">
      <c r="A893" s="25" t="str">
        <f>IF('PART III-DEMOGRAPHICS'!A903="","",'PART III-DEMOGRAPHICS'!A903)</f>
        <v/>
      </c>
      <c r="B893" s="28"/>
      <c r="C893" s="27"/>
      <c r="D893" s="28"/>
      <c r="E893" s="21"/>
      <c r="F893" s="36" t="str">
        <f t="shared" si="30"/>
        <v>Did Not</v>
      </c>
      <c r="G893" s="28"/>
      <c r="H893" s="28"/>
      <c r="I893" s="28"/>
      <c r="J893" s="28"/>
      <c r="K893" s="28"/>
      <c r="L893" s="28"/>
      <c r="M893" s="28"/>
      <c r="N893" s="21"/>
      <c r="O893" s="28"/>
      <c r="P893" s="38"/>
      <c r="Q893" s="21"/>
      <c r="R893" s="21"/>
      <c r="S893" s="47"/>
      <c r="T893" s="25">
        <f t="shared" si="29"/>
        <v>0</v>
      </c>
      <c r="U893" s="25" t="str">
        <f>IF('PART III-DEMOGRAPHICS'!Q903="","",'PART III-DEMOGRAPHICS'!Q903)</f>
        <v/>
      </c>
    </row>
    <row r="894" spans="1:21">
      <c r="A894" s="25" t="str">
        <f>IF('PART III-DEMOGRAPHICS'!A904="","",'PART III-DEMOGRAPHICS'!A904)</f>
        <v/>
      </c>
      <c r="B894" s="28"/>
      <c r="C894" s="27"/>
      <c r="D894" s="28"/>
      <c r="E894" s="21"/>
      <c r="F894" s="36" t="str">
        <f t="shared" si="30"/>
        <v>Did Not</v>
      </c>
      <c r="G894" s="28"/>
      <c r="H894" s="28"/>
      <c r="I894" s="28"/>
      <c r="J894" s="28"/>
      <c r="K894" s="28"/>
      <c r="L894" s="28"/>
      <c r="M894" s="28"/>
      <c r="N894" s="21"/>
      <c r="O894" s="28"/>
      <c r="P894" s="38"/>
      <c r="Q894" s="21"/>
      <c r="R894" s="21"/>
      <c r="S894" s="47"/>
      <c r="T894" s="25">
        <f t="shared" si="29"/>
        <v>0</v>
      </c>
      <c r="U894" s="25" t="str">
        <f>IF('PART III-DEMOGRAPHICS'!Q904="","",'PART III-DEMOGRAPHICS'!Q904)</f>
        <v/>
      </c>
    </row>
    <row r="895" spans="1:21">
      <c r="A895" s="25" t="str">
        <f>IF('PART III-DEMOGRAPHICS'!A905="","",'PART III-DEMOGRAPHICS'!A905)</f>
        <v/>
      </c>
      <c r="B895" s="28"/>
      <c r="C895" s="27"/>
      <c r="D895" s="28"/>
      <c r="E895" s="21"/>
      <c r="F895" s="36" t="str">
        <f t="shared" si="30"/>
        <v>Did Not</v>
      </c>
      <c r="G895" s="28"/>
      <c r="H895" s="28"/>
      <c r="I895" s="28"/>
      <c r="J895" s="28"/>
      <c r="K895" s="28"/>
      <c r="L895" s="28"/>
      <c r="M895" s="28"/>
      <c r="N895" s="21"/>
      <c r="O895" s="28"/>
      <c r="P895" s="38"/>
      <c r="Q895" s="21"/>
      <c r="R895" s="21"/>
      <c r="S895" s="47"/>
      <c r="T895" s="25">
        <f t="shared" si="29"/>
        <v>0</v>
      </c>
      <c r="U895" s="25" t="str">
        <f>IF('PART III-DEMOGRAPHICS'!Q905="","",'PART III-DEMOGRAPHICS'!Q905)</f>
        <v/>
      </c>
    </row>
    <row r="896" spans="1:21">
      <c r="A896" s="25" t="str">
        <f>IF('PART III-DEMOGRAPHICS'!A906="","",'PART III-DEMOGRAPHICS'!A906)</f>
        <v/>
      </c>
      <c r="B896" s="28"/>
      <c r="C896" s="27"/>
      <c r="D896" s="28"/>
      <c r="E896" s="21"/>
      <c r="F896" s="36" t="str">
        <f t="shared" si="30"/>
        <v>Did Not</v>
      </c>
      <c r="G896" s="28"/>
      <c r="H896" s="28"/>
      <c r="I896" s="28"/>
      <c r="J896" s="28"/>
      <c r="K896" s="28"/>
      <c r="L896" s="28"/>
      <c r="M896" s="28"/>
      <c r="N896" s="21"/>
      <c r="O896" s="28"/>
      <c r="P896" s="38"/>
      <c r="Q896" s="21"/>
      <c r="R896" s="21"/>
      <c r="S896" s="47"/>
      <c r="T896" s="25">
        <f t="shared" si="29"/>
        <v>0</v>
      </c>
      <c r="U896" s="25" t="str">
        <f>IF('PART III-DEMOGRAPHICS'!Q906="","",'PART III-DEMOGRAPHICS'!Q906)</f>
        <v/>
      </c>
    </row>
    <row r="897" spans="1:21">
      <c r="A897" s="25" t="str">
        <f>IF('PART III-DEMOGRAPHICS'!A907="","",'PART III-DEMOGRAPHICS'!A907)</f>
        <v/>
      </c>
      <c r="B897" s="28"/>
      <c r="C897" s="27"/>
      <c r="D897" s="28"/>
      <c r="E897" s="21"/>
      <c r="F897" s="36" t="str">
        <f t="shared" si="30"/>
        <v>Did Not</v>
      </c>
      <c r="G897" s="28"/>
      <c r="H897" s="28"/>
      <c r="I897" s="28"/>
      <c r="J897" s="28"/>
      <c r="K897" s="28"/>
      <c r="L897" s="28"/>
      <c r="M897" s="28"/>
      <c r="N897" s="21"/>
      <c r="O897" s="28"/>
      <c r="P897" s="38"/>
      <c r="Q897" s="21"/>
      <c r="R897" s="21"/>
      <c r="S897" s="47"/>
      <c r="T897" s="25">
        <f t="shared" si="29"/>
        <v>0</v>
      </c>
      <c r="U897" s="25" t="str">
        <f>IF('PART III-DEMOGRAPHICS'!Q907="","",'PART III-DEMOGRAPHICS'!Q907)</f>
        <v/>
      </c>
    </row>
    <row r="898" spans="1:21">
      <c r="A898" s="25" t="str">
        <f>IF('PART III-DEMOGRAPHICS'!A908="","",'PART III-DEMOGRAPHICS'!A908)</f>
        <v/>
      </c>
      <c r="B898" s="28"/>
      <c r="C898" s="27"/>
      <c r="D898" s="28"/>
      <c r="E898" s="21"/>
      <c r="F898" s="36" t="str">
        <f t="shared" si="30"/>
        <v>Did Not</v>
      </c>
      <c r="G898" s="28"/>
      <c r="H898" s="28"/>
      <c r="I898" s="28"/>
      <c r="J898" s="28"/>
      <c r="K898" s="28"/>
      <c r="L898" s="28"/>
      <c r="M898" s="28"/>
      <c r="N898" s="21"/>
      <c r="O898" s="28"/>
      <c r="P898" s="38"/>
      <c r="Q898" s="21"/>
      <c r="R898" s="21"/>
      <c r="S898" s="47"/>
      <c r="T898" s="25">
        <f t="shared" si="29"/>
        <v>0</v>
      </c>
      <c r="U898" s="25" t="str">
        <f>IF('PART III-DEMOGRAPHICS'!Q908="","",'PART III-DEMOGRAPHICS'!Q908)</f>
        <v/>
      </c>
    </row>
    <row r="899" spans="1:21">
      <c r="A899" s="25" t="str">
        <f>IF('PART III-DEMOGRAPHICS'!A909="","",'PART III-DEMOGRAPHICS'!A909)</f>
        <v/>
      </c>
      <c r="B899" s="28"/>
      <c r="C899" s="27"/>
      <c r="D899" s="28"/>
      <c r="E899" s="21"/>
      <c r="F899" s="36" t="str">
        <f t="shared" si="30"/>
        <v>Did Not</v>
      </c>
      <c r="G899" s="28"/>
      <c r="H899" s="28"/>
      <c r="I899" s="28"/>
      <c r="J899" s="28"/>
      <c r="K899" s="28"/>
      <c r="L899" s="28"/>
      <c r="M899" s="28"/>
      <c r="N899" s="21"/>
      <c r="O899" s="28"/>
      <c r="P899" s="38"/>
      <c r="Q899" s="21"/>
      <c r="R899" s="21"/>
      <c r="S899" s="47"/>
      <c r="T899" s="25">
        <f t="shared" si="29"/>
        <v>0</v>
      </c>
      <c r="U899" s="25" t="str">
        <f>IF('PART III-DEMOGRAPHICS'!Q909="","",'PART III-DEMOGRAPHICS'!Q909)</f>
        <v/>
      </c>
    </row>
    <row r="900" spans="1:21">
      <c r="A900" s="25" t="str">
        <f>IF('PART III-DEMOGRAPHICS'!A910="","",'PART III-DEMOGRAPHICS'!A910)</f>
        <v/>
      </c>
      <c r="B900" s="28"/>
      <c r="C900" s="27"/>
      <c r="D900" s="28"/>
      <c r="E900" s="21"/>
      <c r="F900" s="36" t="str">
        <f t="shared" si="30"/>
        <v>Did Not</v>
      </c>
      <c r="G900" s="28"/>
      <c r="H900" s="28"/>
      <c r="I900" s="28"/>
      <c r="J900" s="28"/>
      <c r="K900" s="28"/>
      <c r="L900" s="28"/>
      <c r="M900" s="28"/>
      <c r="N900" s="21"/>
      <c r="O900" s="28"/>
      <c r="P900" s="38"/>
      <c r="Q900" s="21"/>
      <c r="R900" s="21"/>
      <c r="S900" s="47"/>
      <c r="T900" s="25">
        <f t="shared" si="29"/>
        <v>0</v>
      </c>
      <c r="U900" s="25" t="str">
        <f>IF('PART III-DEMOGRAPHICS'!Q910="","",'PART III-DEMOGRAPHICS'!Q910)</f>
        <v/>
      </c>
    </row>
    <row r="901" spans="1:21">
      <c r="A901" s="25" t="str">
        <f>IF('PART III-DEMOGRAPHICS'!A911="","",'PART III-DEMOGRAPHICS'!A911)</f>
        <v/>
      </c>
      <c r="B901" s="28"/>
      <c r="C901" s="27"/>
      <c r="D901" s="28"/>
      <c r="E901" s="21"/>
      <c r="F901" s="36" t="str">
        <f t="shared" si="30"/>
        <v>Did Not</v>
      </c>
      <c r="G901" s="28"/>
      <c r="H901" s="28"/>
      <c r="I901" s="28"/>
      <c r="J901" s="28"/>
      <c r="K901" s="28"/>
      <c r="L901" s="28"/>
      <c r="M901" s="28"/>
      <c r="N901" s="21"/>
      <c r="O901" s="28"/>
      <c r="P901" s="38"/>
      <c r="Q901" s="21"/>
      <c r="R901" s="21"/>
      <c r="S901" s="47"/>
      <c r="T901" s="25">
        <f t="shared" si="29"/>
        <v>0</v>
      </c>
      <c r="U901" s="25" t="str">
        <f>IF('PART III-DEMOGRAPHICS'!Q911="","",'PART III-DEMOGRAPHICS'!Q911)</f>
        <v/>
      </c>
    </row>
    <row r="902" spans="1:21">
      <c r="A902" s="25" t="str">
        <f>IF('PART III-DEMOGRAPHICS'!A912="","",'PART III-DEMOGRAPHICS'!A912)</f>
        <v/>
      </c>
      <c r="B902" s="28"/>
      <c r="C902" s="27"/>
      <c r="D902" s="28"/>
      <c r="E902" s="21"/>
      <c r="F902" s="36" t="str">
        <f t="shared" si="30"/>
        <v>Did Not</v>
      </c>
      <c r="G902" s="28"/>
      <c r="H902" s="28"/>
      <c r="I902" s="28"/>
      <c r="J902" s="28"/>
      <c r="K902" s="28"/>
      <c r="L902" s="28"/>
      <c r="M902" s="28"/>
      <c r="N902" s="21"/>
      <c r="O902" s="28"/>
      <c r="P902" s="38"/>
      <c r="Q902" s="21"/>
      <c r="R902" s="21"/>
      <c r="S902" s="47"/>
      <c r="T902" s="25">
        <f t="shared" si="29"/>
        <v>0</v>
      </c>
      <c r="U902" s="25" t="str">
        <f>IF('PART III-DEMOGRAPHICS'!Q912="","",'PART III-DEMOGRAPHICS'!Q912)</f>
        <v/>
      </c>
    </row>
    <row r="903" spans="1:21">
      <c r="A903" s="25" t="str">
        <f>IF('PART III-DEMOGRAPHICS'!A913="","",'PART III-DEMOGRAPHICS'!A913)</f>
        <v/>
      </c>
      <c r="B903" s="28"/>
      <c r="C903" s="27"/>
      <c r="D903" s="28"/>
      <c r="E903" s="21"/>
      <c r="F903" s="36" t="str">
        <f t="shared" si="30"/>
        <v>Did Not</v>
      </c>
      <c r="G903" s="28"/>
      <c r="H903" s="28"/>
      <c r="I903" s="28"/>
      <c r="J903" s="28"/>
      <c r="K903" s="28"/>
      <c r="L903" s="28"/>
      <c r="M903" s="28"/>
      <c r="N903" s="21"/>
      <c r="O903" s="28"/>
      <c r="P903" s="38"/>
      <c r="Q903" s="21"/>
      <c r="R903" s="21"/>
      <c r="S903" s="47"/>
      <c r="T903" s="25">
        <f t="shared" ref="T903:T966" si="31">COUNTIF(A903:R903,"Yes")</f>
        <v>0</v>
      </c>
      <c r="U903" s="25" t="str">
        <f>IF('PART III-DEMOGRAPHICS'!Q913="","",'PART III-DEMOGRAPHICS'!Q913)</f>
        <v/>
      </c>
    </row>
    <row r="904" spans="1:21">
      <c r="A904" s="25" t="str">
        <f>IF('PART III-DEMOGRAPHICS'!A914="","",'PART III-DEMOGRAPHICS'!A914)</f>
        <v/>
      </c>
      <c r="B904" s="28"/>
      <c r="C904" s="27"/>
      <c r="D904" s="28"/>
      <c r="E904" s="21"/>
      <c r="F904" s="36" t="str">
        <f t="shared" si="30"/>
        <v>Did Not</v>
      </c>
      <c r="G904" s="28"/>
      <c r="H904" s="28"/>
      <c r="I904" s="28"/>
      <c r="J904" s="28"/>
      <c r="K904" s="28"/>
      <c r="L904" s="28"/>
      <c r="M904" s="28"/>
      <c r="N904" s="21"/>
      <c r="O904" s="28"/>
      <c r="P904" s="38"/>
      <c r="Q904" s="21"/>
      <c r="R904" s="21"/>
      <c r="S904" s="47"/>
      <c r="T904" s="25">
        <f t="shared" si="31"/>
        <v>0</v>
      </c>
      <c r="U904" s="25" t="str">
        <f>IF('PART III-DEMOGRAPHICS'!Q914="","",'PART III-DEMOGRAPHICS'!Q914)</f>
        <v/>
      </c>
    </row>
    <row r="905" spans="1:21">
      <c r="A905" s="25" t="str">
        <f>IF('PART III-DEMOGRAPHICS'!A915="","",'PART III-DEMOGRAPHICS'!A915)</f>
        <v/>
      </c>
      <c r="B905" s="28"/>
      <c r="C905" s="27"/>
      <c r="D905" s="28"/>
      <c r="E905" s="21"/>
      <c r="F905" s="36" t="str">
        <f t="shared" si="30"/>
        <v>Did Not</v>
      </c>
      <c r="G905" s="28"/>
      <c r="H905" s="28"/>
      <c r="I905" s="28"/>
      <c r="J905" s="28"/>
      <c r="K905" s="28"/>
      <c r="L905" s="28"/>
      <c r="M905" s="28"/>
      <c r="N905" s="21"/>
      <c r="O905" s="28"/>
      <c r="P905" s="38"/>
      <c r="Q905" s="21"/>
      <c r="R905" s="21"/>
      <c r="S905" s="47"/>
      <c r="T905" s="25">
        <f t="shared" si="31"/>
        <v>0</v>
      </c>
      <c r="U905" s="25" t="str">
        <f>IF('PART III-DEMOGRAPHICS'!Q915="","",'PART III-DEMOGRAPHICS'!Q915)</f>
        <v/>
      </c>
    </row>
    <row r="906" spans="1:21">
      <c r="A906" s="25" t="str">
        <f>IF('PART III-DEMOGRAPHICS'!A916="","",'PART III-DEMOGRAPHICS'!A916)</f>
        <v/>
      </c>
      <c r="B906" s="28"/>
      <c r="C906" s="27"/>
      <c r="D906" s="28"/>
      <c r="E906" s="21"/>
      <c r="F906" s="36" t="str">
        <f t="shared" si="30"/>
        <v>Did Not</v>
      </c>
      <c r="G906" s="28"/>
      <c r="H906" s="28"/>
      <c r="I906" s="28"/>
      <c r="J906" s="28"/>
      <c r="K906" s="28"/>
      <c r="L906" s="28"/>
      <c r="M906" s="28"/>
      <c r="N906" s="21"/>
      <c r="O906" s="28"/>
      <c r="P906" s="38"/>
      <c r="Q906" s="21"/>
      <c r="R906" s="21"/>
      <c r="S906" s="47"/>
      <c r="T906" s="25">
        <f t="shared" si="31"/>
        <v>0</v>
      </c>
      <c r="U906" s="25" t="str">
        <f>IF('PART III-DEMOGRAPHICS'!Q916="","",'PART III-DEMOGRAPHICS'!Q916)</f>
        <v/>
      </c>
    </row>
    <row r="907" spans="1:21">
      <c r="A907" s="25" t="str">
        <f>IF('PART III-DEMOGRAPHICS'!A917="","",'PART III-DEMOGRAPHICS'!A917)</f>
        <v/>
      </c>
      <c r="B907" s="28"/>
      <c r="C907" s="27"/>
      <c r="D907" s="28"/>
      <c r="E907" s="21"/>
      <c r="F907" s="36" t="str">
        <f t="shared" si="30"/>
        <v>Did Not</v>
      </c>
      <c r="G907" s="28"/>
      <c r="H907" s="28"/>
      <c r="I907" s="28"/>
      <c r="J907" s="28"/>
      <c r="K907" s="28"/>
      <c r="L907" s="28"/>
      <c r="M907" s="28"/>
      <c r="N907" s="21"/>
      <c r="O907" s="28"/>
      <c r="P907" s="38"/>
      <c r="Q907" s="21"/>
      <c r="R907" s="21"/>
      <c r="S907" s="47"/>
      <c r="T907" s="25">
        <f t="shared" si="31"/>
        <v>0</v>
      </c>
      <c r="U907" s="25" t="str">
        <f>IF('PART III-DEMOGRAPHICS'!Q917="","",'PART III-DEMOGRAPHICS'!Q917)</f>
        <v/>
      </c>
    </row>
    <row r="908" spans="1:21">
      <c r="A908" s="25" t="str">
        <f>IF('PART III-DEMOGRAPHICS'!A918="","",'PART III-DEMOGRAPHICS'!A918)</f>
        <v/>
      </c>
      <c r="B908" s="28"/>
      <c r="C908" s="27"/>
      <c r="D908" s="28"/>
      <c r="E908" s="21"/>
      <c r="F908" s="36" t="str">
        <f t="shared" si="30"/>
        <v>Did Not</v>
      </c>
      <c r="G908" s="28"/>
      <c r="H908" s="28"/>
      <c r="I908" s="28"/>
      <c r="J908" s="28"/>
      <c r="K908" s="28"/>
      <c r="L908" s="28"/>
      <c r="M908" s="28"/>
      <c r="N908" s="21"/>
      <c r="O908" s="28"/>
      <c r="P908" s="38"/>
      <c r="Q908" s="21"/>
      <c r="R908" s="21"/>
      <c r="S908" s="47"/>
      <c r="T908" s="25">
        <f t="shared" si="31"/>
        <v>0</v>
      </c>
      <c r="U908" s="25" t="str">
        <f>IF('PART III-DEMOGRAPHICS'!Q918="","",'PART III-DEMOGRAPHICS'!Q918)</f>
        <v/>
      </c>
    </row>
    <row r="909" spans="1:21">
      <c r="A909" s="25" t="str">
        <f>IF('PART III-DEMOGRAPHICS'!A919="","",'PART III-DEMOGRAPHICS'!A919)</f>
        <v/>
      </c>
      <c r="B909" s="28"/>
      <c r="C909" s="27"/>
      <c r="D909" s="28"/>
      <c r="E909" s="21"/>
      <c r="F909" s="36" t="str">
        <f t="shared" si="30"/>
        <v>Did Not</v>
      </c>
      <c r="G909" s="28"/>
      <c r="H909" s="28"/>
      <c r="I909" s="28"/>
      <c r="J909" s="28"/>
      <c r="K909" s="28"/>
      <c r="L909" s="28"/>
      <c r="M909" s="28"/>
      <c r="N909" s="21"/>
      <c r="O909" s="28"/>
      <c r="P909" s="38"/>
      <c r="Q909" s="21"/>
      <c r="R909" s="21"/>
      <c r="S909" s="47"/>
      <c r="T909" s="25">
        <f t="shared" si="31"/>
        <v>0</v>
      </c>
      <c r="U909" s="25" t="str">
        <f>IF('PART III-DEMOGRAPHICS'!Q919="","",'PART III-DEMOGRAPHICS'!Q919)</f>
        <v/>
      </c>
    </row>
    <row r="910" spans="1:21">
      <c r="A910" s="25" t="str">
        <f>IF('PART III-DEMOGRAPHICS'!A920="","",'PART III-DEMOGRAPHICS'!A920)</f>
        <v/>
      </c>
      <c r="B910" s="28"/>
      <c r="C910" s="27"/>
      <c r="D910" s="28"/>
      <c r="E910" s="21"/>
      <c r="F910" s="36" t="str">
        <f t="shared" ref="F910:F973" si="32">IF(OR(G910="Yes",H910="Yes",I910="Yes",J910="Yes",K910="Yes",L910="Yes",M910="Yes"),"Did","Did Not")</f>
        <v>Did Not</v>
      </c>
      <c r="G910" s="28"/>
      <c r="H910" s="28"/>
      <c r="I910" s="28"/>
      <c r="J910" s="28"/>
      <c r="K910" s="28"/>
      <c r="L910" s="28"/>
      <c r="M910" s="28"/>
      <c r="N910" s="21"/>
      <c r="O910" s="28"/>
      <c r="P910" s="38"/>
      <c r="Q910" s="21"/>
      <c r="R910" s="21"/>
      <c r="S910" s="47"/>
      <c r="T910" s="25">
        <f t="shared" si="31"/>
        <v>0</v>
      </c>
      <c r="U910" s="25" t="str">
        <f>IF('PART III-DEMOGRAPHICS'!Q920="","",'PART III-DEMOGRAPHICS'!Q920)</f>
        <v/>
      </c>
    </row>
    <row r="911" spans="1:21">
      <c r="A911" s="25" t="str">
        <f>IF('PART III-DEMOGRAPHICS'!A921="","",'PART III-DEMOGRAPHICS'!A921)</f>
        <v/>
      </c>
      <c r="B911" s="28"/>
      <c r="C911" s="27"/>
      <c r="D911" s="28"/>
      <c r="E911" s="21"/>
      <c r="F911" s="36" t="str">
        <f t="shared" si="32"/>
        <v>Did Not</v>
      </c>
      <c r="G911" s="28"/>
      <c r="H911" s="28"/>
      <c r="I911" s="28"/>
      <c r="J911" s="28"/>
      <c r="K911" s="28"/>
      <c r="L911" s="28"/>
      <c r="M911" s="28"/>
      <c r="N911" s="21"/>
      <c r="O911" s="28"/>
      <c r="P911" s="38"/>
      <c r="Q911" s="21"/>
      <c r="R911" s="21"/>
      <c r="S911" s="47"/>
      <c r="T911" s="25">
        <f t="shared" si="31"/>
        <v>0</v>
      </c>
      <c r="U911" s="25" t="str">
        <f>IF('PART III-DEMOGRAPHICS'!Q921="","",'PART III-DEMOGRAPHICS'!Q921)</f>
        <v/>
      </c>
    </row>
    <row r="912" spans="1:21">
      <c r="A912" s="25" t="str">
        <f>IF('PART III-DEMOGRAPHICS'!A922="","",'PART III-DEMOGRAPHICS'!A922)</f>
        <v/>
      </c>
      <c r="B912" s="28"/>
      <c r="C912" s="27"/>
      <c r="D912" s="28"/>
      <c r="E912" s="21"/>
      <c r="F912" s="36" t="str">
        <f t="shared" si="32"/>
        <v>Did Not</v>
      </c>
      <c r="G912" s="28"/>
      <c r="H912" s="28"/>
      <c r="I912" s="28"/>
      <c r="J912" s="28"/>
      <c r="K912" s="28"/>
      <c r="L912" s="28"/>
      <c r="M912" s="28"/>
      <c r="N912" s="21"/>
      <c r="O912" s="28"/>
      <c r="P912" s="38"/>
      <c r="Q912" s="21"/>
      <c r="R912" s="21"/>
      <c r="S912" s="47"/>
      <c r="T912" s="25">
        <f t="shared" si="31"/>
        <v>0</v>
      </c>
      <c r="U912" s="25" t="str">
        <f>IF('PART III-DEMOGRAPHICS'!Q922="","",'PART III-DEMOGRAPHICS'!Q922)</f>
        <v/>
      </c>
    </row>
    <row r="913" spans="1:21">
      <c r="A913" s="25" t="str">
        <f>IF('PART III-DEMOGRAPHICS'!A923="","",'PART III-DEMOGRAPHICS'!A923)</f>
        <v/>
      </c>
      <c r="B913" s="28"/>
      <c r="C913" s="27"/>
      <c r="D913" s="28"/>
      <c r="E913" s="21"/>
      <c r="F913" s="36" t="str">
        <f t="shared" si="32"/>
        <v>Did Not</v>
      </c>
      <c r="G913" s="28"/>
      <c r="H913" s="28"/>
      <c r="I913" s="28"/>
      <c r="J913" s="28"/>
      <c r="K913" s="28"/>
      <c r="L913" s="28"/>
      <c r="M913" s="28"/>
      <c r="N913" s="21"/>
      <c r="O913" s="28"/>
      <c r="P913" s="38"/>
      <c r="Q913" s="21"/>
      <c r="R913" s="21"/>
      <c r="S913" s="47"/>
      <c r="T913" s="25">
        <f t="shared" si="31"/>
        <v>0</v>
      </c>
      <c r="U913" s="25" t="str">
        <f>IF('PART III-DEMOGRAPHICS'!Q923="","",'PART III-DEMOGRAPHICS'!Q923)</f>
        <v/>
      </c>
    </row>
    <row r="914" spans="1:21">
      <c r="A914" s="25" t="str">
        <f>IF('PART III-DEMOGRAPHICS'!A924="","",'PART III-DEMOGRAPHICS'!A924)</f>
        <v/>
      </c>
      <c r="B914" s="28"/>
      <c r="C914" s="27"/>
      <c r="D914" s="28"/>
      <c r="E914" s="21"/>
      <c r="F914" s="36" t="str">
        <f t="shared" si="32"/>
        <v>Did Not</v>
      </c>
      <c r="G914" s="28"/>
      <c r="H914" s="28"/>
      <c r="I914" s="28"/>
      <c r="J914" s="28"/>
      <c r="K914" s="28"/>
      <c r="L914" s="28"/>
      <c r="M914" s="28"/>
      <c r="N914" s="21"/>
      <c r="O914" s="28"/>
      <c r="P914" s="38"/>
      <c r="Q914" s="21"/>
      <c r="R914" s="21"/>
      <c r="S914" s="47"/>
      <c r="T914" s="25">
        <f t="shared" si="31"/>
        <v>0</v>
      </c>
      <c r="U914" s="25" t="str">
        <f>IF('PART III-DEMOGRAPHICS'!Q924="","",'PART III-DEMOGRAPHICS'!Q924)</f>
        <v/>
      </c>
    </row>
    <row r="915" spans="1:21">
      <c r="A915" s="25" t="str">
        <f>IF('PART III-DEMOGRAPHICS'!A925="","",'PART III-DEMOGRAPHICS'!A925)</f>
        <v/>
      </c>
      <c r="B915" s="28"/>
      <c r="C915" s="27"/>
      <c r="D915" s="28"/>
      <c r="E915" s="21"/>
      <c r="F915" s="36" t="str">
        <f t="shared" si="32"/>
        <v>Did Not</v>
      </c>
      <c r="G915" s="28"/>
      <c r="H915" s="28"/>
      <c r="I915" s="28"/>
      <c r="J915" s="28"/>
      <c r="K915" s="28"/>
      <c r="L915" s="28"/>
      <c r="M915" s="28"/>
      <c r="N915" s="21"/>
      <c r="O915" s="28"/>
      <c r="P915" s="38"/>
      <c r="Q915" s="21"/>
      <c r="R915" s="21"/>
      <c r="S915" s="47"/>
      <c r="T915" s="25">
        <f t="shared" si="31"/>
        <v>0</v>
      </c>
      <c r="U915" s="25" t="str">
        <f>IF('PART III-DEMOGRAPHICS'!Q925="","",'PART III-DEMOGRAPHICS'!Q925)</f>
        <v/>
      </c>
    </row>
    <row r="916" spans="1:21">
      <c r="A916" s="25" t="str">
        <f>IF('PART III-DEMOGRAPHICS'!A926="","",'PART III-DEMOGRAPHICS'!A926)</f>
        <v/>
      </c>
      <c r="B916" s="28"/>
      <c r="C916" s="27"/>
      <c r="D916" s="28"/>
      <c r="E916" s="21"/>
      <c r="F916" s="36" t="str">
        <f t="shared" si="32"/>
        <v>Did Not</v>
      </c>
      <c r="G916" s="28"/>
      <c r="H916" s="28"/>
      <c r="I916" s="28"/>
      <c r="J916" s="28"/>
      <c r="K916" s="28"/>
      <c r="L916" s="28"/>
      <c r="M916" s="28"/>
      <c r="N916" s="21"/>
      <c r="O916" s="28"/>
      <c r="P916" s="38"/>
      <c r="Q916" s="21"/>
      <c r="R916" s="21"/>
      <c r="S916" s="47"/>
      <c r="T916" s="25">
        <f t="shared" si="31"/>
        <v>0</v>
      </c>
      <c r="U916" s="25" t="str">
        <f>IF('PART III-DEMOGRAPHICS'!Q926="","",'PART III-DEMOGRAPHICS'!Q926)</f>
        <v/>
      </c>
    </row>
    <row r="917" spans="1:21">
      <c r="A917" s="25" t="str">
        <f>IF('PART III-DEMOGRAPHICS'!A927="","",'PART III-DEMOGRAPHICS'!A927)</f>
        <v/>
      </c>
      <c r="B917" s="28"/>
      <c r="C917" s="27"/>
      <c r="D917" s="28"/>
      <c r="E917" s="21"/>
      <c r="F917" s="36" t="str">
        <f t="shared" si="32"/>
        <v>Did Not</v>
      </c>
      <c r="G917" s="28"/>
      <c r="H917" s="28"/>
      <c r="I917" s="28"/>
      <c r="J917" s="28"/>
      <c r="K917" s="28"/>
      <c r="L917" s="28"/>
      <c r="M917" s="28"/>
      <c r="N917" s="21"/>
      <c r="O917" s="28"/>
      <c r="P917" s="38"/>
      <c r="Q917" s="21"/>
      <c r="R917" s="21"/>
      <c r="S917" s="47"/>
      <c r="T917" s="25">
        <f t="shared" si="31"/>
        <v>0</v>
      </c>
      <c r="U917" s="25" t="str">
        <f>IF('PART III-DEMOGRAPHICS'!Q927="","",'PART III-DEMOGRAPHICS'!Q927)</f>
        <v/>
      </c>
    </row>
    <row r="918" spans="1:21">
      <c r="A918" s="25" t="str">
        <f>IF('PART III-DEMOGRAPHICS'!A928="","",'PART III-DEMOGRAPHICS'!A928)</f>
        <v/>
      </c>
      <c r="B918" s="28"/>
      <c r="C918" s="27"/>
      <c r="D918" s="28"/>
      <c r="E918" s="21"/>
      <c r="F918" s="36" t="str">
        <f t="shared" si="32"/>
        <v>Did Not</v>
      </c>
      <c r="G918" s="28"/>
      <c r="H918" s="28"/>
      <c r="I918" s="28"/>
      <c r="J918" s="28"/>
      <c r="K918" s="28"/>
      <c r="L918" s="28"/>
      <c r="M918" s="28"/>
      <c r="N918" s="21"/>
      <c r="O918" s="28"/>
      <c r="P918" s="38"/>
      <c r="Q918" s="21"/>
      <c r="R918" s="21"/>
      <c r="S918" s="47"/>
      <c r="T918" s="25">
        <f t="shared" si="31"/>
        <v>0</v>
      </c>
      <c r="U918" s="25" t="str">
        <f>IF('PART III-DEMOGRAPHICS'!Q928="","",'PART III-DEMOGRAPHICS'!Q928)</f>
        <v/>
      </c>
    </row>
    <row r="919" spans="1:21">
      <c r="A919" s="25" t="str">
        <f>IF('PART III-DEMOGRAPHICS'!A929="","",'PART III-DEMOGRAPHICS'!A929)</f>
        <v/>
      </c>
      <c r="B919" s="28"/>
      <c r="C919" s="27"/>
      <c r="D919" s="28"/>
      <c r="E919" s="21"/>
      <c r="F919" s="36" t="str">
        <f t="shared" si="32"/>
        <v>Did Not</v>
      </c>
      <c r="G919" s="28"/>
      <c r="H919" s="28"/>
      <c r="I919" s="28"/>
      <c r="J919" s="28"/>
      <c r="K919" s="28"/>
      <c r="L919" s="28"/>
      <c r="M919" s="28"/>
      <c r="N919" s="21"/>
      <c r="O919" s="28"/>
      <c r="P919" s="38"/>
      <c r="Q919" s="21"/>
      <c r="R919" s="21"/>
      <c r="S919" s="47"/>
      <c r="T919" s="25">
        <f t="shared" si="31"/>
        <v>0</v>
      </c>
      <c r="U919" s="25" t="str">
        <f>IF('PART III-DEMOGRAPHICS'!Q929="","",'PART III-DEMOGRAPHICS'!Q929)</f>
        <v/>
      </c>
    </row>
    <row r="920" spans="1:21">
      <c r="A920" s="25" t="str">
        <f>IF('PART III-DEMOGRAPHICS'!A930="","",'PART III-DEMOGRAPHICS'!A930)</f>
        <v/>
      </c>
      <c r="B920" s="28"/>
      <c r="C920" s="27"/>
      <c r="D920" s="28"/>
      <c r="E920" s="21"/>
      <c r="F920" s="36" t="str">
        <f t="shared" si="32"/>
        <v>Did Not</v>
      </c>
      <c r="G920" s="28"/>
      <c r="H920" s="28"/>
      <c r="I920" s="28"/>
      <c r="J920" s="28"/>
      <c r="K920" s="28"/>
      <c r="L920" s="28"/>
      <c r="M920" s="28"/>
      <c r="N920" s="21"/>
      <c r="O920" s="28"/>
      <c r="P920" s="38"/>
      <c r="Q920" s="21"/>
      <c r="R920" s="21"/>
      <c r="S920" s="47"/>
      <c r="T920" s="25">
        <f t="shared" si="31"/>
        <v>0</v>
      </c>
      <c r="U920" s="25" t="str">
        <f>IF('PART III-DEMOGRAPHICS'!Q930="","",'PART III-DEMOGRAPHICS'!Q930)</f>
        <v/>
      </c>
    </row>
    <row r="921" spans="1:21">
      <c r="A921" s="25" t="str">
        <f>IF('PART III-DEMOGRAPHICS'!A931="","",'PART III-DEMOGRAPHICS'!A931)</f>
        <v/>
      </c>
      <c r="B921" s="28"/>
      <c r="C921" s="27"/>
      <c r="D921" s="28"/>
      <c r="E921" s="21"/>
      <c r="F921" s="36" t="str">
        <f t="shared" si="32"/>
        <v>Did Not</v>
      </c>
      <c r="G921" s="28"/>
      <c r="H921" s="28"/>
      <c r="I921" s="28"/>
      <c r="J921" s="28"/>
      <c r="K921" s="28"/>
      <c r="L921" s="28"/>
      <c r="M921" s="28"/>
      <c r="N921" s="21"/>
      <c r="O921" s="28"/>
      <c r="P921" s="38"/>
      <c r="Q921" s="21"/>
      <c r="R921" s="21"/>
      <c r="S921" s="47"/>
      <c r="T921" s="25">
        <f t="shared" si="31"/>
        <v>0</v>
      </c>
      <c r="U921" s="25" t="str">
        <f>IF('PART III-DEMOGRAPHICS'!Q931="","",'PART III-DEMOGRAPHICS'!Q931)</f>
        <v/>
      </c>
    </row>
    <row r="922" spans="1:21">
      <c r="A922" s="25" t="str">
        <f>IF('PART III-DEMOGRAPHICS'!A932="","",'PART III-DEMOGRAPHICS'!A932)</f>
        <v/>
      </c>
      <c r="B922" s="28"/>
      <c r="C922" s="27"/>
      <c r="D922" s="28"/>
      <c r="E922" s="21"/>
      <c r="F922" s="36" t="str">
        <f t="shared" si="32"/>
        <v>Did Not</v>
      </c>
      <c r="G922" s="28"/>
      <c r="H922" s="28"/>
      <c r="I922" s="28"/>
      <c r="J922" s="28"/>
      <c r="K922" s="28"/>
      <c r="L922" s="28"/>
      <c r="M922" s="28"/>
      <c r="N922" s="21"/>
      <c r="O922" s="28"/>
      <c r="P922" s="38"/>
      <c r="Q922" s="21"/>
      <c r="R922" s="21"/>
      <c r="S922" s="47"/>
      <c r="T922" s="25">
        <f t="shared" si="31"/>
        <v>0</v>
      </c>
      <c r="U922" s="25" t="str">
        <f>IF('PART III-DEMOGRAPHICS'!Q932="","",'PART III-DEMOGRAPHICS'!Q932)</f>
        <v/>
      </c>
    </row>
    <row r="923" spans="1:21">
      <c r="A923" s="25" t="str">
        <f>IF('PART III-DEMOGRAPHICS'!A933="","",'PART III-DEMOGRAPHICS'!A933)</f>
        <v/>
      </c>
      <c r="B923" s="28"/>
      <c r="C923" s="27"/>
      <c r="D923" s="28"/>
      <c r="E923" s="21"/>
      <c r="F923" s="36" t="str">
        <f t="shared" si="32"/>
        <v>Did Not</v>
      </c>
      <c r="G923" s="28"/>
      <c r="H923" s="28"/>
      <c r="I923" s="28"/>
      <c r="J923" s="28"/>
      <c r="K923" s="28"/>
      <c r="L923" s="28"/>
      <c r="M923" s="28"/>
      <c r="N923" s="21"/>
      <c r="O923" s="28"/>
      <c r="P923" s="38"/>
      <c r="Q923" s="21"/>
      <c r="R923" s="21"/>
      <c r="S923" s="47"/>
      <c r="T923" s="25">
        <f t="shared" si="31"/>
        <v>0</v>
      </c>
      <c r="U923" s="25" t="str">
        <f>IF('PART III-DEMOGRAPHICS'!Q933="","",'PART III-DEMOGRAPHICS'!Q933)</f>
        <v/>
      </c>
    </row>
    <row r="924" spans="1:21">
      <c r="A924" s="25" t="str">
        <f>IF('PART III-DEMOGRAPHICS'!A934="","",'PART III-DEMOGRAPHICS'!A934)</f>
        <v/>
      </c>
      <c r="B924" s="28"/>
      <c r="C924" s="27"/>
      <c r="D924" s="28"/>
      <c r="E924" s="21"/>
      <c r="F924" s="36" t="str">
        <f t="shared" si="32"/>
        <v>Did Not</v>
      </c>
      <c r="G924" s="28"/>
      <c r="H924" s="28"/>
      <c r="I924" s="28"/>
      <c r="J924" s="28"/>
      <c r="K924" s="28"/>
      <c r="L924" s="28"/>
      <c r="M924" s="28"/>
      <c r="N924" s="21"/>
      <c r="O924" s="28"/>
      <c r="P924" s="38"/>
      <c r="Q924" s="21"/>
      <c r="R924" s="21"/>
      <c r="S924" s="47"/>
      <c r="T924" s="25">
        <f t="shared" si="31"/>
        <v>0</v>
      </c>
      <c r="U924" s="25" t="str">
        <f>IF('PART III-DEMOGRAPHICS'!Q934="","",'PART III-DEMOGRAPHICS'!Q934)</f>
        <v/>
      </c>
    </row>
    <row r="925" spans="1:21">
      <c r="A925" s="25" t="str">
        <f>IF('PART III-DEMOGRAPHICS'!A935="","",'PART III-DEMOGRAPHICS'!A935)</f>
        <v/>
      </c>
      <c r="B925" s="28"/>
      <c r="C925" s="27"/>
      <c r="D925" s="28"/>
      <c r="E925" s="21"/>
      <c r="F925" s="36" t="str">
        <f t="shared" si="32"/>
        <v>Did Not</v>
      </c>
      <c r="G925" s="28"/>
      <c r="H925" s="28"/>
      <c r="I925" s="28"/>
      <c r="J925" s="28"/>
      <c r="K925" s="28"/>
      <c r="L925" s="28"/>
      <c r="M925" s="28"/>
      <c r="N925" s="21"/>
      <c r="O925" s="28"/>
      <c r="P925" s="38"/>
      <c r="Q925" s="21"/>
      <c r="R925" s="21"/>
      <c r="S925" s="47"/>
      <c r="T925" s="25">
        <f t="shared" si="31"/>
        <v>0</v>
      </c>
      <c r="U925" s="25" t="str">
        <f>IF('PART III-DEMOGRAPHICS'!Q935="","",'PART III-DEMOGRAPHICS'!Q935)</f>
        <v/>
      </c>
    </row>
    <row r="926" spans="1:21">
      <c r="A926" s="25" t="str">
        <f>IF('PART III-DEMOGRAPHICS'!A936="","",'PART III-DEMOGRAPHICS'!A936)</f>
        <v/>
      </c>
      <c r="B926" s="28"/>
      <c r="C926" s="27"/>
      <c r="D926" s="28"/>
      <c r="E926" s="21"/>
      <c r="F926" s="36" t="str">
        <f t="shared" si="32"/>
        <v>Did Not</v>
      </c>
      <c r="G926" s="28"/>
      <c r="H926" s="28"/>
      <c r="I926" s="28"/>
      <c r="J926" s="28"/>
      <c r="K926" s="28"/>
      <c r="L926" s="28"/>
      <c r="M926" s="28"/>
      <c r="N926" s="21"/>
      <c r="O926" s="28"/>
      <c r="P926" s="38"/>
      <c r="Q926" s="21"/>
      <c r="R926" s="21"/>
      <c r="S926" s="47"/>
      <c r="T926" s="25">
        <f t="shared" si="31"/>
        <v>0</v>
      </c>
      <c r="U926" s="25" t="str">
        <f>IF('PART III-DEMOGRAPHICS'!Q936="","",'PART III-DEMOGRAPHICS'!Q936)</f>
        <v/>
      </c>
    </row>
    <row r="927" spans="1:21">
      <c r="A927" s="25" t="str">
        <f>IF('PART III-DEMOGRAPHICS'!A937="","",'PART III-DEMOGRAPHICS'!A937)</f>
        <v/>
      </c>
      <c r="B927" s="28"/>
      <c r="C927" s="27"/>
      <c r="D927" s="28"/>
      <c r="E927" s="21"/>
      <c r="F927" s="36" t="str">
        <f t="shared" si="32"/>
        <v>Did Not</v>
      </c>
      <c r="G927" s="28"/>
      <c r="H927" s="28"/>
      <c r="I927" s="28"/>
      <c r="J927" s="28"/>
      <c r="K927" s="28"/>
      <c r="L927" s="28"/>
      <c r="M927" s="28"/>
      <c r="N927" s="21"/>
      <c r="O927" s="28"/>
      <c r="P927" s="38"/>
      <c r="Q927" s="21"/>
      <c r="R927" s="21"/>
      <c r="S927" s="47"/>
      <c r="T927" s="25">
        <f t="shared" si="31"/>
        <v>0</v>
      </c>
      <c r="U927" s="25" t="str">
        <f>IF('PART III-DEMOGRAPHICS'!Q937="","",'PART III-DEMOGRAPHICS'!Q937)</f>
        <v/>
      </c>
    </row>
    <row r="928" spans="1:21">
      <c r="A928" s="25" t="str">
        <f>IF('PART III-DEMOGRAPHICS'!A938="","",'PART III-DEMOGRAPHICS'!A938)</f>
        <v/>
      </c>
      <c r="B928" s="28"/>
      <c r="C928" s="27"/>
      <c r="D928" s="28"/>
      <c r="E928" s="21"/>
      <c r="F928" s="36" t="str">
        <f t="shared" si="32"/>
        <v>Did Not</v>
      </c>
      <c r="G928" s="28"/>
      <c r="H928" s="28"/>
      <c r="I928" s="28"/>
      <c r="J928" s="28"/>
      <c r="K928" s="28"/>
      <c r="L928" s="28"/>
      <c r="M928" s="28"/>
      <c r="N928" s="21"/>
      <c r="O928" s="28"/>
      <c r="P928" s="38"/>
      <c r="Q928" s="21"/>
      <c r="R928" s="21"/>
      <c r="S928" s="47"/>
      <c r="T928" s="25">
        <f t="shared" si="31"/>
        <v>0</v>
      </c>
      <c r="U928" s="25" t="str">
        <f>IF('PART III-DEMOGRAPHICS'!Q938="","",'PART III-DEMOGRAPHICS'!Q938)</f>
        <v/>
      </c>
    </row>
    <row r="929" spans="1:21">
      <c r="A929" s="25" t="str">
        <f>IF('PART III-DEMOGRAPHICS'!A939="","",'PART III-DEMOGRAPHICS'!A939)</f>
        <v/>
      </c>
      <c r="B929" s="28"/>
      <c r="C929" s="27"/>
      <c r="D929" s="28"/>
      <c r="E929" s="21"/>
      <c r="F929" s="36" t="str">
        <f t="shared" si="32"/>
        <v>Did Not</v>
      </c>
      <c r="G929" s="28"/>
      <c r="H929" s="28"/>
      <c r="I929" s="28"/>
      <c r="J929" s="28"/>
      <c r="K929" s="28"/>
      <c r="L929" s="28"/>
      <c r="M929" s="28"/>
      <c r="N929" s="21"/>
      <c r="O929" s="28"/>
      <c r="P929" s="38"/>
      <c r="Q929" s="21"/>
      <c r="R929" s="21"/>
      <c r="S929" s="47"/>
      <c r="T929" s="25">
        <f t="shared" si="31"/>
        <v>0</v>
      </c>
      <c r="U929" s="25" t="str">
        <f>IF('PART III-DEMOGRAPHICS'!Q939="","",'PART III-DEMOGRAPHICS'!Q939)</f>
        <v/>
      </c>
    </row>
    <row r="930" spans="1:21">
      <c r="A930" s="25" t="str">
        <f>IF('PART III-DEMOGRAPHICS'!A940="","",'PART III-DEMOGRAPHICS'!A940)</f>
        <v/>
      </c>
      <c r="B930" s="28"/>
      <c r="C930" s="27"/>
      <c r="D930" s="28"/>
      <c r="E930" s="21"/>
      <c r="F930" s="36" t="str">
        <f t="shared" si="32"/>
        <v>Did Not</v>
      </c>
      <c r="G930" s="28"/>
      <c r="H930" s="28"/>
      <c r="I930" s="28"/>
      <c r="J930" s="28"/>
      <c r="K930" s="28"/>
      <c r="L930" s="28"/>
      <c r="M930" s="28"/>
      <c r="N930" s="21"/>
      <c r="O930" s="28"/>
      <c r="P930" s="38"/>
      <c r="Q930" s="21"/>
      <c r="R930" s="21"/>
      <c r="S930" s="47"/>
      <c r="T930" s="25">
        <f t="shared" si="31"/>
        <v>0</v>
      </c>
      <c r="U930" s="25" t="str">
        <f>IF('PART III-DEMOGRAPHICS'!Q940="","",'PART III-DEMOGRAPHICS'!Q940)</f>
        <v/>
      </c>
    </row>
    <row r="931" spans="1:21">
      <c r="A931" s="25" t="str">
        <f>IF('PART III-DEMOGRAPHICS'!A941="","",'PART III-DEMOGRAPHICS'!A941)</f>
        <v/>
      </c>
      <c r="B931" s="28"/>
      <c r="C931" s="27"/>
      <c r="D931" s="28"/>
      <c r="E931" s="21"/>
      <c r="F931" s="36" t="str">
        <f t="shared" si="32"/>
        <v>Did Not</v>
      </c>
      <c r="G931" s="28"/>
      <c r="H931" s="28"/>
      <c r="I931" s="28"/>
      <c r="J931" s="28"/>
      <c r="K931" s="28"/>
      <c r="L931" s="28"/>
      <c r="M931" s="28"/>
      <c r="N931" s="21"/>
      <c r="O931" s="28"/>
      <c r="P931" s="38"/>
      <c r="Q931" s="21"/>
      <c r="R931" s="21"/>
      <c r="S931" s="47"/>
      <c r="T931" s="25">
        <f t="shared" si="31"/>
        <v>0</v>
      </c>
      <c r="U931" s="25" t="str">
        <f>IF('PART III-DEMOGRAPHICS'!Q941="","",'PART III-DEMOGRAPHICS'!Q941)</f>
        <v/>
      </c>
    </row>
    <row r="932" spans="1:21">
      <c r="A932" s="25" t="str">
        <f>IF('PART III-DEMOGRAPHICS'!A942="","",'PART III-DEMOGRAPHICS'!A942)</f>
        <v/>
      </c>
      <c r="B932" s="28"/>
      <c r="C932" s="27"/>
      <c r="D932" s="28"/>
      <c r="E932" s="21"/>
      <c r="F932" s="36" t="str">
        <f t="shared" si="32"/>
        <v>Did Not</v>
      </c>
      <c r="G932" s="28"/>
      <c r="H932" s="28"/>
      <c r="I932" s="28"/>
      <c r="J932" s="28"/>
      <c r="K932" s="28"/>
      <c r="L932" s="28"/>
      <c r="M932" s="28"/>
      <c r="N932" s="21"/>
      <c r="O932" s="28"/>
      <c r="P932" s="38"/>
      <c r="Q932" s="21"/>
      <c r="R932" s="21"/>
      <c r="S932" s="47"/>
      <c r="T932" s="25">
        <f t="shared" si="31"/>
        <v>0</v>
      </c>
      <c r="U932" s="25" t="str">
        <f>IF('PART III-DEMOGRAPHICS'!Q942="","",'PART III-DEMOGRAPHICS'!Q942)</f>
        <v/>
      </c>
    </row>
    <row r="933" spans="1:21">
      <c r="A933" s="25" t="str">
        <f>IF('PART III-DEMOGRAPHICS'!A943="","",'PART III-DEMOGRAPHICS'!A943)</f>
        <v/>
      </c>
      <c r="B933" s="28"/>
      <c r="C933" s="27"/>
      <c r="D933" s="28"/>
      <c r="E933" s="21"/>
      <c r="F933" s="36" t="str">
        <f t="shared" si="32"/>
        <v>Did Not</v>
      </c>
      <c r="G933" s="28"/>
      <c r="H933" s="28"/>
      <c r="I933" s="28"/>
      <c r="J933" s="28"/>
      <c r="K933" s="28"/>
      <c r="L933" s="28"/>
      <c r="M933" s="28"/>
      <c r="N933" s="21"/>
      <c r="O933" s="28"/>
      <c r="P933" s="38"/>
      <c r="Q933" s="21"/>
      <c r="R933" s="21"/>
      <c r="S933" s="47"/>
      <c r="T933" s="25">
        <f t="shared" si="31"/>
        <v>0</v>
      </c>
      <c r="U933" s="25" t="str">
        <f>IF('PART III-DEMOGRAPHICS'!Q943="","",'PART III-DEMOGRAPHICS'!Q943)</f>
        <v/>
      </c>
    </row>
    <row r="934" spans="1:21">
      <c r="A934" s="25" t="str">
        <f>IF('PART III-DEMOGRAPHICS'!A944="","",'PART III-DEMOGRAPHICS'!A944)</f>
        <v/>
      </c>
      <c r="B934" s="28"/>
      <c r="C934" s="27"/>
      <c r="D934" s="28"/>
      <c r="E934" s="21"/>
      <c r="F934" s="36" t="str">
        <f t="shared" si="32"/>
        <v>Did Not</v>
      </c>
      <c r="G934" s="28"/>
      <c r="H934" s="28"/>
      <c r="I934" s="28"/>
      <c r="J934" s="28"/>
      <c r="K934" s="28"/>
      <c r="L934" s="28"/>
      <c r="M934" s="28"/>
      <c r="N934" s="21"/>
      <c r="O934" s="28"/>
      <c r="P934" s="38"/>
      <c r="Q934" s="21"/>
      <c r="R934" s="21"/>
      <c r="S934" s="47"/>
      <c r="T934" s="25">
        <f t="shared" si="31"/>
        <v>0</v>
      </c>
      <c r="U934" s="25" t="str">
        <f>IF('PART III-DEMOGRAPHICS'!Q944="","",'PART III-DEMOGRAPHICS'!Q944)</f>
        <v/>
      </c>
    </row>
    <row r="935" spans="1:21">
      <c r="A935" s="25" t="str">
        <f>IF('PART III-DEMOGRAPHICS'!A945="","",'PART III-DEMOGRAPHICS'!A945)</f>
        <v/>
      </c>
      <c r="B935" s="28"/>
      <c r="C935" s="27"/>
      <c r="D935" s="28"/>
      <c r="E935" s="21"/>
      <c r="F935" s="36" t="str">
        <f t="shared" si="32"/>
        <v>Did Not</v>
      </c>
      <c r="G935" s="28"/>
      <c r="H935" s="28"/>
      <c r="I935" s="28"/>
      <c r="J935" s="28"/>
      <c r="K935" s="28"/>
      <c r="L935" s="28"/>
      <c r="M935" s="28"/>
      <c r="N935" s="21"/>
      <c r="O935" s="28"/>
      <c r="P935" s="38"/>
      <c r="Q935" s="21"/>
      <c r="R935" s="21"/>
      <c r="S935" s="47"/>
      <c r="T935" s="25">
        <f t="shared" si="31"/>
        <v>0</v>
      </c>
      <c r="U935" s="25" t="str">
        <f>IF('PART III-DEMOGRAPHICS'!Q945="","",'PART III-DEMOGRAPHICS'!Q945)</f>
        <v/>
      </c>
    </row>
    <row r="936" spans="1:21">
      <c r="A936" s="25" t="str">
        <f>IF('PART III-DEMOGRAPHICS'!A946="","",'PART III-DEMOGRAPHICS'!A946)</f>
        <v/>
      </c>
      <c r="B936" s="28"/>
      <c r="C936" s="27"/>
      <c r="D936" s="28"/>
      <c r="E936" s="21"/>
      <c r="F936" s="36" t="str">
        <f t="shared" si="32"/>
        <v>Did Not</v>
      </c>
      <c r="G936" s="28"/>
      <c r="H936" s="28"/>
      <c r="I936" s="28"/>
      <c r="J936" s="28"/>
      <c r="K936" s="28"/>
      <c r="L936" s="28"/>
      <c r="M936" s="28"/>
      <c r="N936" s="21"/>
      <c r="O936" s="28"/>
      <c r="P936" s="38"/>
      <c r="Q936" s="21"/>
      <c r="R936" s="21"/>
      <c r="S936" s="47"/>
      <c r="T936" s="25">
        <f t="shared" si="31"/>
        <v>0</v>
      </c>
      <c r="U936" s="25" t="str">
        <f>IF('PART III-DEMOGRAPHICS'!Q946="","",'PART III-DEMOGRAPHICS'!Q946)</f>
        <v/>
      </c>
    </row>
    <row r="937" spans="1:21">
      <c r="A937" s="25" t="str">
        <f>IF('PART III-DEMOGRAPHICS'!A947="","",'PART III-DEMOGRAPHICS'!A947)</f>
        <v/>
      </c>
      <c r="B937" s="28"/>
      <c r="C937" s="27"/>
      <c r="D937" s="28"/>
      <c r="E937" s="21"/>
      <c r="F937" s="36" t="str">
        <f t="shared" si="32"/>
        <v>Did Not</v>
      </c>
      <c r="G937" s="28"/>
      <c r="H937" s="28"/>
      <c r="I937" s="28"/>
      <c r="J937" s="28"/>
      <c r="K937" s="28"/>
      <c r="L937" s="28"/>
      <c r="M937" s="28"/>
      <c r="N937" s="21"/>
      <c r="O937" s="28"/>
      <c r="P937" s="38"/>
      <c r="Q937" s="21"/>
      <c r="R937" s="21"/>
      <c r="S937" s="47"/>
      <c r="T937" s="25">
        <f t="shared" si="31"/>
        <v>0</v>
      </c>
      <c r="U937" s="25" t="str">
        <f>IF('PART III-DEMOGRAPHICS'!Q947="","",'PART III-DEMOGRAPHICS'!Q947)</f>
        <v/>
      </c>
    </row>
    <row r="938" spans="1:21">
      <c r="A938" s="25" t="str">
        <f>IF('PART III-DEMOGRAPHICS'!A948="","",'PART III-DEMOGRAPHICS'!A948)</f>
        <v/>
      </c>
      <c r="B938" s="28"/>
      <c r="C938" s="27"/>
      <c r="D938" s="28"/>
      <c r="E938" s="21"/>
      <c r="F938" s="36" t="str">
        <f t="shared" si="32"/>
        <v>Did Not</v>
      </c>
      <c r="G938" s="28"/>
      <c r="H938" s="28"/>
      <c r="I938" s="28"/>
      <c r="J938" s="28"/>
      <c r="K938" s="28"/>
      <c r="L938" s="28"/>
      <c r="M938" s="28"/>
      <c r="N938" s="21"/>
      <c r="O938" s="28"/>
      <c r="P938" s="38"/>
      <c r="Q938" s="21"/>
      <c r="R938" s="21"/>
      <c r="S938" s="47"/>
      <c r="T938" s="25">
        <f t="shared" si="31"/>
        <v>0</v>
      </c>
      <c r="U938" s="25" t="str">
        <f>IF('PART III-DEMOGRAPHICS'!Q948="","",'PART III-DEMOGRAPHICS'!Q948)</f>
        <v/>
      </c>
    </row>
    <row r="939" spans="1:21">
      <c r="A939" s="25" t="str">
        <f>IF('PART III-DEMOGRAPHICS'!A949="","",'PART III-DEMOGRAPHICS'!A949)</f>
        <v/>
      </c>
      <c r="B939" s="28"/>
      <c r="C939" s="27"/>
      <c r="D939" s="28"/>
      <c r="E939" s="21"/>
      <c r="F939" s="36" t="str">
        <f t="shared" si="32"/>
        <v>Did Not</v>
      </c>
      <c r="G939" s="28"/>
      <c r="H939" s="28"/>
      <c r="I939" s="28"/>
      <c r="J939" s="28"/>
      <c r="K939" s="28"/>
      <c r="L939" s="28"/>
      <c r="M939" s="28"/>
      <c r="N939" s="21"/>
      <c r="O939" s="28"/>
      <c r="P939" s="38"/>
      <c r="Q939" s="21"/>
      <c r="R939" s="21"/>
      <c r="S939" s="47"/>
      <c r="T939" s="25">
        <f t="shared" si="31"/>
        <v>0</v>
      </c>
      <c r="U939" s="25" t="str">
        <f>IF('PART III-DEMOGRAPHICS'!Q949="","",'PART III-DEMOGRAPHICS'!Q949)</f>
        <v/>
      </c>
    </row>
    <row r="940" spans="1:21">
      <c r="A940" s="25" t="str">
        <f>IF('PART III-DEMOGRAPHICS'!A950="","",'PART III-DEMOGRAPHICS'!A950)</f>
        <v/>
      </c>
      <c r="B940" s="28"/>
      <c r="C940" s="27"/>
      <c r="D940" s="28"/>
      <c r="E940" s="21"/>
      <c r="F940" s="36" t="str">
        <f t="shared" si="32"/>
        <v>Did Not</v>
      </c>
      <c r="G940" s="28"/>
      <c r="H940" s="28"/>
      <c r="I940" s="28"/>
      <c r="J940" s="28"/>
      <c r="K940" s="28"/>
      <c r="L940" s="28"/>
      <c r="M940" s="28"/>
      <c r="N940" s="21"/>
      <c r="O940" s="28"/>
      <c r="P940" s="38"/>
      <c r="Q940" s="21"/>
      <c r="R940" s="21"/>
      <c r="S940" s="47"/>
      <c r="T940" s="25">
        <f t="shared" si="31"/>
        <v>0</v>
      </c>
      <c r="U940" s="25" t="str">
        <f>IF('PART III-DEMOGRAPHICS'!Q950="","",'PART III-DEMOGRAPHICS'!Q950)</f>
        <v/>
      </c>
    </row>
    <row r="941" spans="1:21">
      <c r="A941" s="25" t="str">
        <f>IF('PART III-DEMOGRAPHICS'!A951="","",'PART III-DEMOGRAPHICS'!A951)</f>
        <v/>
      </c>
      <c r="B941" s="28"/>
      <c r="C941" s="27"/>
      <c r="D941" s="28"/>
      <c r="E941" s="21"/>
      <c r="F941" s="36" t="str">
        <f t="shared" si="32"/>
        <v>Did Not</v>
      </c>
      <c r="G941" s="28"/>
      <c r="H941" s="28"/>
      <c r="I941" s="28"/>
      <c r="J941" s="28"/>
      <c r="K941" s="28"/>
      <c r="L941" s="28"/>
      <c r="M941" s="28"/>
      <c r="N941" s="21"/>
      <c r="O941" s="28"/>
      <c r="P941" s="38"/>
      <c r="Q941" s="21"/>
      <c r="R941" s="21"/>
      <c r="S941" s="47"/>
      <c r="T941" s="25">
        <f t="shared" si="31"/>
        <v>0</v>
      </c>
      <c r="U941" s="25" t="str">
        <f>IF('PART III-DEMOGRAPHICS'!Q951="","",'PART III-DEMOGRAPHICS'!Q951)</f>
        <v/>
      </c>
    </row>
    <row r="942" spans="1:21">
      <c r="A942" s="25" t="str">
        <f>IF('PART III-DEMOGRAPHICS'!A952="","",'PART III-DEMOGRAPHICS'!A952)</f>
        <v/>
      </c>
      <c r="B942" s="28"/>
      <c r="C942" s="27"/>
      <c r="D942" s="28"/>
      <c r="E942" s="21"/>
      <c r="F942" s="36" t="str">
        <f t="shared" si="32"/>
        <v>Did Not</v>
      </c>
      <c r="G942" s="28"/>
      <c r="H942" s="28"/>
      <c r="I942" s="28"/>
      <c r="J942" s="28"/>
      <c r="K942" s="28"/>
      <c r="L942" s="28"/>
      <c r="M942" s="28"/>
      <c r="N942" s="21"/>
      <c r="O942" s="28"/>
      <c r="P942" s="38"/>
      <c r="Q942" s="21"/>
      <c r="R942" s="21"/>
      <c r="S942" s="47"/>
      <c r="T942" s="25">
        <f t="shared" si="31"/>
        <v>0</v>
      </c>
      <c r="U942" s="25" t="str">
        <f>IF('PART III-DEMOGRAPHICS'!Q952="","",'PART III-DEMOGRAPHICS'!Q952)</f>
        <v/>
      </c>
    </row>
    <row r="943" spans="1:21">
      <c r="A943" s="25" t="str">
        <f>IF('PART III-DEMOGRAPHICS'!A953="","",'PART III-DEMOGRAPHICS'!A953)</f>
        <v/>
      </c>
      <c r="B943" s="28"/>
      <c r="C943" s="27"/>
      <c r="D943" s="28"/>
      <c r="E943" s="21"/>
      <c r="F943" s="36" t="str">
        <f t="shared" si="32"/>
        <v>Did Not</v>
      </c>
      <c r="G943" s="28"/>
      <c r="H943" s="28"/>
      <c r="I943" s="28"/>
      <c r="J943" s="28"/>
      <c r="K943" s="28"/>
      <c r="L943" s="28"/>
      <c r="M943" s="28"/>
      <c r="N943" s="21"/>
      <c r="O943" s="28"/>
      <c r="P943" s="38"/>
      <c r="Q943" s="21"/>
      <c r="R943" s="21"/>
      <c r="S943" s="47"/>
      <c r="T943" s="25">
        <f t="shared" si="31"/>
        <v>0</v>
      </c>
      <c r="U943" s="25" t="str">
        <f>IF('PART III-DEMOGRAPHICS'!Q953="","",'PART III-DEMOGRAPHICS'!Q953)</f>
        <v/>
      </c>
    </row>
    <row r="944" spans="1:21">
      <c r="A944" s="25" t="str">
        <f>IF('PART III-DEMOGRAPHICS'!A954="","",'PART III-DEMOGRAPHICS'!A954)</f>
        <v/>
      </c>
      <c r="B944" s="28"/>
      <c r="C944" s="27"/>
      <c r="D944" s="28"/>
      <c r="E944" s="21"/>
      <c r="F944" s="36" t="str">
        <f t="shared" si="32"/>
        <v>Did Not</v>
      </c>
      <c r="G944" s="28"/>
      <c r="H944" s="28"/>
      <c r="I944" s="28"/>
      <c r="J944" s="28"/>
      <c r="K944" s="28"/>
      <c r="L944" s="28"/>
      <c r="M944" s="28"/>
      <c r="N944" s="21"/>
      <c r="O944" s="28"/>
      <c r="P944" s="38"/>
      <c r="Q944" s="21"/>
      <c r="R944" s="21"/>
      <c r="S944" s="47"/>
      <c r="T944" s="25">
        <f t="shared" si="31"/>
        <v>0</v>
      </c>
      <c r="U944" s="25" t="str">
        <f>IF('PART III-DEMOGRAPHICS'!Q954="","",'PART III-DEMOGRAPHICS'!Q954)</f>
        <v/>
      </c>
    </row>
    <row r="945" spans="1:21">
      <c r="A945" s="25" t="str">
        <f>IF('PART III-DEMOGRAPHICS'!A955="","",'PART III-DEMOGRAPHICS'!A955)</f>
        <v/>
      </c>
      <c r="B945" s="28"/>
      <c r="C945" s="27"/>
      <c r="D945" s="28"/>
      <c r="E945" s="21"/>
      <c r="F945" s="36" t="str">
        <f t="shared" si="32"/>
        <v>Did Not</v>
      </c>
      <c r="G945" s="28"/>
      <c r="H945" s="28"/>
      <c r="I945" s="28"/>
      <c r="J945" s="28"/>
      <c r="K945" s="28"/>
      <c r="L945" s="28"/>
      <c r="M945" s="28"/>
      <c r="N945" s="21"/>
      <c r="O945" s="28"/>
      <c r="P945" s="38"/>
      <c r="Q945" s="21"/>
      <c r="R945" s="21"/>
      <c r="S945" s="47"/>
      <c r="T945" s="25">
        <f t="shared" si="31"/>
        <v>0</v>
      </c>
      <c r="U945" s="25" t="str">
        <f>IF('PART III-DEMOGRAPHICS'!Q955="","",'PART III-DEMOGRAPHICS'!Q955)</f>
        <v/>
      </c>
    </row>
    <row r="946" spans="1:21">
      <c r="A946" s="25" t="str">
        <f>IF('PART III-DEMOGRAPHICS'!A956="","",'PART III-DEMOGRAPHICS'!A956)</f>
        <v/>
      </c>
      <c r="B946" s="28"/>
      <c r="C946" s="27"/>
      <c r="D946" s="28"/>
      <c r="E946" s="21"/>
      <c r="F946" s="36" t="str">
        <f t="shared" si="32"/>
        <v>Did Not</v>
      </c>
      <c r="G946" s="28"/>
      <c r="H946" s="28"/>
      <c r="I946" s="28"/>
      <c r="J946" s="28"/>
      <c r="K946" s="28"/>
      <c r="L946" s="28"/>
      <c r="M946" s="28"/>
      <c r="N946" s="21"/>
      <c r="O946" s="28"/>
      <c r="P946" s="38"/>
      <c r="Q946" s="21"/>
      <c r="R946" s="21"/>
      <c r="S946" s="47"/>
      <c r="T946" s="25">
        <f t="shared" si="31"/>
        <v>0</v>
      </c>
      <c r="U946" s="25" t="str">
        <f>IF('PART III-DEMOGRAPHICS'!Q956="","",'PART III-DEMOGRAPHICS'!Q956)</f>
        <v/>
      </c>
    </row>
    <row r="947" spans="1:21">
      <c r="A947" s="25" t="str">
        <f>IF('PART III-DEMOGRAPHICS'!A957="","",'PART III-DEMOGRAPHICS'!A957)</f>
        <v/>
      </c>
      <c r="B947" s="28"/>
      <c r="C947" s="27"/>
      <c r="D947" s="28"/>
      <c r="E947" s="21"/>
      <c r="F947" s="36" t="str">
        <f t="shared" si="32"/>
        <v>Did Not</v>
      </c>
      <c r="G947" s="28"/>
      <c r="H947" s="28"/>
      <c r="I947" s="28"/>
      <c r="J947" s="28"/>
      <c r="K947" s="28"/>
      <c r="L947" s="28"/>
      <c r="M947" s="28"/>
      <c r="N947" s="21"/>
      <c r="O947" s="28"/>
      <c r="P947" s="38"/>
      <c r="Q947" s="21"/>
      <c r="R947" s="21"/>
      <c r="S947" s="47"/>
      <c r="T947" s="25">
        <f t="shared" si="31"/>
        <v>0</v>
      </c>
      <c r="U947" s="25" t="str">
        <f>IF('PART III-DEMOGRAPHICS'!Q957="","",'PART III-DEMOGRAPHICS'!Q957)</f>
        <v/>
      </c>
    </row>
    <row r="948" spans="1:21">
      <c r="A948" s="25" t="str">
        <f>IF('PART III-DEMOGRAPHICS'!A958="","",'PART III-DEMOGRAPHICS'!A958)</f>
        <v/>
      </c>
      <c r="B948" s="28"/>
      <c r="C948" s="27"/>
      <c r="D948" s="28"/>
      <c r="E948" s="21"/>
      <c r="F948" s="36" t="str">
        <f t="shared" si="32"/>
        <v>Did Not</v>
      </c>
      <c r="G948" s="28"/>
      <c r="H948" s="28"/>
      <c r="I948" s="28"/>
      <c r="J948" s="28"/>
      <c r="K948" s="28"/>
      <c r="L948" s="28"/>
      <c r="M948" s="28"/>
      <c r="N948" s="21"/>
      <c r="O948" s="28"/>
      <c r="P948" s="38"/>
      <c r="Q948" s="21"/>
      <c r="R948" s="21"/>
      <c r="S948" s="47"/>
      <c r="T948" s="25">
        <f t="shared" si="31"/>
        <v>0</v>
      </c>
      <c r="U948" s="25" t="str">
        <f>IF('PART III-DEMOGRAPHICS'!Q958="","",'PART III-DEMOGRAPHICS'!Q958)</f>
        <v/>
      </c>
    </row>
    <row r="949" spans="1:21">
      <c r="A949" s="25" t="str">
        <f>IF('PART III-DEMOGRAPHICS'!A959="","",'PART III-DEMOGRAPHICS'!A959)</f>
        <v/>
      </c>
      <c r="B949" s="28"/>
      <c r="C949" s="27"/>
      <c r="D949" s="28"/>
      <c r="E949" s="21"/>
      <c r="F949" s="36" t="str">
        <f t="shared" si="32"/>
        <v>Did Not</v>
      </c>
      <c r="G949" s="28"/>
      <c r="H949" s="28"/>
      <c r="I949" s="28"/>
      <c r="J949" s="28"/>
      <c r="K949" s="28"/>
      <c r="L949" s="28"/>
      <c r="M949" s="28"/>
      <c r="N949" s="21"/>
      <c r="O949" s="28"/>
      <c r="P949" s="38"/>
      <c r="Q949" s="21"/>
      <c r="R949" s="21"/>
      <c r="S949" s="47"/>
      <c r="T949" s="25">
        <f t="shared" si="31"/>
        <v>0</v>
      </c>
      <c r="U949" s="25" t="str">
        <f>IF('PART III-DEMOGRAPHICS'!Q959="","",'PART III-DEMOGRAPHICS'!Q959)</f>
        <v/>
      </c>
    </row>
    <row r="950" spans="1:21">
      <c r="A950" s="25" t="str">
        <f>IF('PART III-DEMOGRAPHICS'!A960="","",'PART III-DEMOGRAPHICS'!A960)</f>
        <v/>
      </c>
      <c r="B950" s="28"/>
      <c r="C950" s="27"/>
      <c r="D950" s="28"/>
      <c r="E950" s="21"/>
      <c r="F950" s="36" t="str">
        <f t="shared" si="32"/>
        <v>Did Not</v>
      </c>
      <c r="G950" s="28"/>
      <c r="H950" s="28"/>
      <c r="I950" s="28"/>
      <c r="J950" s="28"/>
      <c r="K950" s="28"/>
      <c r="L950" s="28"/>
      <c r="M950" s="28"/>
      <c r="N950" s="21"/>
      <c r="O950" s="28"/>
      <c r="P950" s="38"/>
      <c r="Q950" s="21"/>
      <c r="R950" s="21"/>
      <c r="S950" s="47"/>
      <c r="T950" s="25">
        <f t="shared" si="31"/>
        <v>0</v>
      </c>
      <c r="U950" s="25" t="str">
        <f>IF('PART III-DEMOGRAPHICS'!Q960="","",'PART III-DEMOGRAPHICS'!Q960)</f>
        <v/>
      </c>
    </row>
    <row r="951" spans="1:21">
      <c r="A951" s="25" t="str">
        <f>IF('PART III-DEMOGRAPHICS'!A961="","",'PART III-DEMOGRAPHICS'!A961)</f>
        <v/>
      </c>
      <c r="B951" s="28"/>
      <c r="C951" s="27"/>
      <c r="D951" s="28"/>
      <c r="E951" s="21"/>
      <c r="F951" s="36" t="str">
        <f t="shared" si="32"/>
        <v>Did Not</v>
      </c>
      <c r="G951" s="28"/>
      <c r="H951" s="28"/>
      <c r="I951" s="28"/>
      <c r="J951" s="28"/>
      <c r="K951" s="28"/>
      <c r="L951" s="28"/>
      <c r="M951" s="28"/>
      <c r="N951" s="21"/>
      <c r="O951" s="28"/>
      <c r="P951" s="38"/>
      <c r="Q951" s="21"/>
      <c r="R951" s="21"/>
      <c r="S951" s="47"/>
      <c r="T951" s="25">
        <f t="shared" si="31"/>
        <v>0</v>
      </c>
      <c r="U951" s="25" t="str">
        <f>IF('PART III-DEMOGRAPHICS'!Q961="","",'PART III-DEMOGRAPHICS'!Q961)</f>
        <v/>
      </c>
    </row>
    <row r="952" spans="1:21">
      <c r="A952" s="25" t="str">
        <f>IF('PART III-DEMOGRAPHICS'!A962="","",'PART III-DEMOGRAPHICS'!A962)</f>
        <v/>
      </c>
      <c r="B952" s="28"/>
      <c r="C952" s="27"/>
      <c r="D952" s="28"/>
      <c r="E952" s="21"/>
      <c r="F952" s="36" t="str">
        <f t="shared" si="32"/>
        <v>Did Not</v>
      </c>
      <c r="G952" s="28"/>
      <c r="H952" s="28"/>
      <c r="I952" s="28"/>
      <c r="J952" s="28"/>
      <c r="K952" s="28"/>
      <c r="L952" s="28"/>
      <c r="M952" s="28"/>
      <c r="N952" s="21"/>
      <c r="O952" s="28"/>
      <c r="P952" s="38"/>
      <c r="Q952" s="21"/>
      <c r="R952" s="21"/>
      <c r="S952" s="47"/>
      <c r="T952" s="25">
        <f t="shared" si="31"/>
        <v>0</v>
      </c>
      <c r="U952" s="25" t="str">
        <f>IF('PART III-DEMOGRAPHICS'!Q962="","",'PART III-DEMOGRAPHICS'!Q962)</f>
        <v/>
      </c>
    </row>
    <row r="953" spans="1:21">
      <c r="A953" s="25" t="str">
        <f>IF('PART III-DEMOGRAPHICS'!A963="","",'PART III-DEMOGRAPHICS'!A963)</f>
        <v/>
      </c>
      <c r="B953" s="28"/>
      <c r="C953" s="27"/>
      <c r="D953" s="28"/>
      <c r="E953" s="21"/>
      <c r="F953" s="36" t="str">
        <f t="shared" si="32"/>
        <v>Did Not</v>
      </c>
      <c r="G953" s="28"/>
      <c r="H953" s="28"/>
      <c r="I953" s="28"/>
      <c r="J953" s="28"/>
      <c r="K953" s="28"/>
      <c r="L953" s="28"/>
      <c r="M953" s="28"/>
      <c r="N953" s="21"/>
      <c r="O953" s="28"/>
      <c r="P953" s="38"/>
      <c r="Q953" s="21"/>
      <c r="R953" s="21"/>
      <c r="S953" s="47"/>
      <c r="T953" s="25">
        <f t="shared" si="31"/>
        <v>0</v>
      </c>
      <c r="U953" s="25" t="str">
        <f>IF('PART III-DEMOGRAPHICS'!Q963="","",'PART III-DEMOGRAPHICS'!Q963)</f>
        <v/>
      </c>
    </row>
    <row r="954" spans="1:21">
      <c r="A954" s="25" t="str">
        <f>IF('PART III-DEMOGRAPHICS'!A964="","",'PART III-DEMOGRAPHICS'!A964)</f>
        <v/>
      </c>
      <c r="B954" s="28"/>
      <c r="C954" s="27"/>
      <c r="D954" s="28"/>
      <c r="E954" s="21"/>
      <c r="F954" s="36" t="str">
        <f t="shared" si="32"/>
        <v>Did Not</v>
      </c>
      <c r="G954" s="28"/>
      <c r="H954" s="28"/>
      <c r="I954" s="28"/>
      <c r="J954" s="28"/>
      <c r="K954" s="28"/>
      <c r="L954" s="28"/>
      <c r="M954" s="28"/>
      <c r="N954" s="21"/>
      <c r="O954" s="28"/>
      <c r="P954" s="38"/>
      <c r="Q954" s="21"/>
      <c r="R954" s="21"/>
      <c r="S954" s="47"/>
      <c r="T954" s="25">
        <f t="shared" si="31"/>
        <v>0</v>
      </c>
      <c r="U954" s="25" t="str">
        <f>IF('PART III-DEMOGRAPHICS'!Q964="","",'PART III-DEMOGRAPHICS'!Q964)</f>
        <v/>
      </c>
    </row>
    <row r="955" spans="1:21">
      <c r="A955" s="25" t="str">
        <f>IF('PART III-DEMOGRAPHICS'!A965="","",'PART III-DEMOGRAPHICS'!A965)</f>
        <v/>
      </c>
      <c r="B955" s="28"/>
      <c r="C955" s="27"/>
      <c r="D955" s="28"/>
      <c r="E955" s="21"/>
      <c r="F955" s="36" t="str">
        <f t="shared" si="32"/>
        <v>Did Not</v>
      </c>
      <c r="G955" s="28"/>
      <c r="H955" s="28"/>
      <c r="I955" s="28"/>
      <c r="J955" s="28"/>
      <c r="K955" s="28"/>
      <c r="L955" s="28"/>
      <c r="M955" s="28"/>
      <c r="N955" s="21"/>
      <c r="O955" s="28"/>
      <c r="P955" s="38"/>
      <c r="Q955" s="21"/>
      <c r="R955" s="21"/>
      <c r="S955" s="47"/>
      <c r="T955" s="25">
        <f t="shared" si="31"/>
        <v>0</v>
      </c>
      <c r="U955" s="25" t="str">
        <f>IF('PART III-DEMOGRAPHICS'!Q965="","",'PART III-DEMOGRAPHICS'!Q965)</f>
        <v/>
      </c>
    </row>
    <row r="956" spans="1:21">
      <c r="A956" s="25" t="str">
        <f>IF('PART III-DEMOGRAPHICS'!A966="","",'PART III-DEMOGRAPHICS'!A966)</f>
        <v/>
      </c>
      <c r="B956" s="28"/>
      <c r="C956" s="27"/>
      <c r="D956" s="28"/>
      <c r="E956" s="21"/>
      <c r="F956" s="36" t="str">
        <f t="shared" si="32"/>
        <v>Did Not</v>
      </c>
      <c r="G956" s="28"/>
      <c r="H956" s="28"/>
      <c r="I956" s="28"/>
      <c r="J956" s="28"/>
      <c r="K956" s="28"/>
      <c r="L956" s="28"/>
      <c r="M956" s="28"/>
      <c r="N956" s="21"/>
      <c r="O956" s="28"/>
      <c r="P956" s="38"/>
      <c r="Q956" s="21"/>
      <c r="R956" s="21"/>
      <c r="S956" s="47"/>
      <c r="T956" s="25">
        <f t="shared" si="31"/>
        <v>0</v>
      </c>
      <c r="U956" s="25" t="str">
        <f>IF('PART III-DEMOGRAPHICS'!Q966="","",'PART III-DEMOGRAPHICS'!Q966)</f>
        <v/>
      </c>
    </row>
    <row r="957" spans="1:21">
      <c r="A957" s="25" t="str">
        <f>IF('PART III-DEMOGRAPHICS'!A967="","",'PART III-DEMOGRAPHICS'!A967)</f>
        <v/>
      </c>
      <c r="B957" s="28"/>
      <c r="C957" s="27"/>
      <c r="D957" s="28"/>
      <c r="E957" s="21"/>
      <c r="F957" s="36" t="str">
        <f t="shared" si="32"/>
        <v>Did Not</v>
      </c>
      <c r="G957" s="28"/>
      <c r="H957" s="28"/>
      <c r="I957" s="28"/>
      <c r="J957" s="28"/>
      <c r="K957" s="28"/>
      <c r="L957" s="28"/>
      <c r="M957" s="28"/>
      <c r="N957" s="21"/>
      <c r="O957" s="28"/>
      <c r="P957" s="38"/>
      <c r="Q957" s="21"/>
      <c r="R957" s="21"/>
      <c r="S957" s="47"/>
      <c r="T957" s="25">
        <f t="shared" si="31"/>
        <v>0</v>
      </c>
      <c r="U957" s="25" t="str">
        <f>IF('PART III-DEMOGRAPHICS'!Q967="","",'PART III-DEMOGRAPHICS'!Q967)</f>
        <v/>
      </c>
    </row>
    <row r="958" spans="1:21">
      <c r="A958" s="25" t="str">
        <f>IF('PART III-DEMOGRAPHICS'!A968="","",'PART III-DEMOGRAPHICS'!A968)</f>
        <v/>
      </c>
      <c r="B958" s="28"/>
      <c r="C958" s="27"/>
      <c r="D958" s="28"/>
      <c r="E958" s="21"/>
      <c r="F958" s="36" t="str">
        <f t="shared" si="32"/>
        <v>Did Not</v>
      </c>
      <c r="G958" s="28"/>
      <c r="H958" s="28"/>
      <c r="I958" s="28"/>
      <c r="J958" s="28"/>
      <c r="K958" s="28"/>
      <c r="L958" s="28"/>
      <c r="M958" s="28"/>
      <c r="N958" s="21"/>
      <c r="O958" s="28"/>
      <c r="P958" s="38"/>
      <c r="Q958" s="21"/>
      <c r="R958" s="21"/>
      <c r="S958" s="47"/>
      <c r="T958" s="25">
        <f t="shared" si="31"/>
        <v>0</v>
      </c>
      <c r="U958" s="25" t="str">
        <f>IF('PART III-DEMOGRAPHICS'!Q968="","",'PART III-DEMOGRAPHICS'!Q968)</f>
        <v/>
      </c>
    </row>
    <row r="959" spans="1:21">
      <c r="A959" s="25" t="str">
        <f>IF('PART III-DEMOGRAPHICS'!A969="","",'PART III-DEMOGRAPHICS'!A969)</f>
        <v/>
      </c>
      <c r="B959" s="28"/>
      <c r="C959" s="27"/>
      <c r="D959" s="28"/>
      <c r="E959" s="21"/>
      <c r="F959" s="36" t="str">
        <f t="shared" si="32"/>
        <v>Did Not</v>
      </c>
      <c r="G959" s="28"/>
      <c r="H959" s="28"/>
      <c r="I959" s="28"/>
      <c r="J959" s="28"/>
      <c r="K959" s="28"/>
      <c r="L959" s="28"/>
      <c r="M959" s="28"/>
      <c r="N959" s="21"/>
      <c r="O959" s="28"/>
      <c r="P959" s="38"/>
      <c r="Q959" s="21"/>
      <c r="R959" s="21"/>
      <c r="S959" s="47"/>
      <c r="T959" s="25">
        <f t="shared" si="31"/>
        <v>0</v>
      </c>
      <c r="U959" s="25" t="str">
        <f>IF('PART III-DEMOGRAPHICS'!Q969="","",'PART III-DEMOGRAPHICS'!Q969)</f>
        <v/>
      </c>
    </row>
    <row r="960" spans="1:21">
      <c r="A960" s="25" t="str">
        <f>IF('PART III-DEMOGRAPHICS'!A970="","",'PART III-DEMOGRAPHICS'!A970)</f>
        <v/>
      </c>
      <c r="B960" s="28"/>
      <c r="C960" s="27"/>
      <c r="D960" s="28"/>
      <c r="E960" s="21"/>
      <c r="F960" s="36" t="str">
        <f t="shared" si="32"/>
        <v>Did Not</v>
      </c>
      <c r="G960" s="28"/>
      <c r="H960" s="28"/>
      <c r="I960" s="28"/>
      <c r="J960" s="28"/>
      <c r="K960" s="28"/>
      <c r="L960" s="28"/>
      <c r="M960" s="28"/>
      <c r="N960" s="21"/>
      <c r="O960" s="28"/>
      <c r="P960" s="38"/>
      <c r="Q960" s="21"/>
      <c r="R960" s="21"/>
      <c r="S960" s="47"/>
      <c r="T960" s="25">
        <f t="shared" si="31"/>
        <v>0</v>
      </c>
      <c r="U960" s="25" t="str">
        <f>IF('PART III-DEMOGRAPHICS'!Q970="","",'PART III-DEMOGRAPHICS'!Q970)</f>
        <v/>
      </c>
    </row>
    <row r="961" spans="1:21">
      <c r="A961" s="25" t="str">
        <f>IF('PART III-DEMOGRAPHICS'!A971="","",'PART III-DEMOGRAPHICS'!A971)</f>
        <v/>
      </c>
      <c r="B961" s="28"/>
      <c r="C961" s="27"/>
      <c r="D961" s="28"/>
      <c r="E961" s="21"/>
      <c r="F961" s="36" t="str">
        <f t="shared" si="32"/>
        <v>Did Not</v>
      </c>
      <c r="G961" s="28"/>
      <c r="H961" s="28"/>
      <c r="I961" s="28"/>
      <c r="J961" s="28"/>
      <c r="K961" s="28"/>
      <c r="L961" s="28"/>
      <c r="M961" s="28"/>
      <c r="N961" s="21"/>
      <c r="O961" s="28"/>
      <c r="P961" s="38"/>
      <c r="Q961" s="21"/>
      <c r="R961" s="21"/>
      <c r="S961" s="47"/>
      <c r="T961" s="25">
        <f t="shared" si="31"/>
        <v>0</v>
      </c>
      <c r="U961" s="25" t="str">
        <f>IF('PART III-DEMOGRAPHICS'!Q971="","",'PART III-DEMOGRAPHICS'!Q971)</f>
        <v/>
      </c>
    </row>
    <row r="962" spans="1:21">
      <c r="A962" s="25" t="str">
        <f>IF('PART III-DEMOGRAPHICS'!A972="","",'PART III-DEMOGRAPHICS'!A972)</f>
        <v/>
      </c>
      <c r="B962" s="28"/>
      <c r="C962" s="27"/>
      <c r="D962" s="28"/>
      <c r="E962" s="21"/>
      <c r="F962" s="36" t="str">
        <f t="shared" si="32"/>
        <v>Did Not</v>
      </c>
      <c r="G962" s="28"/>
      <c r="H962" s="28"/>
      <c r="I962" s="28"/>
      <c r="J962" s="28"/>
      <c r="K962" s="28"/>
      <c r="L962" s="28"/>
      <c r="M962" s="28"/>
      <c r="N962" s="21"/>
      <c r="O962" s="28"/>
      <c r="P962" s="38"/>
      <c r="Q962" s="21"/>
      <c r="R962" s="21"/>
      <c r="S962" s="47"/>
      <c r="T962" s="25">
        <f t="shared" si="31"/>
        <v>0</v>
      </c>
      <c r="U962" s="25" t="str">
        <f>IF('PART III-DEMOGRAPHICS'!Q972="","",'PART III-DEMOGRAPHICS'!Q972)</f>
        <v/>
      </c>
    </row>
    <row r="963" spans="1:21">
      <c r="A963" s="25" t="str">
        <f>IF('PART III-DEMOGRAPHICS'!A973="","",'PART III-DEMOGRAPHICS'!A973)</f>
        <v/>
      </c>
      <c r="B963" s="28"/>
      <c r="C963" s="27"/>
      <c r="D963" s="28"/>
      <c r="E963" s="21"/>
      <c r="F963" s="36" t="str">
        <f t="shared" si="32"/>
        <v>Did Not</v>
      </c>
      <c r="G963" s="28"/>
      <c r="H963" s="28"/>
      <c r="I963" s="28"/>
      <c r="J963" s="28"/>
      <c r="K963" s="28"/>
      <c r="L963" s="28"/>
      <c r="M963" s="28"/>
      <c r="N963" s="21"/>
      <c r="O963" s="28"/>
      <c r="P963" s="38"/>
      <c r="Q963" s="21"/>
      <c r="R963" s="21"/>
      <c r="S963" s="47"/>
      <c r="T963" s="25">
        <f t="shared" si="31"/>
        <v>0</v>
      </c>
      <c r="U963" s="25" t="str">
        <f>IF('PART III-DEMOGRAPHICS'!Q973="","",'PART III-DEMOGRAPHICS'!Q973)</f>
        <v/>
      </c>
    </row>
    <row r="964" spans="1:21">
      <c r="A964" s="25" t="str">
        <f>IF('PART III-DEMOGRAPHICS'!A974="","",'PART III-DEMOGRAPHICS'!A974)</f>
        <v/>
      </c>
      <c r="B964" s="28"/>
      <c r="C964" s="27"/>
      <c r="D964" s="28"/>
      <c r="E964" s="21"/>
      <c r="F964" s="36" t="str">
        <f t="shared" si="32"/>
        <v>Did Not</v>
      </c>
      <c r="G964" s="28"/>
      <c r="H964" s="28"/>
      <c r="I964" s="28"/>
      <c r="J964" s="28"/>
      <c r="K964" s="28"/>
      <c r="L964" s="28"/>
      <c r="M964" s="28"/>
      <c r="N964" s="21"/>
      <c r="O964" s="28"/>
      <c r="P964" s="38"/>
      <c r="Q964" s="21"/>
      <c r="R964" s="21"/>
      <c r="S964" s="47"/>
      <c r="T964" s="25">
        <f t="shared" si="31"/>
        <v>0</v>
      </c>
      <c r="U964" s="25" t="str">
        <f>IF('PART III-DEMOGRAPHICS'!Q974="","",'PART III-DEMOGRAPHICS'!Q974)</f>
        <v/>
      </c>
    </row>
    <row r="965" spans="1:21">
      <c r="A965" s="25" t="str">
        <f>IF('PART III-DEMOGRAPHICS'!A975="","",'PART III-DEMOGRAPHICS'!A975)</f>
        <v/>
      </c>
      <c r="B965" s="28"/>
      <c r="C965" s="27"/>
      <c r="D965" s="28"/>
      <c r="E965" s="21"/>
      <c r="F965" s="36" t="str">
        <f t="shared" si="32"/>
        <v>Did Not</v>
      </c>
      <c r="G965" s="28"/>
      <c r="H965" s="28"/>
      <c r="I965" s="28"/>
      <c r="J965" s="28"/>
      <c r="K965" s="28"/>
      <c r="L965" s="28"/>
      <c r="M965" s="28"/>
      <c r="N965" s="21"/>
      <c r="O965" s="28"/>
      <c r="P965" s="38"/>
      <c r="Q965" s="21"/>
      <c r="R965" s="21"/>
      <c r="S965" s="47"/>
      <c r="T965" s="25">
        <f t="shared" si="31"/>
        <v>0</v>
      </c>
      <c r="U965" s="25" t="str">
        <f>IF('PART III-DEMOGRAPHICS'!Q975="","",'PART III-DEMOGRAPHICS'!Q975)</f>
        <v/>
      </c>
    </row>
    <row r="966" spans="1:21">
      <c r="A966" s="25" t="str">
        <f>IF('PART III-DEMOGRAPHICS'!A976="","",'PART III-DEMOGRAPHICS'!A976)</f>
        <v/>
      </c>
      <c r="B966" s="28"/>
      <c r="C966" s="27"/>
      <c r="D966" s="28"/>
      <c r="E966" s="21"/>
      <c r="F966" s="36" t="str">
        <f t="shared" si="32"/>
        <v>Did Not</v>
      </c>
      <c r="G966" s="28"/>
      <c r="H966" s="28"/>
      <c r="I966" s="28"/>
      <c r="J966" s="28"/>
      <c r="K966" s="28"/>
      <c r="L966" s="28"/>
      <c r="M966" s="28"/>
      <c r="N966" s="21"/>
      <c r="O966" s="28"/>
      <c r="P966" s="38"/>
      <c r="Q966" s="21"/>
      <c r="R966" s="21"/>
      <c r="S966" s="47"/>
      <c r="T966" s="25">
        <f t="shared" si="31"/>
        <v>0</v>
      </c>
      <c r="U966" s="25" t="str">
        <f>IF('PART III-DEMOGRAPHICS'!Q976="","",'PART III-DEMOGRAPHICS'!Q976)</f>
        <v/>
      </c>
    </row>
    <row r="967" spans="1:21">
      <c r="A967" s="25" t="str">
        <f>IF('PART III-DEMOGRAPHICS'!A977="","",'PART III-DEMOGRAPHICS'!A977)</f>
        <v/>
      </c>
      <c r="B967" s="28"/>
      <c r="C967" s="27"/>
      <c r="D967" s="28"/>
      <c r="E967" s="21"/>
      <c r="F967" s="36" t="str">
        <f t="shared" si="32"/>
        <v>Did Not</v>
      </c>
      <c r="G967" s="28"/>
      <c r="H967" s="28"/>
      <c r="I967" s="28"/>
      <c r="J967" s="28"/>
      <c r="K967" s="28"/>
      <c r="L967" s="28"/>
      <c r="M967" s="28"/>
      <c r="N967" s="21"/>
      <c r="O967" s="28"/>
      <c r="P967" s="38"/>
      <c r="Q967" s="21"/>
      <c r="R967" s="21"/>
      <c r="S967" s="47"/>
      <c r="T967" s="25">
        <f t="shared" ref="T967:T1030" si="33">COUNTIF(A967:R967,"Yes")</f>
        <v>0</v>
      </c>
      <c r="U967" s="25" t="str">
        <f>IF('PART III-DEMOGRAPHICS'!Q977="","",'PART III-DEMOGRAPHICS'!Q977)</f>
        <v/>
      </c>
    </row>
    <row r="968" spans="1:21">
      <c r="A968" s="25" t="str">
        <f>IF('PART III-DEMOGRAPHICS'!A978="","",'PART III-DEMOGRAPHICS'!A978)</f>
        <v/>
      </c>
      <c r="B968" s="28"/>
      <c r="C968" s="27"/>
      <c r="D968" s="28"/>
      <c r="E968" s="21"/>
      <c r="F968" s="36" t="str">
        <f t="shared" si="32"/>
        <v>Did Not</v>
      </c>
      <c r="G968" s="28"/>
      <c r="H968" s="28"/>
      <c r="I968" s="28"/>
      <c r="J968" s="28"/>
      <c r="K968" s="28"/>
      <c r="L968" s="28"/>
      <c r="M968" s="28"/>
      <c r="N968" s="21"/>
      <c r="O968" s="28"/>
      <c r="P968" s="38"/>
      <c r="Q968" s="21"/>
      <c r="R968" s="21"/>
      <c r="S968" s="47"/>
      <c r="T968" s="25">
        <f t="shared" si="33"/>
        <v>0</v>
      </c>
      <c r="U968" s="25" t="str">
        <f>IF('PART III-DEMOGRAPHICS'!Q978="","",'PART III-DEMOGRAPHICS'!Q978)</f>
        <v/>
      </c>
    </row>
    <row r="969" spans="1:21">
      <c r="A969" s="25" t="str">
        <f>IF('PART III-DEMOGRAPHICS'!A979="","",'PART III-DEMOGRAPHICS'!A979)</f>
        <v/>
      </c>
      <c r="B969" s="28"/>
      <c r="C969" s="27"/>
      <c r="D969" s="28"/>
      <c r="E969" s="21"/>
      <c r="F969" s="36" t="str">
        <f t="shared" si="32"/>
        <v>Did Not</v>
      </c>
      <c r="G969" s="28"/>
      <c r="H969" s="28"/>
      <c r="I969" s="28"/>
      <c r="J969" s="28"/>
      <c r="K969" s="28"/>
      <c r="L969" s="28"/>
      <c r="M969" s="28"/>
      <c r="N969" s="21"/>
      <c r="O969" s="28"/>
      <c r="P969" s="38"/>
      <c r="Q969" s="21"/>
      <c r="R969" s="21"/>
      <c r="S969" s="47"/>
      <c r="T969" s="25">
        <f t="shared" si="33"/>
        <v>0</v>
      </c>
      <c r="U969" s="25" t="str">
        <f>IF('PART III-DEMOGRAPHICS'!Q979="","",'PART III-DEMOGRAPHICS'!Q979)</f>
        <v/>
      </c>
    </row>
    <row r="970" spans="1:21">
      <c r="A970" s="25" t="str">
        <f>IF('PART III-DEMOGRAPHICS'!A980="","",'PART III-DEMOGRAPHICS'!A980)</f>
        <v/>
      </c>
      <c r="B970" s="28"/>
      <c r="C970" s="27"/>
      <c r="D970" s="28"/>
      <c r="E970" s="21"/>
      <c r="F970" s="36" t="str">
        <f t="shared" si="32"/>
        <v>Did Not</v>
      </c>
      <c r="G970" s="28"/>
      <c r="H970" s="28"/>
      <c r="I970" s="28"/>
      <c r="J970" s="28"/>
      <c r="K970" s="28"/>
      <c r="L970" s="28"/>
      <c r="M970" s="28"/>
      <c r="N970" s="21"/>
      <c r="O970" s="28"/>
      <c r="P970" s="38"/>
      <c r="Q970" s="21"/>
      <c r="R970" s="21"/>
      <c r="S970" s="47"/>
      <c r="T970" s="25">
        <f t="shared" si="33"/>
        <v>0</v>
      </c>
      <c r="U970" s="25" t="str">
        <f>IF('PART III-DEMOGRAPHICS'!Q980="","",'PART III-DEMOGRAPHICS'!Q980)</f>
        <v/>
      </c>
    </row>
    <row r="971" spans="1:21">
      <c r="A971" s="25" t="str">
        <f>IF('PART III-DEMOGRAPHICS'!A981="","",'PART III-DEMOGRAPHICS'!A981)</f>
        <v/>
      </c>
      <c r="B971" s="28"/>
      <c r="C971" s="27"/>
      <c r="D971" s="28"/>
      <c r="E971" s="21"/>
      <c r="F971" s="36" t="str">
        <f t="shared" si="32"/>
        <v>Did Not</v>
      </c>
      <c r="G971" s="28"/>
      <c r="H971" s="28"/>
      <c r="I971" s="28"/>
      <c r="J971" s="28"/>
      <c r="K971" s="28"/>
      <c r="L971" s="28"/>
      <c r="M971" s="28"/>
      <c r="N971" s="21"/>
      <c r="O971" s="28"/>
      <c r="P971" s="38"/>
      <c r="Q971" s="21"/>
      <c r="R971" s="21"/>
      <c r="S971" s="47"/>
      <c r="T971" s="25">
        <f t="shared" si="33"/>
        <v>0</v>
      </c>
      <c r="U971" s="25" t="str">
        <f>IF('PART III-DEMOGRAPHICS'!Q981="","",'PART III-DEMOGRAPHICS'!Q981)</f>
        <v/>
      </c>
    </row>
    <row r="972" spans="1:21">
      <c r="A972" s="25" t="str">
        <f>IF('PART III-DEMOGRAPHICS'!A982="","",'PART III-DEMOGRAPHICS'!A982)</f>
        <v/>
      </c>
      <c r="B972" s="28"/>
      <c r="C972" s="27"/>
      <c r="D972" s="28"/>
      <c r="E972" s="21"/>
      <c r="F972" s="36" t="str">
        <f t="shared" si="32"/>
        <v>Did Not</v>
      </c>
      <c r="G972" s="28"/>
      <c r="H972" s="28"/>
      <c r="I972" s="28"/>
      <c r="J972" s="28"/>
      <c r="K972" s="28"/>
      <c r="L972" s="28"/>
      <c r="M972" s="28"/>
      <c r="N972" s="21"/>
      <c r="O972" s="28"/>
      <c r="P972" s="38"/>
      <c r="Q972" s="21"/>
      <c r="R972" s="21"/>
      <c r="S972" s="47"/>
      <c r="T972" s="25">
        <f t="shared" si="33"/>
        <v>0</v>
      </c>
      <c r="U972" s="25" t="str">
        <f>IF('PART III-DEMOGRAPHICS'!Q982="","",'PART III-DEMOGRAPHICS'!Q982)</f>
        <v/>
      </c>
    </row>
    <row r="973" spans="1:21">
      <c r="A973" s="25" t="str">
        <f>IF('PART III-DEMOGRAPHICS'!A983="","",'PART III-DEMOGRAPHICS'!A983)</f>
        <v/>
      </c>
      <c r="B973" s="28"/>
      <c r="C973" s="27"/>
      <c r="D973" s="28"/>
      <c r="E973" s="21"/>
      <c r="F973" s="36" t="str">
        <f t="shared" si="32"/>
        <v>Did Not</v>
      </c>
      <c r="G973" s="28"/>
      <c r="H973" s="28"/>
      <c r="I973" s="28"/>
      <c r="J973" s="28"/>
      <c r="K973" s="28"/>
      <c r="L973" s="28"/>
      <c r="M973" s="28"/>
      <c r="N973" s="21"/>
      <c r="O973" s="28"/>
      <c r="P973" s="38"/>
      <c r="Q973" s="21"/>
      <c r="R973" s="21"/>
      <c r="S973" s="47"/>
      <c r="T973" s="25">
        <f t="shared" si="33"/>
        <v>0</v>
      </c>
      <c r="U973" s="25" t="str">
        <f>IF('PART III-DEMOGRAPHICS'!Q983="","",'PART III-DEMOGRAPHICS'!Q983)</f>
        <v/>
      </c>
    </row>
    <row r="974" spans="1:21">
      <c r="A974" s="25" t="str">
        <f>IF('PART III-DEMOGRAPHICS'!A984="","",'PART III-DEMOGRAPHICS'!A984)</f>
        <v/>
      </c>
      <c r="B974" s="28"/>
      <c r="C974" s="27"/>
      <c r="D974" s="28"/>
      <c r="E974" s="21"/>
      <c r="F974" s="36" t="str">
        <f t="shared" ref="F974:F1037" si="34">IF(OR(G974="Yes",H974="Yes",I974="Yes",J974="Yes",K974="Yes",L974="Yes",M974="Yes"),"Did","Did Not")</f>
        <v>Did Not</v>
      </c>
      <c r="G974" s="28"/>
      <c r="H974" s="28"/>
      <c r="I974" s="28"/>
      <c r="J974" s="28"/>
      <c r="K974" s="28"/>
      <c r="L974" s="28"/>
      <c r="M974" s="28"/>
      <c r="N974" s="21"/>
      <c r="O974" s="28"/>
      <c r="P974" s="38"/>
      <c r="Q974" s="21"/>
      <c r="R974" s="21"/>
      <c r="S974" s="47"/>
      <c r="T974" s="25">
        <f t="shared" si="33"/>
        <v>0</v>
      </c>
      <c r="U974" s="25" t="str">
        <f>IF('PART III-DEMOGRAPHICS'!Q984="","",'PART III-DEMOGRAPHICS'!Q984)</f>
        <v/>
      </c>
    </row>
    <row r="975" spans="1:21">
      <c r="A975" s="25" t="str">
        <f>IF('PART III-DEMOGRAPHICS'!A985="","",'PART III-DEMOGRAPHICS'!A985)</f>
        <v/>
      </c>
      <c r="B975" s="28"/>
      <c r="C975" s="27"/>
      <c r="D975" s="28"/>
      <c r="E975" s="21"/>
      <c r="F975" s="36" t="str">
        <f t="shared" si="34"/>
        <v>Did Not</v>
      </c>
      <c r="G975" s="28"/>
      <c r="H975" s="28"/>
      <c r="I975" s="28"/>
      <c r="J975" s="28"/>
      <c r="K975" s="28"/>
      <c r="L975" s="28"/>
      <c r="M975" s="28"/>
      <c r="N975" s="21"/>
      <c r="O975" s="28"/>
      <c r="P975" s="38"/>
      <c r="Q975" s="21"/>
      <c r="R975" s="21"/>
      <c r="S975" s="47"/>
      <c r="T975" s="25">
        <f t="shared" si="33"/>
        <v>0</v>
      </c>
      <c r="U975" s="25" t="str">
        <f>IF('PART III-DEMOGRAPHICS'!Q985="","",'PART III-DEMOGRAPHICS'!Q985)</f>
        <v/>
      </c>
    </row>
    <row r="976" spans="1:21">
      <c r="A976" s="25" t="str">
        <f>IF('PART III-DEMOGRAPHICS'!A986="","",'PART III-DEMOGRAPHICS'!A986)</f>
        <v/>
      </c>
      <c r="B976" s="28"/>
      <c r="C976" s="27"/>
      <c r="D976" s="28"/>
      <c r="E976" s="21"/>
      <c r="F976" s="36" t="str">
        <f t="shared" si="34"/>
        <v>Did Not</v>
      </c>
      <c r="G976" s="28"/>
      <c r="H976" s="28"/>
      <c r="I976" s="28"/>
      <c r="J976" s="28"/>
      <c r="K976" s="28"/>
      <c r="L976" s="28"/>
      <c r="M976" s="28"/>
      <c r="N976" s="21"/>
      <c r="O976" s="28"/>
      <c r="P976" s="38"/>
      <c r="Q976" s="21"/>
      <c r="R976" s="21"/>
      <c r="S976" s="47"/>
      <c r="T976" s="25">
        <f t="shared" si="33"/>
        <v>0</v>
      </c>
      <c r="U976" s="25" t="str">
        <f>IF('PART III-DEMOGRAPHICS'!Q986="","",'PART III-DEMOGRAPHICS'!Q986)</f>
        <v/>
      </c>
    </row>
    <row r="977" spans="1:21">
      <c r="A977" s="25" t="str">
        <f>IF('PART III-DEMOGRAPHICS'!A987="","",'PART III-DEMOGRAPHICS'!A987)</f>
        <v/>
      </c>
      <c r="B977" s="28"/>
      <c r="C977" s="27"/>
      <c r="D977" s="28"/>
      <c r="E977" s="21"/>
      <c r="F977" s="36" t="str">
        <f t="shared" si="34"/>
        <v>Did Not</v>
      </c>
      <c r="G977" s="28"/>
      <c r="H977" s="28"/>
      <c r="I977" s="28"/>
      <c r="J977" s="28"/>
      <c r="K977" s="28"/>
      <c r="L977" s="28"/>
      <c r="M977" s="28"/>
      <c r="N977" s="21"/>
      <c r="O977" s="28"/>
      <c r="P977" s="38"/>
      <c r="Q977" s="21"/>
      <c r="R977" s="21"/>
      <c r="S977" s="47"/>
      <c r="T977" s="25">
        <f t="shared" si="33"/>
        <v>0</v>
      </c>
      <c r="U977" s="25" t="str">
        <f>IF('PART III-DEMOGRAPHICS'!Q987="","",'PART III-DEMOGRAPHICS'!Q987)</f>
        <v/>
      </c>
    </row>
    <row r="978" spans="1:21">
      <c r="A978" s="25" t="str">
        <f>IF('PART III-DEMOGRAPHICS'!A988="","",'PART III-DEMOGRAPHICS'!A988)</f>
        <v/>
      </c>
      <c r="B978" s="28"/>
      <c r="C978" s="27"/>
      <c r="D978" s="28"/>
      <c r="E978" s="21"/>
      <c r="F978" s="36" t="str">
        <f t="shared" si="34"/>
        <v>Did Not</v>
      </c>
      <c r="G978" s="28"/>
      <c r="H978" s="28"/>
      <c r="I978" s="28"/>
      <c r="J978" s="28"/>
      <c r="K978" s="28"/>
      <c r="L978" s="28"/>
      <c r="M978" s="28"/>
      <c r="N978" s="21"/>
      <c r="O978" s="28"/>
      <c r="P978" s="38"/>
      <c r="Q978" s="21"/>
      <c r="R978" s="21"/>
      <c r="S978" s="47"/>
      <c r="T978" s="25">
        <f t="shared" si="33"/>
        <v>0</v>
      </c>
      <c r="U978" s="25" t="str">
        <f>IF('PART III-DEMOGRAPHICS'!Q988="","",'PART III-DEMOGRAPHICS'!Q988)</f>
        <v/>
      </c>
    </row>
    <row r="979" spans="1:21">
      <c r="A979" s="25" t="str">
        <f>IF('PART III-DEMOGRAPHICS'!A989="","",'PART III-DEMOGRAPHICS'!A989)</f>
        <v/>
      </c>
      <c r="B979" s="28"/>
      <c r="C979" s="27"/>
      <c r="D979" s="28"/>
      <c r="E979" s="21"/>
      <c r="F979" s="36" t="str">
        <f t="shared" si="34"/>
        <v>Did Not</v>
      </c>
      <c r="G979" s="28"/>
      <c r="H979" s="28"/>
      <c r="I979" s="28"/>
      <c r="J979" s="28"/>
      <c r="K979" s="28"/>
      <c r="L979" s="28"/>
      <c r="M979" s="28"/>
      <c r="N979" s="21"/>
      <c r="O979" s="28"/>
      <c r="P979" s="38"/>
      <c r="Q979" s="21"/>
      <c r="R979" s="21"/>
      <c r="S979" s="47"/>
      <c r="T979" s="25">
        <f t="shared" si="33"/>
        <v>0</v>
      </c>
      <c r="U979" s="25" t="str">
        <f>IF('PART III-DEMOGRAPHICS'!Q989="","",'PART III-DEMOGRAPHICS'!Q989)</f>
        <v/>
      </c>
    </row>
    <row r="980" spans="1:21">
      <c r="A980" s="25" t="str">
        <f>IF('PART III-DEMOGRAPHICS'!A990="","",'PART III-DEMOGRAPHICS'!A990)</f>
        <v/>
      </c>
      <c r="B980" s="28"/>
      <c r="C980" s="27"/>
      <c r="D980" s="28"/>
      <c r="E980" s="21"/>
      <c r="F980" s="36" t="str">
        <f t="shared" si="34"/>
        <v>Did Not</v>
      </c>
      <c r="G980" s="28"/>
      <c r="H980" s="28"/>
      <c r="I980" s="28"/>
      <c r="J980" s="28"/>
      <c r="K980" s="28"/>
      <c r="L980" s="28"/>
      <c r="M980" s="28"/>
      <c r="N980" s="21"/>
      <c r="O980" s="28"/>
      <c r="P980" s="38"/>
      <c r="Q980" s="21"/>
      <c r="R980" s="21"/>
      <c r="S980" s="47"/>
      <c r="T980" s="25">
        <f t="shared" si="33"/>
        <v>0</v>
      </c>
      <c r="U980" s="25" t="str">
        <f>IF('PART III-DEMOGRAPHICS'!Q990="","",'PART III-DEMOGRAPHICS'!Q990)</f>
        <v/>
      </c>
    </row>
    <row r="981" spans="1:21">
      <c r="A981" s="25" t="str">
        <f>IF('PART III-DEMOGRAPHICS'!A991="","",'PART III-DEMOGRAPHICS'!A991)</f>
        <v/>
      </c>
      <c r="B981" s="28"/>
      <c r="C981" s="27"/>
      <c r="D981" s="28"/>
      <c r="E981" s="21"/>
      <c r="F981" s="36" t="str">
        <f t="shared" si="34"/>
        <v>Did Not</v>
      </c>
      <c r="G981" s="28"/>
      <c r="H981" s="28"/>
      <c r="I981" s="28"/>
      <c r="J981" s="28"/>
      <c r="K981" s="28"/>
      <c r="L981" s="28"/>
      <c r="M981" s="28"/>
      <c r="N981" s="21"/>
      <c r="O981" s="28"/>
      <c r="P981" s="38"/>
      <c r="Q981" s="21"/>
      <c r="R981" s="21"/>
      <c r="S981" s="47"/>
      <c r="T981" s="25">
        <f t="shared" si="33"/>
        <v>0</v>
      </c>
      <c r="U981" s="25" t="str">
        <f>IF('PART III-DEMOGRAPHICS'!Q991="","",'PART III-DEMOGRAPHICS'!Q991)</f>
        <v/>
      </c>
    </row>
    <row r="982" spans="1:21">
      <c r="A982" s="25" t="str">
        <f>IF('PART III-DEMOGRAPHICS'!A992="","",'PART III-DEMOGRAPHICS'!A992)</f>
        <v/>
      </c>
      <c r="B982" s="28"/>
      <c r="C982" s="27"/>
      <c r="D982" s="28"/>
      <c r="E982" s="21"/>
      <c r="F982" s="36" t="str">
        <f t="shared" si="34"/>
        <v>Did Not</v>
      </c>
      <c r="G982" s="28"/>
      <c r="H982" s="28"/>
      <c r="I982" s="28"/>
      <c r="J982" s="28"/>
      <c r="K982" s="28"/>
      <c r="L982" s="28"/>
      <c r="M982" s="28"/>
      <c r="N982" s="21"/>
      <c r="O982" s="28"/>
      <c r="P982" s="38"/>
      <c r="Q982" s="21"/>
      <c r="R982" s="21"/>
      <c r="S982" s="47"/>
      <c r="T982" s="25">
        <f t="shared" si="33"/>
        <v>0</v>
      </c>
      <c r="U982" s="25" t="str">
        <f>IF('PART III-DEMOGRAPHICS'!Q992="","",'PART III-DEMOGRAPHICS'!Q992)</f>
        <v/>
      </c>
    </row>
    <row r="983" spans="1:21">
      <c r="A983" s="25" t="str">
        <f>IF('PART III-DEMOGRAPHICS'!A993="","",'PART III-DEMOGRAPHICS'!A993)</f>
        <v/>
      </c>
      <c r="B983" s="28"/>
      <c r="C983" s="27"/>
      <c r="D983" s="28"/>
      <c r="E983" s="21"/>
      <c r="F983" s="36" t="str">
        <f t="shared" si="34"/>
        <v>Did Not</v>
      </c>
      <c r="G983" s="28"/>
      <c r="H983" s="28"/>
      <c r="I983" s="28"/>
      <c r="J983" s="28"/>
      <c r="K983" s="28"/>
      <c r="L983" s="28"/>
      <c r="M983" s="28"/>
      <c r="N983" s="21"/>
      <c r="O983" s="28"/>
      <c r="P983" s="38"/>
      <c r="Q983" s="21"/>
      <c r="R983" s="21"/>
      <c r="S983" s="47"/>
      <c r="T983" s="25">
        <f t="shared" si="33"/>
        <v>0</v>
      </c>
      <c r="U983" s="25" t="str">
        <f>IF('PART III-DEMOGRAPHICS'!Q993="","",'PART III-DEMOGRAPHICS'!Q993)</f>
        <v/>
      </c>
    </row>
    <row r="984" spans="1:21">
      <c r="A984" s="25" t="str">
        <f>IF('PART III-DEMOGRAPHICS'!A994="","",'PART III-DEMOGRAPHICS'!A994)</f>
        <v/>
      </c>
      <c r="B984" s="28"/>
      <c r="C984" s="27"/>
      <c r="D984" s="28"/>
      <c r="E984" s="21"/>
      <c r="F984" s="36" t="str">
        <f t="shared" si="34"/>
        <v>Did Not</v>
      </c>
      <c r="G984" s="28"/>
      <c r="H984" s="28"/>
      <c r="I984" s="28"/>
      <c r="J984" s="28"/>
      <c r="K984" s="28"/>
      <c r="L984" s="28"/>
      <c r="M984" s="28"/>
      <c r="N984" s="21"/>
      <c r="O984" s="28"/>
      <c r="P984" s="38"/>
      <c r="Q984" s="21"/>
      <c r="R984" s="21"/>
      <c r="S984" s="47"/>
      <c r="T984" s="25">
        <f t="shared" si="33"/>
        <v>0</v>
      </c>
      <c r="U984" s="25" t="str">
        <f>IF('PART III-DEMOGRAPHICS'!Q994="","",'PART III-DEMOGRAPHICS'!Q994)</f>
        <v/>
      </c>
    </row>
    <row r="985" spans="1:21">
      <c r="A985" s="25" t="str">
        <f>IF('PART III-DEMOGRAPHICS'!A995="","",'PART III-DEMOGRAPHICS'!A995)</f>
        <v/>
      </c>
      <c r="B985" s="28"/>
      <c r="C985" s="27"/>
      <c r="D985" s="28"/>
      <c r="E985" s="21"/>
      <c r="F985" s="36" t="str">
        <f t="shared" si="34"/>
        <v>Did Not</v>
      </c>
      <c r="G985" s="28"/>
      <c r="H985" s="28"/>
      <c r="I985" s="28"/>
      <c r="J985" s="28"/>
      <c r="K985" s="28"/>
      <c r="L985" s="28"/>
      <c r="M985" s="28"/>
      <c r="N985" s="21"/>
      <c r="O985" s="28"/>
      <c r="P985" s="38"/>
      <c r="Q985" s="21"/>
      <c r="R985" s="21"/>
      <c r="S985" s="47"/>
      <c r="T985" s="25">
        <f t="shared" si="33"/>
        <v>0</v>
      </c>
      <c r="U985" s="25" t="str">
        <f>IF('PART III-DEMOGRAPHICS'!Q995="","",'PART III-DEMOGRAPHICS'!Q995)</f>
        <v/>
      </c>
    </row>
    <row r="986" spans="1:21">
      <c r="A986" s="25" t="str">
        <f>IF('PART III-DEMOGRAPHICS'!A996="","",'PART III-DEMOGRAPHICS'!A996)</f>
        <v/>
      </c>
      <c r="B986" s="28"/>
      <c r="C986" s="27"/>
      <c r="D986" s="28"/>
      <c r="E986" s="21"/>
      <c r="F986" s="36" t="str">
        <f t="shared" si="34"/>
        <v>Did Not</v>
      </c>
      <c r="G986" s="28"/>
      <c r="H986" s="28"/>
      <c r="I986" s="28"/>
      <c r="J986" s="28"/>
      <c r="K986" s="28"/>
      <c r="L986" s="28"/>
      <c r="M986" s="28"/>
      <c r="N986" s="21"/>
      <c r="O986" s="28"/>
      <c r="P986" s="38"/>
      <c r="Q986" s="21"/>
      <c r="R986" s="21"/>
      <c r="S986" s="47"/>
      <c r="T986" s="25">
        <f t="shared" si="33"/>
        <v>0</v>
      </c>
      <c r="U986" s="25" t="str">
        <f>IF('PART III-DEMOGRAPHICS'!Q996="","",'PART III-DEMOGRAPHICS'!Q996)</f>
        <v/>
      </c>
    </row>
    <row r="987" spans="1:21">
      <c r="A987" s="25" t="str">
        <f>IF('PART III-DEMOGRAPHICS'!A997="","",'PART III-DEMOGRAPHICS'!A997)</f>
        <v/>
      </c>
      <c r="B987" s="28"/>
      <c r="C987" s="27"/>
      <c r="D987" s="28"/>
      <c r="E987" s="21"/>
      <c r="F987" s="36" t="str">
        <f t="shared" si="34"/>
        <v>Did Not</v>
      </c>
      <c r="G987" s="28"/>
      <c r="H987" s="28"/>
      <c r="I987" s="28"/>
      <c r="J987" s="28"/>
      <c r="K987" s="28"/>
      <c r="L987" s="28"/>
      <c r="M987" s="28"/>
      <c r="N987" s="21"/>
      <c r="O987" s="28"/>
      <c r="P987" s="38"/>
      <c r="Q987" s="21"/>
      <c r="R987" s="21"/>
      <c r="S987" s="47"/>
      <c r="T987" s="25">
        <f t="shared" si="33"/>
        <v>0</v>
      </c>
      <c r="U987" s="25" t="str">
        <f>IF('PART III-DEMOGRAPHICS'!Q997="","",'PART III-DEMOGRAPHICS'!Q997)</f>
        <v/>
      </c>
    </row>
    <row r="988" spans="1:21">
      <c r="A988" s="25" t="str">
        <f>IF('PART III-DEMOGRAPHICS'!A998="","",'PART III-DEMOGRAPHICS'!A998)</f>
        <v/>
      </c>
      <c r="B988" s="28"/>
      <c r="C988" s="27"/>
      <c r="D988" s="28"/>
      <c r="E988" s="21"/>
      <c r="F988" s="36" t="str">
        <f t="shared" si="34"/>
        <v>Did Not</v>
      </c>
      <c r="G988" s="28"/>
      <c r="H988" s="28"/>
      <c r="I988" s="28"/>
      <c r="J988" s="28"/>
      <c r="K988" s="28"/>
      <c r="L988" s="28"/>
      <c r="M988" s="28"/>
      <c r="N988" s="21"/>
      <c r="O988" s="28"/>
      <c r="P988" s="38"/>
      <c r="Q988" s="21"/>
      <c r="R988" s="21"/>
      <c r="S988" s="47"/>
      <c r="T988" s="25">
        <f t="shared" si="33"/>
        <v>0</v>
      </c>
      <c r="U988" s="25" t="str">
        <f>IF('PART III-DEMOGRAPHICS'!Q998="","",'PART III-DEMOGRAPHICS'!Q998)</f>
        <v/>
      </c>
    </row>
    <row r="989" spans="1:21">
      <c r="A989" s="25" t="str">
        <f>IF('PART III-DEMOGRAPHICS'!A999="","",'PART III-DEMOGRAPHICS'!A999)</f>
        <v/>
      </c>
      <c r="B989" s="28"/>
      <c r="C989" s="27"/>
      <c r="D989" s="28"/>
      <c r="E989" s="21"/>
      <c r="F989" s="36" t="str">
        <f t="shared" si="34"/>
        <v>Did Not</v>
      </c>
      <c r="G989" s="28"/>
      <c r="H989" s="28"/>
      <c r="I989" s="28"/>
      <c r="J989" s="28"/>
      <c r="K989" s="28"/>
      <c r="L989" s="28"/>
      <c r="M989" s="28"/>
      <c r="N989" s="21"/>
      <c r="O989" s="28"/>
      <c r="P989" s="38"/>
      <c r="Q989" s="21"/>
      <c r="R989" s="21"/>
      <c r="S989" s="47"/>
      <c r="T989" s="25">
        <f t="shared" si="33"/>
        <v>0</v>
      </c>
      <c r="U989" s="25" t="str">
        <f>IF('PART III-DEMOGRAPHICS'!Q999="","",'PART III-DEMOGRAPHICS'!Q999)</f>
        <v/>
      </c>
    </row>
    <row r="990" spans="1:21">
      <c r="A990" s="25" t="str">
        <f>IF('PART III-DEMOGRAPHICS'!A1000="","",'PART III-DEMOGRAPHICS'!A1000)</f>
        <v/>
      </c>
      <c r="B990" s="28"/>
      <c r="C990" s="27"/>
      <c r="D990" s="28"/>
      <c r="E990" s="21"/>
      <c r="F990" s="36" t="str">
        <f t="shared" si="34"/>
        <v>Did Not</v>
      </c>
      <c r="G990" s="28"/>
      <c r="H990" s="28"/>
      <c r="I990" s="28"/>
      <c r="J990" s="28"/>
      <c r="K990" s="28"/>
      <c r="L990" s="28"/>
      <c r="M990" s="28"/>
      <c r="N990" s="21"/>
      <c r="O990" s="28"/>
      <c r="P990" s="38"/>
      <c r="Q990" s="21"/>
      <c r="R990" s="21"/>
      <c r="S990" s="47"/>
      <c r="T990" s="25">
        <f t="shared" si="33"/>
        <v>0</v>
      </c>
      <c r="U990" s="25" t="str">
        <f>IF('PART III-DEMOGRAPHICS'!Q1000="","",'PART III-DEMOGRAPHICS'!Q1000)</f>
        <v/>
      </c>
    </row>
    <row r="991" spans="1:21">
      <c r="A991" s="25" t="str">
        <f>IF('PART III-DEMOGRAPHICS'!A1001="","",'PART III-DEMOGRAPHICS'!A1001)</f>
        <v/>
      </c>
      <c r="B991" s="28"/>
      <c r="C991" s="27"/>
      <c r="D991" s="28"/>
      <c r="E991" s="21"/>
      <c r="F991" s="36" t="str">
        <f t="shared" si="34"/>
        <v>Did Not</v>
      </c>
      <c r="G991" s="28"/>
      <c r="H991" s="28"/>
      <c r="I991" s="28"/>
      <c r="J991" s="28"/>
      <c r="K991" s="28"/>
      <c r="L991" s="28"/>
      <c r="M991" s="28"/>
      <c r="N991" s="21"/>
      <c r="O991" s="28"/>
      <c r="P991" s="38"/>
      <c r="Q991" s="21"/>
      <c r="R991" s="21"/>
      <c r="S991" s="47"/>
      <c r="T991" s="25">
        <f t="shared" si="33"/>
        <v>0</v>
      </c>
      <c r="U991" s="25" t="str">
        <f>IF('PART III-DEMOGRAPHICS'!Q1001="","",'PART III-DEMOGRAPHICS'!Q1001)</f>
        <v/>
      </c>
    </row>
    <row r="992" spans="1:21">
      <c r="A992" s="25" t="str">
        <f>IF('PART III-DEMOGRAPHICS'!A1002="","",'PART III-DEMOGRAPHICS'!A1002)</f>
        <v/>
      </c>
      <c r="B992" s="28"/>
      <c r="C992" s="27"/>
      <c r="D992" s="28"/>
      <c r="E992" s="21"/>
      <c r="F992" s="36" t="str">
        <f t="shared" si="34"/>
        <v>Did Not</v>
      </c>
      <c r="G992" s="28"/>
      <c r="H992" s="28"/>
      <c r="I992" s="28"/>
      <c r="J992" s="28"/>
      <c r="K992" s="28"/>
      <c r="L992" s="28"/>
      <c r="M992" s="28"/>
      <c r="N992" s="21"/>
      <c r="O992" s="28"/>
      <c r="P992" s="38"/>
      <c r="Q992" s="21"/>
      <c r="R992" s="21"/>
      <c r="S992" s="47"/>
      <c r="T992" s="25">
        <f t="shared" si="33"/>
        <v>0</v>
      </c>
      <c r="U992" s="25" t="str">
        <f>IF('PART III-DEMOGRAPHICS'!Q1002="","",'PART III-DEMOGRAPHICS'!Q1002)</f>
        <v/>
      </c>
    </row>
    <row r="993" spans="1:21">
      <c r="A993" s="25" t="str">
        <f>IF('PART III-DEMOGRAPHICS'!A1003="","",'PART III-DEMOGRAPHICS'!A1003)</f>
        <v/>
      </c>
      <c r="B993" s="28"/>
      <c r="C993" s="27"/>
      <c r="D993" s="28"/>
      <c r="E993" s="21"/>
      <c r="F993" s="36" t="str">
        <f t="shared" si="34"/>
        <v>Did Not</v>
      </c>
      <c r="G993" s="28"/>
      <c r="H993" s="28"/>
      <c r="I993" s="28"/>
      <c r="J993" s="28"/>
      <c r="K993" s="28"/>
      <c r="L993" s="28"/>
      <c r="M993" s="28"/>
      <c r="N993" s="21"/>
      <c r="O993" s="28"/>
      <c r="P993" s="38"/>
      <c r="Q993" s="21"/>
      <c r="R993" s="21"/>
      <c r="S993" s="47"/>
      <c r="T993" s="25">
        <f t="shared" si="33"/>
        <v>0</v>
      </c>
      <c r="U993" s="25" t="str">
        <f>IF('PART III-DEMOGRAPHICS'!Q1003="","",'PART III-DEMOGRAPHICS'!Q1003)</f>
        <v/>
      </c>
    </row>
    <row r="994" spans="1:21">
      <c r="A994" s="25" t="str">
        <f>IF('PART III-DEMOGRAPHICS'!A1004="","",'PART III-DEMOGRAPHICS'!A1004)</f>
        <v/>
      </c>
      <c r="B994" s="28"/>
      <c r="C994" s="27"/>
      <c r="D994" s="28"/>
      <c r="E994" s="21"/>
      <c r="F994" s="36" t="str">
        <f t="shared" si="34"/>
        <v>Did Not</v>
      </c>
      <c r="G994" s="28"/>
      <c r="H994" s="28"/>
      <c r="I994" s="28"/>
      <c r="J994" s="28"/>
      <c r="K994" s="28"/>
      <c r="L994" s="28"/>
      <c r="M994" s="28"/>
      <c r="N994" s="21"/>
      <c r="O994" s="28"/>
      <c r="P994" s="38"/>
      <c r="Q994" s="21"/>
      <c r="R994" s="21"/>
      <c r="S994" s="47"/>
      <c r="T994" s="25">
        <f t="shared" si="33"/>
        <v>0</v>
      </c>
      <c r="U994" s="25" t="str">
        <f>IF('PART III-DEMOGRAPHICS'!Q1004="","",'PART III-DEMOGRAPHICS'!Q1004)</f>
        <v/>
      </c>
    </row>
    <row r="995" spans="1:21">
      <c r="A995" s="25" t="str">
        <f>IF('PART III-DEMOGRAPHICS'!A1005="","",'PART III-DEMOGRAPHICS'!A1005)</f>
        <v/>
      </c>
      <c r="B995" s="28"/>
      <c r="C995" s="27"/>
      <c r="D995" s="28"/>
      <c r="E995" s="21"/>
      <c r="F995" s="36" t="str">
        <f t="shared" si="34"/>
        <v>Did Not</v>
      </c>
      <c r="G995" s="28"/>
      <c r="H995" s="28"/>
      <c r="I995" s="28"/>
      <c r="J995" s="28"/>
      <c r="K995" s="28"/>
      <c r="L995" s="28"/>
      <c r="M995" s="28"/>
      <c r="N995" s="21"/>
      <c r="O995" s="28"/>
      <c r="P995" s="38"/>
      <c r="Q995" s="21"/>
      <c r="R995" s="21"/>
      <c r="S995" s="47"/>
      <c r="T995" s="25">
        <f t="shared" si="33"/>
        <v>0</v>
      </c>
      <c r="U995" s="25" t="str">
        <f>IF('PART III-DEMOGRAPHICS'!Q1005="","",'PART III-DEMOGRAPHICS'!Q1005)</f>
        <v/>
      </c>
    </row>
    <row r="996" spans="1:21">
      <c r="A996" s="25" t="str">
        <f>IF('PART III-DEMOGRAPHICS'!A1006="","",'PART III-DEMOGRAPHICS'!A1006)</f>
        <v/>
      </c>
      <c r="B996" s="28"/>
      <c r="C996" s="27"/>
      <c r="D996" s="28"/>
      <c r="E996" s="21"/>
      <c r="F996" s="36" t="str">
        <f t="shared" si="34"/>
        <v>Did Not</v>
      </c>
      <c r="G996" s="28"/>
      <c r="H996" s="28"/>
      <c r="I996" s="28"/>
      <c r="J996" s="28"/>
      <c r="K996" s="28"/>
      <c r="L996" s="28"/>
      <c r="M996" s="28"/>
      <c r="N996" s="21"/>
      <c r="O996" s="28"/>
      <c r="P996" s="38"/>
      <c r="Q996" s="21"/>
      <c r="R996" s="21"/>
      <c r="S996" s="47"/>
      <c r="T996" s="25">
        <f t="shared" si="33"/>
        <v>0</v>
      </c>
      <c r="U996" s="25" t="str">
        <f>IF('PART III-DEMOGRAPHICS'!Q1006="","",'PART III-DEMOGRAPHICS'!Q1006)</f>
        <v/>
      </c>
    </row>
    <row r="997" spans="1:21">
      <c r="A997" s="25" t="str">
        <f>IF('PART III-DEMOGRAPHICS'!A1007="","",'PART III-DEMOGRAPHICS'!A1007)</f>
        <v/>
      </c>
      <c r="B997" s="28"/>
      <c r="C997" s="27"/>
      <c r="D997" s="28"/>
      <c r="E997" s="21"/>
      <c r="F997" s="36" t="str">
        <f t="shared" si="34"/>
        <v>Did Not</v>
      </c>
      <c r="G997" s="28"/>
      <c r="H997" s="28"/>
      <c r="I997" s="28"/>
      <c r="J997" s="28"/>
      <c r="K997" s="28"/>
      <c r="L997" s="28"/>
      <c r="M997" s="28"/>
      <c r="N997" s="21"/>
      <c r="O997" s="28"/>
      <c r="P997" s="38"/>
      <c r="Q997" s="21"/>
      <c r="R997" s="21"/>
      <c r="S997" s="47"/>
      <c r="T997" s="25">
        <f t="shared" si="33"/>
        <v>0</v>
      </c>
      <c r="U997" s="25" t="str">
        <f>IF('PART III-DEMOGRAPHICS'!Q1007="","",'PART III-DEMOGRAPHICS'!Q1007)</f>
        <v/>
      </c>
    </row>
    <row r="998" spans="1:21">
      <c r="A998" s="25" t="str">
        <f>IF('PART III-DEMOGRAPHICS'!A1008="","",'PART III-DEMOGRAPHICS'!A1008)</f>
        <v/>
      </c>
      <c r="B998" s="28"/>
      <c r="C998" s="27"/>
      <c r="D998" s="28"/>
      <c r="E998" s="21"/>
      <c r="F998" s="36" t="str">
        <f t="shared" si="34"/>
        <v>Did Not</v>
      </c>
      <c r="G998" s="28"/>
      <c r="H998" s="28"/>
      <c r="I998" s="28"/>
      <c r="J998" s="28"/>
      <c r="K998" s="28"/>
      <c r="L998" s="28"/>
      <c r="M998" s="28"/>
      <c r="N998" s="21"/>
      <c r="O998" s="28"/>
      <c r="P998" s="38"/>
      <c r="Q998" s="21"/>
      <c r="R998" s="21"/>
      <c r="S998" s="47"/>
      <c r="T998" s="25">
        <f t="shared" si="33"/>
        <v>0</v>
      </c>
      <c r="U998" s="25" t="str">
        <f>IF('PART III-DEMOGRAPHICS'!Q1008="","",'PART III-DEMOGRAPHICS'!Q1008)</f>
        <v/>
      </c>
    </row>
    <row r="999" spans="1:21">
      <c r="A999" s="25" t="str">
        <f>IF('PART III-DEMOGRAPHICS'!A1009="","",'PART III-DEMOGRAPHICS'!A1009)</f>
        <v/>
      </c>
      <c r="B999" s="28"/>
      <c r="C999" s="27"/>
      <c r="D999" s="28"/>
      <c r="E999" s="21"/>
      <c r="F999" s="36" t="str">
        <f t="shared" si="34"/>
        <v>Did Not</v>
      </c>
      <c r="G999" s="28"/>
      <c r="H999" s="28"/>
      <c r="I999" s="28"/>
      <c r="J999" s="28"/>
      <c r="K999" s="28"/>
      <c r="L999" s="28"/>
      <c r="M999" s="28"/>
      <c r="N999" s="21"/>
      <c r="O999" s="28"/>
      <c r="P999" s="38"/>
      <c r="Q999" s="21"/>
      <c r="R999" s="21"/>
      <c r="S999" s="47"/>
      <c r="T999" s="25">
        <f t="shared" si="33"/>
        <v>0</v>
      </c>
      <c r="U999" s="25" t="str">
        <f>IF('PART III-DEMOGRAPHICS'!Q1009="","",'PART III-DEMOGRAPHICS'!Q1009)</f>
        <v/>
      </c>
    </row>
    <row r="1000" spans="1:21">
      <c r="A1000" s="25" t="str">
        <f>IF('PART III-DEMOGRAPHICS'!A1010="","",'PART III-DEMOGRAPHICS'!A1010)</f>
        <v/>
      </c>
      <c r="B1000" s="28"/>
      <c r="C1000" s="27"/>
      <c r="D1000" s="28"/>
      <c r="E1000" s="21"/>
      <c r="F1000" s="36" t="str">
        <f t="shared" si="34"/>
        <v>Did Not</v>
      </c>
      <c r="G1000" s="28"/>
      <c r="H1000" s="28"/>
      <c r="I1000" s="28"/>
      <c r="J1000" s="28"/>
      <c r="K1000" s="28"/>
      <c r="L1000" s="28"/>
      <c r="M1000" s="28"/>
      <c r="N1000" s="21"/>
      <c r="O1000" s="28"/>
      <c r="P1000" s="38"/>
      <c r="Q1000" s="21"/>
      <c r="R1000" s="21"/>
      <c r="S1000" s="47"/>
      <c r="T1000" s="25">
        <f t="shared" si="33"/>
        <v>0</v>
      </c>
      <c r="U1000" s="25" t="str">
        <f>IF('PART III-DEMOGRAPHICS'!Q1010="","",'PART III-DEMOGRAPHICS'!Q1010)</f>
        <v/>
      </c>
    </row>
    <row r="1001" spans="1:21">
      <c r="A1001" s="25" t="str">
        <f>IF('PART III-DEMOGRAPHICS'!A1011="","",'PART III-DEMOGRAPHICS'!A1011)</f>
        <v/>
      </c>
      <c r="B1001" s="28"/>
      <c r="C1001" s="27"/>
      <c r="D1001" s="28"/>
      <c r="E1001" s="21"/>
      <c r="F1001" s="36" t="str">
        <f t="shared" si="34"/>
        <v>Did Not</v>
      </c>
      <c r="G1001" s="28"/>
      <c r="H1001" s="28"/>
      <c r="I1001" s="28"/>
      <c r="J1001" s="28"/>
      <c r="K1001" s="28"/>
      <c r="L1001" s="28"/>
      <c r="M1001" s="28"/>
      <c r="N1001" s="21"/>
      <c r="O1001" s="28"/>
      <c r="P1001" s="38"/>
      <c r="Q1001" s="21"/>
      <c r="R1001" s="21"/>
      <c r="S1001" s="47"/>
      <c r="T1001" s="25">
        <f t="shared" si="33"/>
        <v>0</v>
      </c>
      <c r="U1001" s="25" t="str">
        <f>IF('PART III-DEMOGRAPHICS'!Q1011="","",'PART III-DEMOGRAPHICS'!Q1011)</f>
        <v/>
      </c>
    </row>
    <row r="1002" spans="1:21">
      <c r="A1002" s="25" t="str">
        <f>IF('PART III-DEMOGRAPHICS'!A1012="","",'PART III-DEMOGRAPHICS'!A1012)</f>
        <v/>
      </c>
      <c r="B1002" s="28"/>
      <c r="C1002" s="27"/>
      <c r="D1002" s="28"/>
      <c r="E1002" s="21"/>
      <c r="F1002" s="36" t="str">
        <f t="shared" si="34"/>
        <v>Did Not</v>
      </c>
      <c r="G1002" s="28"/>
      <c r="H1002" s="28"/>
      <c r="I1002" s="28"/>
      <c r="J1002" s="28"/>
      <c r="K1002" s="28"/>
      <c r="L1002" s="28"/>
      <c r="M1002" s="28"/>
      <c r="N1002" s="21"/>
      <c r="O1002" s="28"/>
      <c r="P1002" s="38"/>
      <c r="Q1002" s="21"/>
      <c r="R1002" s="21"/>
      <c r="S1002" s="47"/>
      <c r="T1002" s="25">
        <f t="shared" si="33"/>
        <v>0</v>
      </c>
      <c r="U1002" s="25" t="str">
        <f>IF('PART III-DEMOGRAPHICS'!Q1012="","",'PART III-DEMOGRAPHICS'!Q1012)</f>
        <v/>
      </c>
    </row>
    <row r="1003" spans="1:21">
      <c r="A1003" s="25" t="str">
        <f>IF('PART III-DEMOGRAPHICS'!A1013="","",'PART III-DEMOGRAPHICS'!A1013)</f>
        <v/>
      </c>
      <c r="B1003" s="28"/>
      <c r="C1003" s="27"/>
      <c r="D1003" s="28"/>
      <c r="E1003" s="21"/>
      <c r="F1003" s="36" t="str">
        <f t="shared" si="34"/>
        <v>Did Not</v>
      </c>
      <c r="G1003" s="28"/>
      <c r="H1003" s="28"/>
      <c r="I1003" s="28"/>
      <c r="J1003" s="28"/>
      <c r="K1003" s="28"/>
      <c r="L1003" s="28"/>
      <c r="M1003" s="28"/>
      <c r="N1003" s="21"/>
      <c r="O1003" s="28"/>
      <c r="P1003" s="38"/>
      <c r="Q1003" s="21"/>
      <c r="R1003" s="21"/>
      <c r="S1003" s="47"/>
      <c r="T1003" s="25">
        <f t="shared" si="33"/>
        <v>0</v>
      </c>
      <c r="U1003" s="25" t="str">
        <f>IF('PART III-DEMOGRAPHICS'!Q1013="","",'PART III-DEMOGRAPHICS'!Q1013)</f>
        <v/>
      </c>
    </row>
    <row r="1004" spans="1:21">
      <c r="A1004" s="25" t="str">
        <f>IF('PART III-DEMOGRAPHICS'!A1014="","",'PART III-DEMOGRAPHICS'!A1014)</f>
        <v/>
      </c>
      <c r="B1004" s="28"/>
      <c r="C1004" s="27"/>
      <c r="D1004" s="28"/>
      <c r="E1004" s="21"/>
      <c r="F1004" s="36" t="str">
        <f t="shared" si="34"/>
        <v>Did Not</v>
      </c>
      <c r="G1004" s="28"/>
      <c r="H1004" s="28"/>
      <c r="I1004" s="28"/>
      <c r="J1004" s="28"/>
      <c r="K1004" s="28"/>
      <c r="L1004" s="28"/>
      <c r="M1004" s="28"/>
      <c r="N1004" s="21"/>
      <c r="O1004" s="28"/>
      <c r="P1004" s="38"/>
      <c r="Q1004" s="21"/>
      <c r="R1004" s="21"/>
      <c r="S1004" s="47"/>
      <c r="T1004" s="25">
        <f t="shared" si="33"/>
        <v>0</v>
      </c>
      <c r="U1004" s="25" t="str">
        <f>IF('PART III-DEMOGRAPHICS'!Q1014="","",'PART III-DEMOGRAPHICS'!Q1014)</f>
        <v/>
      </c>
    </row>
    <row r="1005" spans="1:21">
      <c r="A1005" s="25" t="str">
        <f>IF('PART III-DEMOGRAPHICS'!A1015="","",'PART III-DEMOGRAPHICS'!A1015)</f>
        <v/>
      </c>
      <c r="B1005" s="28"/>
      <c r="C1005" s="27"/>
      <c r="D1005" s="28"/>
      <c r="E1005" s="21"/>
      <c r="F1005" s="36" t="str">
        <f t="shared" si="34"/>
        <v>Did Not</v>
      </c>
      <c r="G1005" s="28"/>
      <c r="H1005" s="28"/>
      <c r="I1005" s="28"/>
      <c r="J1005" s="28"/>
      <c r="K1005" s="28"/>
      <c r="L1005" s="28"/>
      <c r="M1005" s="28"/>
      <c r="N1005" s="21"/>
      <c r="O1005" s="28"/>
      <c r="P1005" s="38"/>
      <c r="Q1005" s="21"/>
      <c r="R1005" s="21"/>
      <c r="S1005" s="47"/>
      <c r="T1005" s="25">
        <f t="shared" si="33"/>
        <v>0</v>
      </c>
      <c r="U1005" s="25" t="str">
        <f>IF('PART III-DEMOGRAPHICS'!Q1015="","",'PART III-DEMOGRAPHICS'!Q1015)</f>
        <v/>
      </c>
    </row>
    <row r="1006" spans="1:21">
      <c r="A1006" s="25" t="str">
        <f>IF('PART III-DEMOGRAPHICS'!A1016="","",'PART III-DEMOGRAPHICS'!A1016)</f>
        <v/>
      </c>
      <c r="B1006" s="28"/>
      <c r="C1006" s="27"/>
      <c r="D1006" s="28"/>
      <c r="E1006" s="21"/>
      <c r="F1006" s="36" t="str">
        <f t="shared" si="34"/>
        <v>Did Not</v>
      </c>
      <c r="G1006" s="28"/>
      <c r="H1006" s="28"/>
      <c r="I1006" s="28"/>
      <c r="J1006" s="28"/>
      <c r="K1006" s="28"/>
      <c r="L1006" s="28"/>
      <c r="M1006" s="28"/>
      <c r="N1006" s="21"/>
      <c r="O1006" s="28"/>
      <c r="P1006" s="38"/>
      <c r="Q1006" s="21"/>
      <c r="R1006" s="21"/>
      <c r="S1006" s="47"/>
      <c r="T1006" s="25">
        <f t="shared" si="33"/>
        <v>0</v>
      </c>
      <c r="U1006" s="25" t="str">
        <f>IF('PART III-DEMOGRAPHICS'!Q1016="","",'PART III-DEMOGRAPHICS'!Q1016)</f>
        <v/>
      </c>
    </row>
    <row r="1007" spans="1:21">
      <c r="A1007" s="25" t="str">
        <f>IF('PART III-DEMOGRAPHICS'!A1017="","",'PART III-DEMOGRAPHICS'!A1017)</f>
        <v/>
      </c>
      <c r="B1007" s="28"/>
      <c r="C1007" s="27"/>
      <c r="D1007" s="28"/>
      <c r="E1007" s="21"/>
      <c r="F1007" s="36" t="str">
        <f t="shared" si="34"/>
        <v>Did Not</v>
      </c>
      <c r="G1007" s="28"/>
      <c r="H1007" s="28"/>
      <c r="I1007" s="28"/>
      <c r="J1007" s="28"/>
      <c r="K1007" s="28"/>
      <c r="L1007" s="28"/>
      <c r="M1007" s="28"/>
      <c r="N1007" s="21"/>
      <c r="O1007" s="28"/>
      <c r="P1007" s="38"/>
      <c r="Q1007" s="21"/>
      <c r="R1007" s="21"/>
      <c r="S1007" s="47"/>
      <c r="T1007" s="25">
        <f t="shared" si="33"/>
        <v>0</v>
      </c>
      <c r="U1007" s="25" t="str">
        <f>IF('PART III-DEMOGRAPHICS'!Q1017="","",'PART III-DEMOGRAPHICS'!Q1017)</f>
        <v/>
      </c>
    </row>
    <row r="1008" spans="1:21">
      <c r="A1008" s="25" t="str">
        <f>IF('PART III-DEMOGRAPHICS'!A1018="","",'PART III-DEMOGRAPHICS'!A1018)</f>
        <v/>
      </c>
      <c r="B1008" s="28"/>
      <c r="C1008" s="27"/>
      <c r="D1008" s="28"/>
      <c r="E1008" s="21"/>
      <c r="F1008" s="36" t="str">
        <f t="shared" si="34"/>
        <v>Did Not</v>
      </c>
      <c r="G1008" s="28"/>
      <c r="H1008" s="28"/>
      <c r="I1008" s="28"/>
      <c r="J1008" s="28"/>
      <c r="K1008" s="28"/>
      <c r="L1008" s="28"/>
      <c r="M1008" s="28"/>
      <c r="N1008" s="21"/>
      <c r="O1008" s="28"/>
      <c r="P1008" s="38"/>
      <c r="Q1008" s="21"/>
      <c r="R1008" s="21"/>
      <c r="S1008" s="47"/>
      <c r="T1008" s="25">
        <f t="shared" si="33"/>
        <v>0</v>
      </c>
      <c r="U1008" s="25" t="str">
        <f>IF('PART III-DEMOGRAPHICS'!Q1018="","",'PART III-DEMOGRAPHICS'!Q1018)</f>
        <v/>
      </c>
    </row>
    <row r="1009" spans="1:21">
      <c r="A1009" s="25" t="str">
        <f>IF('PART III-DEMOGRAPHICS'!A1019="","",'PART III-DEMOGRAPHICS'!A1019)</f>
        <v/>
      </c>
      <c r="B1009" s="28"/>
      <c r="C1009" s="27"/>
      <c r="D1009" s="28"/>
      <c r="E1009" s="21"/>
      <c r="F1009" s="36" t="str">
        <f t="shared" si="34"/>
        <v>Did Not</v>
      </c>
      <c r="G1009" s="28"/>
      <c r="H1009" s="28"/>
      <c r="I1009" s="28"/>
      <c r="J1009" s="28"/>
      <c r="K1009" s="28"/>
      <c r="L1009" s="28"/>
      <c r="M1009" s="28"/>
      <c r="N1009" s="21"/>
      <c r="O1009" s="28"/>
      <c r="P1009" s="38"/>
      <c r="Q1009" s="21"/>
      <c r="R1009" s="21"/>
      <c r="S1009" s="47"/>
      <c r="T1009" s="25">
        <f t="shared" si="33"/>
        <v>0</v>
      </c>
      <c r="U1009" s="25" t="str">
        <f>IF('PART III-DEMOGRAPHICS'!Q1019="","",'PART III-DEMOGRAPHICS'!Q1019)</f>
        <v/>
      </c>
    </row>
    <row r="1010" spans="1:21">
      <c r="A1010" s="25" t="str">
        <f>IF('PART III-DEMOGRAPHICS'!A1020="","",'PART III-DEMOGRAPHICS'!A1020)</f>
        <v/>
      </c>
      <c r="B1010" s="28"/>
      <c r="C1010" s="27"/>
      <c r="D1010" s="28"/>
      <c r="E1010" s="21"/>
      <c r="F1010" s="36" t="str">
        <f t="shared" si="34"/>
        <v>Did Not</v>
      </c>
      <c r="G1010" s="28"/>
      <c r="H1010" s="28"/>
      <c r="I1010" s="28"/>
      <c r="J1010" s="28"/>
      <c r="K1010" s="28"/>
      <c r="L1010" s="28"/>
      <c r="M1010" s="28"/>
      <c r="N1010" s="21"/>
      <c r="O1010" s="28"/>
      <c r="P1010" s="38"/>
      <c r="Q1010" s="21"/>
      <c r="R1010" s="21"/>
      <c r="S1010" s="47"/>
      <c r="T1010" s="25">
        <f t="shared" si="33"/>
        <v>0</v>
      </c>
      <c r="U1010" s="25" t="str">
        <f>IF('PART III-DEMOGRAPHICS'!Q1020="","",'PART III-DEMOGRAPHICS'!Q1020)</f>
        <v/>
      </c>
    </row>
    <row r="1011" spans="1:21">
      <c r="A1011" s="25" t="str">
        <f>IF('PART III-DEMOGRAPHICS'!A1021="","",'PART III-DEMOGRAPHICS'!A1021)</f>
        <v/>
      </c>
      <c r="B1011" s="28"/>
      <c r="C1011" s="27"/>
      <c r="D1011" s="28"/>
      <c r="E1011" s="21"/>
      <c r="F1011" s="36" t="str">
        <f t="shared" si="34"/>
        <v>Did Not</v>
      </c>
      <c r="G1011" s="28"/>
      <c r="H1011" s="28"/>
      <c r="I1011" s="28"/>
      <c r="J1011" s="28"/>
      <c r="K1011" s="28"/>
      <c r="L1011" s="28"/>
      <c r="M1011" s="28"/>
      <c r="N1011" s="21"/>
      <c r="O1011" s="28"/>
      <c r="P1011" s="38"/>
      <c r="Q1011" s="21"/>
      <c r="R1011" s="21"/>
      <c r="S1011" s="47"/>
      <c r="T1011" s="25">
        <f t="shared" si="33"/>
        <v>0</v>
      </c>
      <c r="U1011" s="25" t="str">
        <f>IF('PART III-DEMOGRAPHICS'!Q1021="","",'PART III-DEMOGRAPHICS'!Q1021)</f>
        <v/>
      </c>
    </row>
    <row r="1012" spans="1:21">
      <c r="A1012" s="25" t="str">
        <f>IF('PART III-DEMOGRAPHICS'!A1022="","",'PART III-DEMOGRAPHICS'!A1022)</f>
        <v/>
      </c>
      <c r="B1012" s="28"/>
      <c r="C1012" s="27"/>
      <c r="D1012" s="28"/>
      <c r="E1012" s="21"/>
      <c r="F1012" s="36" t="str">
        <f t="shared" si="34"/>
        <v>Did Not</v>
      </c>
      <c r="G1012" s="28"/>
      <c r="H1012" s="28"/>
      <c r="I1012" s="28"/>
      <c r="J1012" s="28"/>
      <c r="K1012" s="28"/>
      <c r="L1012" s="28"/>
      <c r="M1012" s="28"/>
      <c r="N1012" s="21"/>
      <c r="O1012" s="28"/>
      <c r="P1012" s="38"/>
      <c r="Q1012" s="21"/>
      <c r="R1012" s="21"/>
      <c r="S1012" s="47"/>
      <c r="T1012" s="25">
        <f t="shared" si="33"/>
        <v>0</v>
      </c>
      <c r="U1012" s="25" t="str">
        <f>IF('PART III-DEMOGRAPHICS'!Q1022="","",'PART III-DEMOGRAPHICS'!Q1022)</f>
        <v/>
      </c>
    </row>
    <row r="1013" spans="1:21">
      <c r="A1013" s="25" t="str">
        <f>IF('PART III-DEMOGRAPHICS'!A1023="","",'PART III-DEMOGRAPHICS'!A1023)</f>
        <v/>
      </c>
      <c r="B1013" s="28"/>
      <c r="C1013" s="27"/>
      <c r="D1013" s="28"/>
      <c r="E1013" s="21"/>
      <c r="F1013" s="36" t="str">
        <f t="shared" si="34"/>
        <v>Did Not</v>
      </c>
      <c r="G1013" s="28"/>
      <c r="H1013" s="28"/>
      <c r="I1013" s="28"/>
      <c r="J1013" s="28"/>
      <c r="K1013" s="28"/>
      <c r="L1013" s="28"/>
      <c r="M1013" s="28"/>
      <c r="N1013" s="21"/>
      <c r="O1013" s="28"/>
      <c r="P1013" s="38"/>
      <c r="Q1013" s="21"/>
      <c r="R1013" s="21"/>
      <c r="S1013" s="47"/>
      <c r="T1013" s="25">
        <f t="shared" si="33"/>
        <v>0</v>
      </c>
      <c r="U1013" s="25" t="str">
        <f>IF('PART III-DEMOGRAPHICS'!Q1023="","",'PART III-DEMOGRAPHICS'!Q1023)</f>
        <v/>
      </c>
    </row>
    <row r="1014" spans="1:21">
      <c r="A1014" s="25" t="str">
        <f>IF('PART III-DEMOGRAPHICS'!A1024="","",'PART III-DEMOGRAPHICS'!A1024)</f>
        <v/>
      </c>
      <c r="B1014" s="28"/>
      <c r="C1014" s="27"/>
      <c r="D1014" s="28"/>
      <c r="E1014" s="21"/>
      <c r="F1014" s="36" t="str">
        <f t="shared" si="34"/>
        <v>Did Not</v>
      </c>
      <c r="G1014" s="28"/>
      <c r="H1014" s="28"/>
      <c r="I1014" s="28"/>
      <c r="J1014" s="28"/>
      <c r="K1014" s="28"/>
      <c r="L1014" s="28"/>
      <c r="M1014" s="28"/>
      <c r="N1014" s="21"/>
      <c r="O1014" s="28"/>
      <c r="P1014" s="38"/>
      <c r="Q1014" s="21"/>
      <c r="R1014" s="21"/>
      <c r="S1014" s="47"/>
      <c r="T1014" s="25">
        <f t="shared" si="33"/>
        <v>0</v>
      </c>
      <c r="U1014" s="25" t="str">
        <f>IF('PART III-DEMOGRAPHICS'!Q1024="","",'PART III-DEMOGRAPHICS'!Q1024)</f>
        <v/>
      </c>
    </row>
    <row r="1015" spans="1:21">
      <c r="A1015" s="25" t="str">
        <f>IF('PART III-DEMOGRAPHICS'!A1025="","",'PART III-DEMOGRAPHICS'!A1025)</f>
        <v/>
      </c>
      <c r="B1015" s="28"/>
      <c r="C1015" s="27"/>
      <c r="D1015" s="28"/>
      <c r="E1015" s="21"/>
      <c r="F1015" s="36" t="str">
        <f t="shared" si="34"/>
        <v>Did Not</v>
      </c>
      <c r="G1015" s="28"/>
      <c r="H1015" s="28"/>
      <c r="I1015" s="28"/>
      <c r="J1015" s="28"/>
      <c r="K1015" s="28"/>
      <c r="L1015" s="28"/>
      <c r="M1015" s="28"/>
      <c r="N1015" s="21"/>
      <c r="O1015" s="28"/>
      <c r="P1015" s="38"/>
      <c r="Q1015" s="21"/>
      <c r="R1015" s="21"/>
      <c r="S1015" s="47"/>
      <c r="T1015" s="25">
        <f t="shared" si="33"/>
        <v>0</v>
      </c>
      <c r="U1015" s="25" t="str">
        <f>IF('PART III-DEMOGRAPHICS'!Q1025="","",'PART III-DEMOGRAPHICS'!Q1025)</f>
        <v/>
      </c>
    </row>
    <row r="1016" spans="1:21">
      <c r="A1016" s="25" t="str">
        <f>IF('PART III-DEMOGRAPHICS'!A1026="","",'PART III-DEMOGRAPHICS'!A1026)</f>
        <v/>
      </c>
      <c r="B1016" s="28"/>
      <c r="C1016" s="27"/>
      <c r="D1016" s="28"/>
      <c r="E1016" s="21"/>
      <c r="F1016" s="36" t="str">
        <f t="shared" si="34"/>
        <v>Did Not</v>
      </c>
      <c r="G1016" s="28"/>
      <c r="H1016" s="28"/>
      <c r="I1016" s="28"/>
      <c r="J1016" s="28"/>
      <c r="K1016" s="28"/>
      <c r="L1016" s="28"/>
      <c r="M1016" s="28"/>
      <c r="N1016" s="21"/>
      <c r="O1016" s="28"/>
      <c r="P1016" s="38"/>
      <c r="Q1016" s="21"/>
      <c r="R1016" s="21"/>
      <c r="S1016" s="47"/>
      <c r="T1016" s="25">
        <f t="shared" si="33"/>
        <v>0</v>
      </c>
      <c r="U1016" s="25" t="str">
        <f>IF('PART III-DEMOGRAPHICS'!Q1026="","",'PART III-DEMOGRAPHICS'!Q1026)</f>
        <v/>
      </c>
    </row>
    <row r="1017" spans="1:21">
      <c r="A1017" s="25" t="str">
        <f>IF('PART III-DEMOGRAPHICS'!A1027="","",'PART III-DEMOGRAPHICS'!A1027)</f>
        <v/>
      </c>
      <c r="B1017" s="28"/>
      <c r="C1017" s="27"/>
      <c r="D1017" s="28"/>
      <c r="E1017" s="21"/>
      <c r="F1017" s="36" t="str">
        <f t="shared" si="34"/>
        <v>Did Not</v>
      </c>
      <c r="G1017" s="28"/>
      <c r="H1017" s="28"/>
      <c r="I1017" s="28"/>
      <c r="J1017" s="28"/>
      <c r="K1017" s="28"/>
      <c r="L1017" s="28"/>
      <c r="M1017" s="28"/>
      <c r="N1017" s="21"/>
      <c r="O1017" s="28"/>
      <c r="P1017" s="38"/>
      <c r="Q1017" s="21"/>
      <c r="R1017" s="21"/>
      <c r="S1017" s="47"/>
      <c r="T1017" s="25">
        <f t="shared" si="33"/>
        <v>0</v>
      </c>
      <c r="U1017" s="25" t="str">
        <f>IF('PART III-DEMOGRAPHICS'!Q1027="","",'PART III-DEMOGRAPHICS'!Q1027)</f>
        <v/>
      </c>
    </row>
    <row r="1018" spans="1:21">
      <c r="A1018" s="25" t="str">
        <f>IF('PART III-DEMOGRAPHICS'!A1028="","",'PART III-DEMOGRAPHICS'!A1028)</f>
        <v/>
      </c>
      <c r="B1018" s="28"/>
      <c r="C1018" s="27"/>
      <c r="D1018" s="28"/>
      <c r="E1018" s="21"/>
      <c r="F1018" s="36" t="str">
        <f t="shared" si="34"/>
        <v>Did Not</v>
      </c>
      <c r="G1018" s="28"/>
      <c r="H1018" s="28"/>
      <c r="I1018" s="28"/>
      <c r="J1018" s="28"/>
      <c r="K1018" s="28"/>
      <c r="L1018" s="28"/>
      <c r="M1018" s="28"/>
      <c r="N1018" s="21"/>
      <c r="O1018" s="28"/>
      <c r="P1018" s="38"/>
      <c r="Q1018" s="21"/>
      <c r="R1018" s="21"/>
      <c r="S1018" s="47"/>
      <c r="T1018" s="25">
        <f t="shared" si="33"/>
        <v>0</v>
      </c>
      <c r="U1018" s="25" t="str">
        <f>IF('PART III-DEMOGRAPHICS'!Q1028="","",'PART III-DEMOGRAPHICS'!Q1028)</f>
        <v/>
      </c>
    </row>
    <row r="1019" spans="1:21">
      <c r="A1019" s="25" t="str">
        <f>IF('PART III-DEMOGRAPHICS'!A1029="","",'PART III-DEMOGRAPHICS'!A1029)</f>
        <v/>
      </c>
      <c r="B1019" s="28"/>
      <c r="C1019" s="27"/>
      <c r="D1019" s="28"/>
      <c r="E1019" s="21"/>
      <c r="F1019" s="36" t="str">
        <f t="shared" si="34"/>
        <v>Did Not</v>
      </c>
      <c r="G1019" s="28"/>
      <c r="H1019" s="28"/>
      <c r="I1019" s="28"/>
      <c r="J1019" s="28"/>
      <c r="K1019" s="28"/>
      <c r="L1019" s="28"/>
      <c r="M1019" s="28"/>
      <c r="N1019" s="21"/>
      <c r="O1019" s="28"/>
      <c r="P1019" s="38"/>
      <c r="Q1019" s="21"/>
      <c r="R1019" s="21"/>
      <c r="S1019" s="47"/>
      <c r="T1019" s="25">
        <f t="shared" si="33"/>
        <v>0</v>
      </c>
      <c r="U1019" s="25" t="str">
        <f>IF('PART III-DEMOGRAPHICS'!Q1029="","",'PART III-DEMOGRAPHICS'!Q1029)</f>
        <v/>
      </c>
    </row>
    <row r="1020" spans="1:21">
      <c r="A1020" s="25" t="str">
        <f>IF('PART III-DEMOGRAPHICS'!A1030="","",'PART III-DEMOGRAPHICS'!A1030)</f>
        <v/>
      </c>
      <c r="B1020" s="28"/>
      <c r="C1020" s="27"/>
      <c r="D1020" s="28"/>
      <c r="E1020" s="21"/>
      <c r="F1020" s="36" t="str">
        <f t="shared" si="34"/>
        <v>Did Not</v>
      </c>
      <c r="G1020" s="28"/>
      <c r="H1020" s="28"/>
      <c r="I1020" s="28"/>
      <c r="J1020" s="28"/>
      <c r="K1020" s="28"/>
      <c r="L1020" s="28"/>
      <c r="M1020" s="28"/>
      <c r="N1020" s="21"/>
      <c r="O1020" s="28"/>
      <c r="P1020" s="38"/>
      <c r="Q1020" s="21"/>
      <c r="R1020" s="21"/>
      <c r="S1020" s="47"/>
      <c r="T1020" s="25">
        <f t="shared" si="33"/>
        <v>0</v>
      </c>
      <c r="U1020" s="25" t="str">
        <f>IF('PART III-DEMOGRAPHICS'!Q1030="","",'PART III-DEMOGRAPHICS'!Q1030)</f>
        <v/>
      </c>
    </row>
    <row r="1021" spans="1:21">
      <c r="A1021" s="25" t="str">
        <f>IF('PART III-DEMOGRAPHICS'!A1031="","",'PART III-DEMOGRAPHICS'!A1031)</f>
        <v/>
      </c>
      <c r="B1021" s="28"/>
      <c r="C1021" s="27"/>
      <c r="D1021" s="28"/>
      <c r="E1021" s="21"/>
      <c r="F1021" s="36" t="str">
        <f t="shared" si="34"/>
        <v>Did Not</v>
      </c>
      <c r="G1021" s="28"/>
      <c r="H1021" s="28"/>
      <c r="I1021" s="28"/>
      <c r="J1021" s="28"/>
      <c r="K1021" s="28"/>
      <c r="L1021" s="28"/>
      <c r="M1021" s="28"/>
      <c r="N1021" s="21"/>
      <c r="O1021" s="28"/>
      <c r="P1021" s="38"/>
      <c r="Q1021" s="21"/>
      <c r="R1021" s="21"/>
      <c r="S1021" s="47"/>
      <c r="T1021" s="25">
        <f t="shared" si="33"/>
        <v>0</v>
      </c>
      <c r="U1021" s="25" t="str">
        <f>IF('PART III-DEMOGRAPHICS'!Q1031="","",'PART III-DEMOGRAPHICS'!Q1031)</f>
        <v/>
      </c>
    </row>
    <row r="1022" spans="1:21">
      <c r="A1022" s="25" t="str">
        <f>IF('PART III-DEMOGRAPHICS'!A1032="","",'PART III-DEMOGRAPHICS'!A1032)</f>
        <v/>
      </c>
      <c r="B1022" s="28"/>
      <c r="C1022" s="27"/>
      <c r="D1022" s="28"/>
      <c r="E1022" s="21"/>
      <c r="F1022" s="36" t="str">
        <f t="shared" si="34"/>
        <v>Did Not</v>
      </c>
      <c r="G1022" s="28"/>
      <c r="H1022" s="28"/>
      <c r="I1022" s="28"/>
      <c r="J1022" s="28"/>
      <c r="K1022" s="28"/>
      <c r="L1022" s="28"/>
      <c r="M1022" s="28"/>
      <c r="N1022" s="21"/>
      <c r="O1022" s="28"/>
      <c r="P1022" s="38"/>
      <c r="Q1022" s="21"/>
      <c r="R1022" s="21"/>
      <c r="S1022" s="47"/>
      <c r="T1022" s="25">
        <f t="shared" si="33"/>
        <v>0</v>
      </c>
      <c r="U1022" s="25" t="str">
        <f>IF('PART III-DEMOGRAPHICS'!Q1032="","",'PART III-DEMOGRAPHICS'!Q1032)</f>
        <v/>
      </c>
    </row>
    <row r="1023" spans="1:21">
      <c r="A1023" s="25" t="str">
        <f>IF('PART III-DEMOGRAPHICS'!A1033="","",'PART III-DEMOGRAPHICS'!A1033)</f>
        <v/>
      </c>
      <c r="B1023" s="28"/>
      <c r="C1023" s="27"/>
      <c r="D1023" s="28"/>
      <c r="E1023" s="21"/>
      <c r="F1023" s="36" t="str">
        <f t="shared" si="34"/>
        <v>Did Not</v>
      </c>
      <c r="G1023" s="28"/>
      <c r="H1023" s="28"/>
      <c r="I1023" s="28"/>
      <c r="J1023" s="28"/>
      <c r="K1023" s="28"/>
      <c r="L1023" s="28"/>
      <c r="M1023" s="28"/>
      <c r="N1023" s="21"/>
      <c r="O1023" s="28"/>
      <c r="P1023" s="38"/>
      <c r="Q1023" s="21"/>
      <c r="R1023" s="21"/>
      <c r="S1023" s="47"/>
      <c r="T1023" s="25">
        <f t="shared" si="33"/>
        <v>0</v>
      </c>
      <c r="U1023" s="25" t="str">
        <f>IF('PART III-DEMOGRAPHICS'!Q1033="","",'PART III-DEMOGRAPHICS'!Q1033)</f>
        <v/>
      </c>
    </row>
    <row r="1024" spans="1:21">
      <c r="A1024" s="25" t="str">
        <f>IF('PART III-DEMOGRAPHICS'!A1034="","",'PART III-DEMOGRAPHICS'!A1034)</f>
        <v/>
      </c>
      <c r="B1024" s="28"/>
      <c r="C1024" s="27"/>
      <c r="D1024" s="28"/>
      <c r="E1024" s="21"/>
      <c r="F1024" s="36" t="str">
        <f t="shared" si="34"/>
        <v>Did Not</v>
      </c>
      <c r="G1024" s="28"/>
      <c r="H1024" s="28"/>
      <c r="I1024" s="28"/>
      <c r="J1024" s="28"/>
      <c r="K1024" s="28"/>
      <c r="L1024" s="28"/>
      <c r="M1024" s="28"/>
      <c r="N1024" s="21"/>
      <c r="O1024" s="28"/>
      <c r="P1024" s="38"/>
      <c r="Q1024" s="21"/>
      <c r="R1024" s="21"/>
      <c r="S1024" s="47"/>
      <c r="T1024" s="25">
        <f t="shared" si="33"/>
        <v>0</v>
      </c>
      <c r="U1024" s="25" t="str">
        <f>IF('PART III-DEMOGRAPHICS'!Q1034="","",'PART III-DEMOGRAPHICS'!Q1034)</f>
        <v/>
      </c>
    </row>
    <row r="1025" spans="1:21">
      <c r="A1025" s="25" t="str">
        <f>IF('PART III-DEMOGRAPHICS'!A1035="","",'PART III-DEMOGRAPHICS'!A1035)</f>
        <v/>
      </c>
      <c r="B1025" s="28"/>
      <c r="C1025" s="27"/>
      <c r="D1025" s="28"/>
      <c r="E1025" s="21"/>
      <c r="F1025" s="36" t="str">
        <f t="shared" si="34"/>
        <v>Did Not</v>
      </c>
      <c r="G1025" s="28"/>
      <c r="H1025" s="28"/>
      <c r="I1025" s="28"/>
      <c r="J1025" s="28"/>
      <c r="K1025" s="28"/>
      <c r="L1025" s="28"/>
      <c r="M1025" s="28"/>
      <c r="N1025" s="21"/>
      <c r="O1025" s="28"/>
      <c r="P1025" s="38"/>
      <c r="Q1025" s="21"/>
      <c r="R1025" s="21"/>
      <c r="S1025" s="47"/>
      <c r="T1025" s="25">
        <f t="shared" si="33"/>
        <v>0</v>
      </c>
      <c r="U1025" s="25" t="str">
        <f>IF('PART III-DEMOGRAPHICS'!Q1035="","",'PART III-DEMOGRAPHICS'!Q1035)</f>
        <v/>
      </c>
    </row>
    <row r="1026" spans="1:21">
      <c r="A1026" s="25" t="str">
        <f>IF('PART III-DEMOGRAPHICS'!A1036="","",'PART III-DEMOGRAPHICS'!A1036)</f>
        <v/>
      </c>
      <c r="B1026" s="28"/>
      <c r="C1026" s="27"/>
      <c r="D1026" s="28"/>
      <c r="E1026" s="21"/>
      <c r="F1026" s="36" t="str">
        <f t="shared" si="34"/>
        <v>Did Not</v>
      </c>
      <c r="G1026" s="28"/>
      <c r="H1026" s="28"/>
      <c r="I1026" s="28"/>
      <c r="J1026" s="28"/>
      <c r="K1026" s="28"/>
      <c r="L1026" s="28"/>
      <c r="M1026" s="28"/>
      <c r="N1026" s="21"/>
      <c r="O1026" s="28"/>
      <c r="P1026" s="38"/>
      <c r="Q1026" s="21"/>
      <c r="R1026" s="21"/>
      <c r="S1026" s="47"/>
      <c r="T1026" s="25">
        <f t="shared" si="33"/>
        <v>0</v>
      </c>
      <c r="U1026" s="25" t="str">
        <f>IF('PART III-DEMOGRAPHICS'!Q1036="","",'PART III-DEMOGRAPHICS'!Q1036)</f>
        <v/>
      </c>
    </row>
    <row r="1027" spans="1:21">
      <c r="A1027" s="25" t="str">
        <f>IF('PART III-DEMOGRAPHICS'!A1037="","",'PART III-DEMOGRAPHICS'!A1037)</f>
        <v/>
      </c>
      <c r="B1027" s="28"/>
      <c r="C1027" s="27"/>
      <c r="D1027" s="28"/>
      <c r="E1027" s="21"/>
      <c r="F1027" s="36" t="str">
        <f t="shared" si="34"/>
        <v>Did Not</v>
      </c>
      <c r="G1027" s="28"/>
      <c r="H1027" s="28"/>
      <c r="I1027" s="28"/>
      <c r="J1027" s="28"/>
      <c r="K1027" s="28"/>
      <c r="L1027" s="28"/>
      <c r="M1027" s="28"/>
      <c r="N1027" s="21"/>
      <c r="O1027" s="28"/>
      <c r="P1027" s="38"/>
      <c r="Q1027" s="21"/>
      <c r="R1027" s="21"/>
      <c r="S1027" s="47"/>
      <c r="T1027" s="25">
        <f t="shared" si="33"/>
        <v>0</v>
      </c>
      <c r="U1027" s="25" t="str">
        <f>IF('PART III-DEMOGRAPHICS'!Q1037="","",'PART III-DEMOGRAPHICS'!Q1037)</f>
        <v/>
      </c>
    </row>
    <row r="1028" spans="1:21">
      <c r="A1028" s="25" t="str">
        <f>IF('PART III-DEMOGRAPHICS'!A1038="","",'PART III-DEMOGRAPHICS'!A1038)</f>
        <v/>
      </c>
      <c r="B1028" s="28"/>
      <c r="C1028" s="27"/>
      <c r="D1028" s="28"/>
      <c r="E1028" s="21"/>
      <c r="F1028" s="36" t="str">
        <f t="shared" si="34"/>
        <v>Did Not</v>
      </c>
      <c r="G1028" s="28"/>
      <c r="H1028" s="28"/>
      <c r="I1028" s="28"/>
      <c r="J1028" s="28"/>
      <c r="K1028" s="28"/>
      <c r="L1028" s="28"/>
      <c r="M1028" s="28"/>
      <c r="N1028" s="21"/>
      <c r="O1028" s="28"/>
      <c r="P1028" s="38"/>
      <c r="Q1028" s="21"/>
      <c r="R1028" s="21"/>
      <c r="S1028" s="47"/>
      <c r="T1028" s="25">
        <f t="shared" si="33"/>
        <v>0</v>
      </c>
      <c r="U1028" s="25" t="str">
        <f>IF('PART III-DEMOGRAPHICS'!Q1038="","",'PART III-DEMOGRAPHICS'!Q1038)</f>
        <v/>
      </c>
    </row>
    <row r="1029" spans="1:21">
      <c r="A1029" s="25" t="str">
        <f>IF('PART III-DEMOGRAPHICS'!A1039="","",'PART III-DEMOGRAPHICS'!A1039)</f>
        <v/>
      </c>
      <c r="B1029" s="28"/>
      <c r="C1029" s="27"/>
      <c r="D1029" s="28"/>
      <c r="E1029" s="21"/>
      <c r="F1029" s="36" t="str">
        <f t="shared" si="34"/>
        <v>Did Not</v>
      </c>
      <c r="G1029" s="28"/>
      <c r="H1029" s="28"/>
      <c r="I1029" s="28"/>
      <c r="J1029" s="28"/>
      <c r="K1029" s="28"/>
      <c r="L1029" s="28"/>
      <c r="M1029" s="28"/>
      <c r="N1029" s="21"/>
      <c r="O1029" s="28"/>
      <c r="P1029" s="38"/>
      <c r="Q1029" s="21"/>
      <c r="R1029" s="21"/>
      <c r="S1029" s="47"/>
      <c r="T1029" s="25">
        <f t="shared" si="33"/>
        <v>0</v>
      </c>
      <c r="U1029" s="25" t="str">
        <f>IF('PART III-DEMOGRAPHICS'!Q1039="","",'PART III-DEMOGRAPHICS'!Q1039)</f>
        <v/>
      </c>
    </row>
    <row r="1030" spans="1:21">
      <c r="A1030" s="25" t="str">
        <f>IF('PART III-DEMOGRAPHICS'!A1040="","",'PART III-DEMOGRAPHICS'!A1040)</f>
        <v/>
      </c>
      <c r="B1030" s="28"/>
      <c r="C1030" s="27"/>
      <c r="D1030" s="28"/>
      <c r="E1030" s="21"/>
      <c r="F1030" s="36" t="str">
        <f t="shared" si="34"/>
        <v>Did Not</v>
      </c>
      <c r="G1030" s="28"/>
      <c r="H1030" s="28"/>
      <c r="I1030" s="28"/>
      <c r="J1030" s="28"/>
      <c r="K1030" s="28"/>
      <c r="L1030" s="28"/>
      <c r="M1030" s="28"/>
      <c r="N1030" s="21"/>
      <c r="O1030" s="28"/>
      <c r="P1030" s="38"/>
      <c r="Q1030" s="21"/>
      <c r="R1030" s="21"/>
      <c r="S1030" s="47"/>
      <c r="T1030" s="25">
        <f t="shared" si="33"/>
        <v>0</v>
      </c>
      <c r="U1030" s="25" t="str">
        <f>IF('PART III-DEMOGRAPHICS'!Q1040="","",'PART III-DEMOGRAPHICS'!Q1040)</f>
        <v/>
      </c>
    </row>
    <row r="1031" spans="1:21">
      <c r="A1031" s="25" t="str">
        <f>IF('PART III-DEMOGRAPHICS'!A1041="","",'PART III-DEMOGRAPHICS'!A1041)</f>
        <v/>
      </c>
      <c r="B1031" s="28"/>
      <c r="C1031" s="27"/>
      <c r="D1031" s="28"/>
      <c r="E1031" s="21"/>
      <c r="F1031" s="36" t="str">
        <f t="shared" si="34"/>
        <v>Did Not</v>
      </c>
      <c r="G1031" s="28"/>
      <c r="H1031" s="28"/>
      <c r="I1031" s="28"/>
      <c r="J1031" s="28"/>
      <c r="K1031" s="28"/>
      <c r="L1031" s="28"/>
      <c r="M1031" s="28"/>
      <c r="N1031" s="21"/>
      <c r="O1031" s="28"/>
      <c r="P1031" s="38"/>
      <c r="Q1031" s="21"/>
      <c r="R1031" s="21"/>
      <c r="S1031" s="47"/>
      <c r="T1031" s="25">
        <f t="shared" ref="T1031:T1094" si="35">COUNTIF(A1031:R1031,"Yes")</f>
        <v>0</v>
      </c>
      <c r="U1031" s="25" t="str">
        <f>IF('PART III-DEMOGRAPHICS'!Q1041="","",'PART III-DEMOGRAPHICS'!Q1041)</f>
        <v/>
      </c>
    </row>
    <row r="1032" spans="1:21">
      <c r="A1032" s="25" t="str">
        <f>IF('PART III-DEMOGRAPHICS'!A1042="","",'PART III-DEMOGRAPHICS'!A1042)</f>
        <v/>
      </c>
      <c r="B1032" s="28"/>
      <c r="C1032" s="27"/>
      <c r="D1032" s="28"/>
      <c r="E1032" s="21"/>
      <c r="F1032" s="36" t="str">
        <f t="shared" si="34"/>
        <v>Did Not</v>
      </c>
      <c r="G1032" s="28"/>
      <c r="H1032" s="28"/>
      <c r="I1032" s="28"/>
      <c r="J1032" s="28"/>
      <c r="K1032" s="28"/>
      <c r="L1032" s="28"/>
      <c r="M1032" s="28"/>
      <c r="N1032" s="21"/>
      <c r="O1032" s="28"/>
      <c r="P1032" s="38"/>
      <c r="Q1032" s="21"/>
      <c r="R1032" s="21"/>
      <c r="S1032" s="47"/>
      <c r="T1032" s="25">
        <f t="shared" si="35"/>
        <v>0</v>
      </c>
      <c r="U1032" s="25" t="str">
        <f>IF('PART III-DEMOGRAPHICS'!Q1042="","",'PART III-DEMOGRAPHICS'!Q1042)</f>
        <v/>
      </c>
    </row>
    <row r="1033" spans="1:21">
      <c r="A1033" s="25" t="str">
        <f>IF('PART III-DEMOGRAPHICS'!A1043="","",'PART III-DEMOGRAPHICS'!A1043)</f>
        <v/>
      </c>
      <c r="B1033" s="28"/>
      <c r="C1033" s="27"/>
      <c r="D1033" s="28"/>
      <c r="E1033" s="21"/>
      <c r="F1033" s="36" t="str">
        <f t="shared" si="34"/>
        <v>Did Not</v>
      </c>
      <c r="G1033" s="28"/>
      <c r="H1033" s="28"/>
      <c r="I1033" s="28"/>
      <c r="J1033" s="28"/>
      <c r="K1033" s="28"/>
      <c r="L1033" s="28"/>
      <c r="M1033" s="28"/>
      <c r="N1033" s="21"/>
      <c r="O1033" s="28"/>
      <c r="P1033" s="38"/>
      <c r="Q1033" s="21"/>
      <c r="R1033" s="21"/>
      <c r="S1033" s="47"/>
      <c r="T1033" s="25">
        <f t="shared" si="35"/>
        <v>0</v>
      </c>
      <c r="U1033" s="25" t="str">
        <f>IF('PART III-DEMOGRAPHICS'!Q1043="","",'PART III-DEMOGRAPHICS'!Q1043)</f>
        <v/>
      </c>
    </row>
    <row r="1034" spans="1:21">
      <c r="A1034" s="25" t="str">
        <f>IF('PART III-DEMOGRAPHICS'!A1044="","",'PART III-DEMOGRAPHICS'!A1044)</f>
        <v/>
      </c>
      <c r="B1034" s="28"/>
      <c r="C1034" s="27"/>
      <c r="D1034" s="28"/>
      <c r="E1034" s="21"/>
      <c r="F1034" s="36" t="str">
        <f t="shared" si="34"/>
        <v>Did Not</v>
      </c>
      <c r="G1034" s="28"/>
      <c r="H1034" s="28"/>
      <c r="I1034" s="28"/>
      <c r="J1034" s="28"/>
      <c r="K1034" s="28"/>
      <c r="L1034" s="28"/>
      <c r="M1034" s="28"/>
      <c r="N1034" s="21"/>
      <c r="O1034" s="28"/>
      <c r="P1034" s="38"/>
      <c r="Q1034" s="21"/>
      <c r="R1034" s="21"/>
      <c r="S1034" s="47"/>
      <c r="T1034" s="25">
        <f t="shared" si="35"/>
        <v>0</v>
      </c>
      <c r="U1034" s="25" t="str">
        <f>IF('PART III-DEMOGRAPHICS'!Q1044="","",'PART III-DEMOGRAPHICS'!Q1044)</f>
        <v/>
      </c>
    </row>
    <row r="1035" spans="1:21">
      <c r="A1035" s="25" t="str">
        <f>IF('PART III-DEMOGRAPHICS'!A1045="","",'PART III-DEMOGRAPHICS'!A1045)</f>
        <v/>
      </c>
      <c r="B1035" s="28"/>
      <c r="C1035" s="27"/>
      <c r="D1035" s="28"/>
      <c r="E1035" s="21"/>
      <c r="F1035" s="36" t="str">
        <f t="shared" si="34"/>
        <v>Did Not</v>
      </c>
      <c r="G1035" s="28"/>
      <c r="H1035" s="28"/>
      <c r="I1035" s="28"/>
      <c r="J1035" s="28"/>
      <c r="K1035" s="28"/>
      <c r="L1035" s="28"/>
      <c r="M1035" s="28"/>
      <c r="N1035" s="21"/>
      <c r="O1035" s="28"/>
      <c r="P1035" s="38"/>
      <c r="Q1035" s="21"/>
      <c r="R1035" s="21"/>
      <c r="S1035" s="47"/>
      <c r="T1035" s="25">
        <f t="shared" si="35"/>
        <v>0</v>
      </c>
      <c r="U1035" s="25" t="str">
        <f>IF('PART III-DEMOGRAPHICS'!Q1045="","",'PART III-DEMOGRAPHICS'!Q1045)</f>
        <v/>
      </c>
    </row>
    <row r="1036" spans="1:21">
      <c r="A1036" s="25" t="str">
        <f>IF('PART III-DEMOGRAPHICS'!A1046="","",'PART III-DEMOGRAPHICS'!A1046)</f>
        <v/>
      </c>
      <c r="B1036" s="28"/>
      <c r="C1036" s="27"/>
      <c r="D1036" s="28"/>
      <c r="E1036" s="21"/>
      <c r="F1036" s="36" t="str">
        <f t="shared" si="34"/>
        <v>Did Not</v>
      </c>
      <c r="G1036" s="28"/>
      <c r="H1036" s="28"/>
      <c r="I1036" s="28"/>
      <c r="J1036" s="28"/>
      <c r="K1036" s="28"/>
      <c r="L1036" s="28"/>
      <c r="M1036" s="28"/>
      <c r="N1036" s="21"/>
      <c r="O1036" s="28"/>
      <c r="P1036" s="38"/>
      <c r="Q1036" s="21"/>
      <c r="R1036" s="21"/>
      <c r="S1036" s="47"/>
      <c r="T1036" s="25">
        <f t="shared" si="35"/>
        <v>0</v>
      </c>
      <c r="U1036" s="25" t="str">
        <f>IF('PART III-DEMOGRAPHICS'!Q1046="","",'PART III-DEMOGRAPHICS'!Q1046)</f>
        <v/>
      </c>
    </row>
    <row r="1037" spans="1:21">
      <c r="A1037" s="25" t="str">
        <f>IF('PART III-DEMOGRAPHICS'!A1047="","",'PART III-DEMOGRAPHICS'!A1047)</f>
        <v/>
      </c>
      <c r="B1037" s="28"/>
      <c r="C1037" s="27"/>
      <c r="D1037" s="28"/>
      <c r="E1037" s="21"/>
      <c r="F1037" s="36" t="str">
        <f t="shared" si="34"/>
        <v>Did Not</v>
      </c>
      <c r="G1037" s="28"/>
      <c r="H1037" s="28"/>
      <c r="I1037" s="28"/>
      <c r="J1037" s="28"/>
      <c r="K1037" s="28"/>
      <c r="L1037" s="28"/>
      <c r="M1037" s="28"/>
      <c r="N1037" s="21"/>
      <c r="O1037" s="28"/>
      <c r="P1037" s="38"/>
      <c r="Q1037" s="21"/>
      <c r="R1037" s="21"/>
      <c r="S1037" s="47"/>
      <c r="T1037" s="25">
        <f t="shared" si="35"/>
        <v>0</v>
      </c>
      <c r="U1037" s="25" t="str">
        <f>IF('PART III-DEMOGRAPHICS'!Q1047="","",'PART III-DEMOGRAPHICS'!Q1047)</f>
        <v/>
      </c>
    </row>
    <row r="1038" spans="1:21">
      <c r="A1038" s="25" t="str">
        <f>IF('PART III-DEMOGRAPHICS'!A1048="","",'PART III-DEMOGRAPHICS'!A1048)</f>
        <v/>
      </c>
      <c r="B1038" s="28"/>
      <c r="C1038" s="27"/>
      <c r="D1038" s="28"/>
      <c r="E1038" s="21"/>
      <c r="F1038" s="36" t="str">
        <f t="shared" ref="F1038:F1101" si="36">IF(OR(G1038="Yes",H1038="Yes",I1038="Yes",J1038="Yes",K1038="Yes",L1038="Yes",M1038="Yes"),"Did","Did Not")</f>
        <v>Did Not</v>
      </c>
      <c r="G1038" s="28"/>
      <c r="H1038" s="28"/>
      <c r="I1038" s="28"/>
      <c r="J1038" s="28"/>
      <c r="K1038" s="28"/>
      <c r="L1038" s="28"/>
      <c r="M1038" s="28"/>
      <c r="N1038" s="21"/>
      <c r="O1038" s="28"/>
      <c r="P1038" s="38"/>
      <c r="Q1038" s="21"/>
      <c r="R1038" s="21"/>
      <c r="S1038" s="47"/>
      <c r="T1038" s="25">
        <f t="shared" si="35"/>
        <v>0</v>
      </c>
      <c r="U1038" s="25" t="str">
        <f>IF('PART III-DEMOGRAPHICS'!Q1048="","",'PART III-DEMOGRAPHICS'!Q1048)</f>
        <v/>
      </c>
    </row>
    <row r="1039" spans="1:21">
      <c r="A1039" s="25" t="str">
        <f>IF('PART III-DEMOGRAPHICS'!A1049="","",'PART III-DEMOGRAPHICS'!A1049)</f>
        <v/>
      </c>
      <c r="B1039" s="28"/>
      <c r="C1039" s="27"/>
      <c r="D1039" s="28"/>
      <c r="E1039" s="21"/>
      <c r="F1039" s="36" t="str">
        <f t="shared" si="36"/>
        <v>Did Not</v>
      </c>
      <c r="G1039" s="28"/>
      <c r="H1039" s="28"/>
      <c r="I1039" s="28"/>
      <c r="J1039" s="28"/>
      <c r="K1039" s="28"/>
      <c r="L1039" s="28"/>
      <c r="M1039" s="28"/>
      <c r="N1039" s="21"/>
      <c r="O1039" s="28"/>
      <c r="P1039" s="38"/>
      <c r="Q1039" s="21"/>
      <c r="R1039" s="21"/>
      <c r="S1039" s="47"/>
      <c r="T1039" s="25">
        <f t="shared" si="35"/>
        <v>0</v>
      </c>
      <c r="U1039" s="25" t="str">
        <f>IF('PART III-DEMOGRAPHICS'!Q1049="","",'PART III-DEMOGRAPHICS'!Q1049)</f>
        <v/>
      </c>
    </row>
    <row r="1040" spans="1:21">
      <c r="A1040" s="25" t="str">
        <f>IF('PART III-DEMOGRAPHICS'!A1050="","",'PART III-DEMOGRAPHICS'!A1050)</f>
        <v/>
      </c>
      <c r="B1040" s="28"/>
      <c r="C1040" s="27"/>
      <c r="D1040" s="28"/>
      <c r="E1040" s="21"/>
      <c r="F1040" s="36" t="str">
        <f t="shared" si="36"/>
        <v>Did Not</v>
      </c>
      <c r="G1040" s="28"/>
      <c r="H1040" s="28"/>
      <c r="I1040" s="28"/>
      <c r="J1040" s="28"/>
      <c r="K1040" s="28"/>
      <c r="L1040" s="28"/>
      <c r="M1040" s="28"/>
      <c r="N1040" s="21"/>
      <c r="O1040" s="28"/>
      <c r="P1040" s="38"/>
      <c r="Q1040" s="21"/>
      <c r="R1040" s="21"/>
      <c r="S1040" s="47"/>
      <c r="T1040" s="25">
        <f t="shared" si="35"/>
        <v>0</v>
      </c>
      <c r="U1040" s="25" t="str">
        <f>IF('PART III-DEMOGRAPHICS'!Q1050="","",'PART III-DEMOGRAPHICS'!Q1050)</f>
        <v/>
      </c>
    </row>
    <row r="1041" spans="1:21">
      <c r="A1041" s="25" t="str">
        <f>IF('PART III-DEMOGRAPHICS'!A1051="","",'PART III-DEMOGRAPHICS'!A1051)</f>
        <v/>
      </c>
      <c r="B1041" s="28"/>
      <c r="C1041" s="27"/>
      <c r="D1041" s="28"/>
      <c r="E1041" s="21"/>
      <c r="F1041" s="36" t="str">
        <f t="shared" si="36"/>
        <v>Did Not</v>
      </c>
      <c r="G1041" s="28"/>
      <c r="H1041" s="28"/>
      <c r="I1041" s="28"/>
      <c r="J1041" s="28"/>
      <c r="K1041" s="28"/>
      <c r="L1041" s="28"/>
      <c r="M1041" s="28"/>
      <c r="N1041" s="21"/>
      <c r="O1041" s="28"/>
      <c r="P1041" s="38"/>
      <c r="Q1041" s="21"/>
      <c r="R1041" s="21"/>
      <c r="S1041" s="47"/>
      <c r="T1041" s="25">
        <f t="shared" si="35"/>
        <v>0</v>
      </c>
      <c r="U1041" s="25" t="str">
        <f>IF('PART III-DEMOGRAPHICS'!Q1051="","",'PART III-DEMOGRAPHICS'!Q1051)</f>
        <v/>
      </c>
    </row>
    <row r="1042" spans="1:21">
      <c r="A1042" s="25" t="str">
        <f>IF('PART III-DEMOGRAPHICS'!A1052="","",'PART III-DEMOGRAPHICS'!A1052)</f>
        <v/>
      </c>
      <c r="B1042" s="28"/>
      <c r="C1042" s="27"/>
      <c r="D1042" s="28"/>
      <c r="E1042" s="21"/>
      <c r="F1042" s="36" t="str">
        <f t="shared" si="36"/>
        <v>Did Not</v>
      </c>
      <c r="G1042" s="28"/>
      <c r="H1042" s="28"/>
      <c r="I1042" s="28"/>
      <c r="J1042" s="28"/>
      <c r="K1042" s="28"/>
      <c r="L1042" s="28"/>
      <c r="M1042" s="28"/>
      <c r="N1042" s="21"/>
      <c r="O1042" s="28"/>
      <c r="P1042" s="38"/>
      <c r="Q1042" s="21"/>
      <c r="R1042" s="21"/>
      <c r="S1042" s="47"/>
      <c r="T1042" s="25">
        <f t="shared" si="35"/>
        <v>0</v>
      </c>
      <c r="U1042" s="25" t="str">
        <f>IF('PART III-DEMOGRAPHICS'!Q1052="","",'PART III-DEMOGRAPHICS'!Q1052)</f>
        <v/>
      </c>
    </row>
    <row r="1043" spans="1:21">
      <c r="A1043" s="25" t="str">
        <f>IF('PART III-DEMOGRAPHICS'!A1053="","",'PART III-DEMOGRAPHICS'!A1053)</f>
        <v/>
      </c>
      <c r="B1043" s="28"/>
      <c r="C1043" s="27"/>
      <c r="D1043" s="28"/>
      <c r="E1043" s="21"/>
      <c r="F1043" s="36" t="str">
        <f t="shared" si="36"/>
        <v>Did Not</v>
      </c>
      <c r="G1043" s="28"/>
      <c r="H1043" s="28"/>
      <c r="I1043" s="28"/>
      <c r="J1043" s="28"/>
      <c r="K1043" s="28"/>
      <c r="L1043" s="28"/>
      <c r="M1043" s="28"/>
      <c r="N1043" s="21"/>
      <c r="O1043" s="28"/>
      <c r="P1043" s="38"/>
      <c r="Q1043" s="21"/>
      <c r="R1043" s="21"/>
      <c r="S1043" s="47"/>
      <c r="T1043" s="25">
        <f t="shared" si="35"/>
        <v>0</v>
      </c>
      <c r="U1043" s="25" t="str">
        <f>IF('PART III-DEMOGRAPHICS'!Q1053="","",'PART III-DEMOGRAPHICS'!Q1053)</f>
        <v/>
      </c>
    </row>
    <row r="1044" spans="1:21">
      <c r="A1044" s="25" t="str">
        <f>IF('PART III-DEMOGRAPHICS'!A1054="","",'PART III-DEMOGRAPHICS'!A1054)</f>
        <v/>
      </c>
      <c r="B1044" s="28"/>
      <c r="C1044" s="27"/>
      <c r="D1044" s="28"/>
      <c r="E1044" s="21"/>
      <c r="F1044" s="36" t="str">
        <f t="shared" si="36"/>
        <v>Did Not</v>
      </c>
      <c r="G1044" s="28"/>
      <c r="H1044" s="28"/>
      <c r="I1044" s="28"/>
      <c r="J1044" s="28"/>
      <c r="K1044" s="28"/>
      <c r="L1044" s="28"/>
      <c r="M1044" s="28"/>
      <c r="N1044" s="21"/>
      <c r="O1044" s="28"/>
      <c r="P1044" s="38"/>
      <c r="Q1044" s="21"/>
      <c r="R1044" s="21"/>
      <c r="S1044" s="47"/>
      <c r="T1044" s="25">
        <f t="shared" si="35"/>
        <v>0</v>
      </c>
      <c r="U1044" s="25" t="str">
        <f>IF('PART III-DEMOGRAPHICS'!Q1054="","",'PART III-DEMOGRAPHICS'!Q1054)</f>
        <v/>
      </c>
    </row>
    <row r="1045" spans="1:21">
      <c r="A1045" s="25" t="str">
        <f>IF('PART III-DEMOGRAPHICS'!A1055="","",'PART III-DEMOGRAPHICS'!A1055)</f>
        <v/>
      </c>
      <c r="B1045" s="28"/>
      <c r="C1045" s="27"/>
      <c r="D1045" s="28"/>
      <c r="E1045" s="21"/>
      <c r="F1045" s="36" t="str">
        <f t="shared" si="36"/>
        <v>Did Not</v>
      </c>
      <c r="G1045" s="28"/>
      <c r="H1045" s="28"/>
      <c r="I1045" s="28"/>
      <c r="J1045" s="28"/>
      <c r="K1045" s="28"/>
      <c r="L1045" s="28"/>
      <c r="M1045" s="28"/>
      <c r="N1045" s="21"/>
      <c r="O1045" s="28"/>
      <c r="P1045" s="38"/>
      <c r="Q1045" s="21"/>
      <c r="R1045" s="21"/>
      <c r="S1045" s="47"/>
      <c r="T1045" s="25">
        <f t="shared" si="35"/>
        <v>0</v>
      </c>
      <c r="U1045" s="25" t="str">
        <f>IF('PART III-DEMOGRAPHICS'!Q1055="","",'PART III-DEMOGRAPHICS'!Q1055)</f>
        <v/>
      </c>
    </row>
    <row r="1046" spans="1:21">
      <c r="A1046" s="25" t="str">
        <f>IF('PART III-DEMOGRAPHICS'!A1056="","",'PART III-DEMOGRAPHICS'!A1056)</f>
        <v/>
      </c>
      <c r="B1046" s="28"/>
      <c r="C1046" s="27"/>
      <c r="D1046" s="28"/>
      <c r="E1046" s="21"/>
      <c r="F1046" s="36" t="str">
        <f t="shared" si="36"/>
        <v>Did Not</v>
      </c>
      <c r="G1046" s="28"/>
      <c r="H1046" s="28"/>
      <c r="I1046" s="28"/>
      <c r="J1046" s="28"/>
      <c r="K1046" s="28"/>
      <c r="L1046" s="28"/>
      <c r="M1046" s="28"/>
      <c r="N1046" s="21"/>
      <c r="O1046" s="28"/>
      <c r="P1046" s="38"/>
      <c r="Q1046" s="21"/>
      <c r="R1046" s="21"/>
      <c r="S1046" s="47"/>
      <c r="T1046" s="25">
        <f t="shared" si="35"/>
        <v>0</v>
      </c>
      <c r="U1046" s="25" t="str">
        <f>IF('PART III-DEMOGRAPHICS'!Q1056="","",'PART III-DEMOGRAPHICS'!Q1056)</f>
        <v/>
      </c>
    </row>
    <row r="1047" spans="1:21">
      <c r="A1047" s="25" t="str">
        <f>IF('PART III-DEMOGRAPHICS'!A1057="","",'PART III-DEMOGRAPHICS'!A1057)</f>
        <v/>
      </c>
      <c r="B1047" s="28"/>
      <c r="C1047" s="27"/>
      <c r="D1047" s="28"/>
      <c r="E1047" s="21"/>
      <c r="F1047" s="36" t="str">
        <f t="shared" si="36"/>
        <v>Did Not</v>
      </c>
      <c r="G1047" s="28"/>
      <c r="H1047" s="28"/>
      <c r="I1047" s="28"/>
      <c r="J1047" s="28"/>
      <c r="K1047" s="28"/>
      <c r="L1047" s="28"/>
      <c r="M1047" s="28"/>
      <c r="N1047" s="21"/>
      <c r="O1047" s="28"/>
      <c r="P1047" s="38"/>
      <c r="Q1047" s="21"/>
      <c r="R1047" s="21"/>
      <c r="S1047" s="47"/>
      <c r="T1047" s="25">
        <f t="shared" si="35"/>
        <v>0</v>
      </c>
      <c r="U1047" s="25" t="str">
        <f>IF('PART III-DEMOGRAPHICS'!Q1057="","",'PART III-DEMOGRAPHICS'!Q1057)</f>
        <v/>
      </c>
    </row>
    <row r="1048" spans="1:21">
      <c r="A1048" s="25" t="str">
        <f>IF('PART III-DEMOGRAPHICS'!A1058="","",'PART III-DEMOGRAPHICS'!A1058)</f>
        <v/>
      </c>
      <c r="B1048" s="28"/>
      <c r="C1048" s="27"/>
      <c r="D1048" s="28"/>
      <c r="E1048" s="21"/>
      <c r="F1048" s="36" t="str">
        <f t="shared" si="36"/>
        <v>Did Not</v>
      </c>
      <c r="G1048" s="28"/>
      <c r="H1048" s="28"/>
      <c r="I1048" s="28"/>
      <c r="J1048" s="28"/>
      <c r="K1048" s="28"/>
      <c r="L1048" s="28"/>
      <c r="M1048" s="28"/>
      <c r="N1048" s="21"/>
      <c r="O1048" s="28"/>
      <c r="P1048" s="38"/>
      <c r="Q1048" s="21"/>
      <c r="R1048" s="21"/>
      <c r="S1048" s="47"/>
      <c r="T1048" s="25">
        <f t="shared" si="35"/>
        <v>0</v>
      </c>
      <c r="U1048" s="25" t="str">
        <f>IF('PART III-DEMOGRAPHICS'!Q1058="","",'PART III-DEMOGRAPHICS'!Q1058)</f>
        <v/>
      </c>
    </row>
    <row r="1049" spans="1:21">
      <c r="A1049" s="25" t="str">
        <f>IF('PART III-DEMOGRAPHICS'!A1059="","",'PART III-DEMOGRAPHICS'!A1059)</f>
        <v/>
      </c>
      <c r="B1049" s="28"/>
      <c r="C1049" s="27"/>
      <c r="D1049" s="28"/>
      <c r="E1049" s="21"/>
      <c r="F1049" s="36" t="str">
        <f t="shared" si="36"/>
        <v>Did Not</v>
      </c>
      <c r="G1049" s="28"/>
      <c r="H1049" s="28"/>
      <c r="I1049" s="28"/>
      <c r="J1049" s="28"/>
      <c r="K1049" s="28"/>
      <c r="L1049" s="28"/>
      <c r="M1049" s="28"/>
      <c r="N1049" s="21"/>
      <c r="O1049" s="28"/>
      <c r="P1049" s="38"/>
      <c r="Q1049" s="21"/>
      <c r="R1049" s="21"/>
      <c r="S1049" s="47"/>
      <c r="T1049" s="25">
        <f t="shared" si="35"/>
        <v>0</v>
      </c>
      <c r="U1049" s="25" t="str">
        <f>IF('PART III-DEMOGRAPHICS'!Q1059="","",'PART III-DEMOGRAPHICS'!Q1059)</f>
        <v/>
      </c>
    </row>
    <row r="1050" spans="1:21">
      <c r="A1050" s="25" t="str">
        <f>IF('PART III-DEMOGRAPHICS'!A1060="","",'PART III-DEMOGRAPHICS'!A1060)</f>
        <v/>
      </c>
      <c r="B1050" s="28"/>
      <c r="C1050" s="27"/>
      <c r="D1050" s="28"/>
      <c r="E1050" s="21"/>
      <c r="F1050" s="36" t="str">
        <f t="shared" si="36"/>
        <v>Did Not</v>
      </c>
      <c r="G1050" s="28"/>
      <c r="H1050" s="28"/>
      <c r="I1050" s="28"/>
      <c r="J1050" s="28"/>
      <c r="K1050" s="28"/>
      <c r="L1050" s="28"/>
      <c r="M1050" s="28"/>
      <c r="N1050" s="21"/>
      <c r="O1050" s="28"/>
      <c r="P1050" s="38"/>
      <c r="Q1050" s="21"/>
      <c r="R1050" s="21"/>
      <c r="S1050" s="47"/>
      <c r="T1050" s="25">
        <f t="shared" si="35"/>
        <v>0</v>
      </c>
      <c r="U1050" s="25" t="str">
        <f>IF('PART III-DEMOGRAPHICS'!Q1060="","",'PART III-DEMOGRAPHICS'!Q1060)</f>
        <v/>
      </c>
    </row>
    <row r="1051" spans="1:21">
      <c r="A1051" s="25" t="str">
        <f>IF('PART III-DEMOGRAPHICS'!A1061="","",'PART III-DEMOGRAPHICS'!A1061)</f>
        <v/>
      </c>
      <c r="B1051" s="28"/>
      <c r="C1051" s="27"/>
      <c r="D1051" s="28"/>
      <c r="E1051" s="21"/>
      <c r="F1051" s="36" t="str">
        <f t="shared" si="36"/>
        <v>Did Not</v>
      </c>
      <c r="G1051" s="28"/>
      <c r="H1051" s="28"/>
      <c r="I1051" s="28"/>
      <c r="J1051" s="28"/>
      <c r="K1051" s="28"/>
      <c r="L1051" s="28"/>
      <c r="M1051" s="28"/>
      <c r="N1051" s="21"/>
      <c r="O1051" s="28"/>
      <c r="P1051" s="38"/>
      <c r="Q1051" s="21"/>
      <c r="R1051" s="21"/>
      <c r="S1051" s="47"/>
      <c r="T1051" s="25">
        <f t="shared" si="35"/>
        <v>0</v>
      </c>
      <c r="U1051" s="25" t="str">
        <f>IF('PART III-DEMOGRAPHICS'!Q1061="","",'PART III-DEMOGRAPHICS'!Q1061)</f>
        <v/>
      </c>
    </row>
    <row r="1052" spans="1:21">
      <c r="A1052" s="25" t="str">
        <f>IF('PART III-DEMOGRAPHICS'!A1062="","",'PART III-DEMOGRAPHICS'!A1062)</f>
        <v/>
      </c>
      <c r="B1052" s="28"/>
      <c r="C1052" s="27"/>
      <c r="D1052" s="28"/>
      <c r="E1052" s="21"/>
      <c r="F1052" s="36" t="str">
        <f t="shared" si="36"/>
        <v>Did Not</v>
      </c>
      <c r="G1052" s="28"/>
      <c r="H1052" s="28"/>
      <c r="I1052" s="28"/>
      <c r="J1052" s="28"/>
      <c r="K1052" s="28"/>
      <c r="L1052" s="28"/>
      <c r="M1052" s="28"/>
      <c r="N1052" s="21"/>
      <c r="O1052" s="28"/>
      <c r="P1052" s="38"/>
      <c r="Q1052" s="21"/>
      <c r="R1052" s="21"/>
      <c r="S1052" s="47"/>
      <c r="T1052" s="25">
        <f t="shared" si="35"/>
        <v>0</v>
      </c>
      <c r="U1052" s="25" t="str">
        <f>IF('PART III-DEMOGRAPHICS'!Q1062="","",'PART III-DEMOGRAPHICS'!Q1062)</f>
        <v/>
      </c>
    </row>
    <row r="1053" spans="1:21">
      <c r="A1053" s="25" t="str">
        <f>IF('PART III-DEMOGRAPHICS'!A1063="","",'PART III-DEMOGRAPHICS'!A1063)</f>
        <v/>
      </c>
      <c r="B1053" s="28"/>
      <c r="C1053" s="27"/>
      <c r="D1053" s="28"/>
      <c r="E1053" s="21"/>
      <c r="F1053" s="36" t="str">
        <f t="shared" si="36"/>
        <v>Did Not</v>
      </c>
      <c r="G1053" s="28"/>
      <c r="H1053" s="28"/>
      <c r="I1053" s="28"/>
      <c r="J1053" s="28"/>
      <c r="K1053" s="28"/>
      <c r="L1053" s="28"/>
      <c r="M1053" s="28"/>
      <c r="N1053" s="21"/>
      <c r="O1053" s="28"/>
      <c r="P1053" s="38"/>
      <c r="Q1053" s="21"/>
      <c r="R1053" s="21"/>
      <c r="S1053" s="47"/>
      <c r="T1053" s="25">
        <f t="shared" si="35"/>
        <v>0</v>
      </c>
      <c r="U1053" s="25" t="str">
        <f>IF('PART III-DEMOGRAPHICS'!Q1063="","",'PART III-DEMOGRAPHICS'!Q1063)</f>
        <v/>
      </c>
    </row>
    <row r="1054" spans="1:21">
      <c r="A1054" s="25" t="str">
        <f>IF('PART III-DEMOGRAPHICS'!A1064="","",'PART III-DEMOGRAPHICS'!A1064)</f>
        <v/>
      </c>
      <c r="B1054" s="28"/>
      <c r="C1054" s="27"/>
      <c r="D1054" s="28"/>
      <c r="E1054" s="21"/>
      <c r="F1054" s="36" t="str">
        <f t="shared" si="36"/>
        <v>Did Not</v>
      </c>
      <c r="G1054" s="28"/>
      <c r="H1054" s="28"/>
      <c r="I1054" s="28"/>
      <c r="J1054" s="28"/>
      <c r="K1054" s="28"/>
      <c r="L1054" s="28"/>
      <c r="M1054" s="28"/>
      <c r="N1054" s="21"/>
      <c r="O1054" s="28"/>
      <c r="P1054" s="38"/>
      <c r="Q1054" s="21"/>
      <c r="R1054" s="21"/>
      <c r="S1054" s="47"/>
      <c r="T1054" s="25">
        <f t="shared" si="35"/>
        <v>0</v>
      </c>
      <c r="U1054" s="25" t="str">
        <f>IF('PART III-DEMOGRAPHICS'!Q1064="","",'PART III-DEMOGRAPHICS'!Q1064)</f>
        <v/>
      </c>
    </row>
    <row r="1055" spans="1:21">
      <c r="A1055" s="25" t="str">
        <f>IF('PART III-DEMOGRAPHICS'!A1065="","",'PART III-DEMOGRAPHICS'!A1065)</f>
        <v/>
      </c>
      <c r="B1055" s="28"/>
      <c r="C1055" s="27"/>
      <c r="D1055" s="28"/>
      <c r="E1055" s="21"/>
      <c r="F1055" s="36" t="str">
        <f t="shared" si="36"/>
        <v>Did Not</v>
      </c>
      <c r="G1055" s="28"/>
      <c r="H1055" s="28"/>
      <c r="I1055" s="28"/>
      <c r="J1055" s="28"/>
      <c r="K1055" s="28"/>
      <c r="L1055" s="28"/>
      <c r="M1055" s="28"/>
      <c r="N1055" s="21"/>
      <c r="O1055" s="28"/>
      <c r="P1055" s="38"/>
      <c r="Q1055" s="21"/>
      <c r="R1055" s="21"/>
      <c r="S1055" s="47"/>
      <c r="T1055" s="25">
        <f t="shared" si="35"/>
        <v>0</v>
      </c>
      <c r="U1055" s="25" t="str">
        <f>IF('PART III-DEMOGRAPHICS'!Q1065="","",'PART III-DEMOGRAPHICS'!Q1065)</f>
        <v/>
      </c>
    </row>
    <row r="1056" spans="1:21">
      <c r="A1056" s="25" t="str">
        <f>IF('PART III-DEMOGRAPHICS'!A1066="","",'PART III-DEMOGRAPHICS'!A1066)</f>
        <v/>
      </c>
      <c r="B1056" s="28"/>
      <c r="C1056" s="27"/>
      <c r="D1056" s="28"/>
      <c r="E1056" s="21"/>
      <c r="F1056" s="36" t="str">
        <f t="shared" si="36"/>
        <v>Did Not</v>
      </c>
      <c r="G1056" s="28"/>
      <c r="H1056" s="28"/>
      <c r="I1056" s="28"/>
      <c r="J1056" s="28"/>
      <c r="K1056" s="28"/>
      <c r="L1056" s="28"/>
      <c r="M1056" s="28"/>
      <c r="N1056" s="21"/>
      <c r="O1056" s="28"/>
      <c r="P1056" s="38"/>
      <c r="Q1056" s="21"/>
      <c r="R1056" s="21"/>
      <c r="S1056" s="47"/>
      <c r="T1056" s="25">
        <f t="shared" si="35"/>
        <v>0</v>
      </c>
      <c r="U1056" s="25" t="str">
        <f>IF('PART III-DEMOGRAPHICS'!Q1066="","",'PART III-DEMOGRAPHICS'!Q1066)</f>
        <v/>
      </c>
    </row>
    <row r="1057" spans="1:21">
      <c r="A1057" s="25" t="str">
        <f>IF('PART III-DEMOGRAPHICS'!A1067="","",'PART III-DEMOGRAPHICS'!A1067)</f>
        <v/>
      </c>
      <c r="B1057" s="28"/>
      <c r="C1057" s="27"/>
      <c r="D1057" s="28"/>
      <c r="E1057" s="21"/>
      <c r="F1057" s="36" t="str">
        <f t="shared" si="36"/>
        <v>Did Not</v>
      </c>
      <c r="G1057" s="28"/>
      <c r="H1057" s="28"/>
      <c r="I1057" s="28"/>
      <c r="J1057" s="28"/>
      <c r="K1057" s="28"/>
      <c r="L1057" s="28"/>
      <c r="M1057" s="28"/>
      <c r="N1057" s="21"/>
      <c r="O1057" s="28"/>
      <c r="P1057" s="38"/>
      <c r="Q1057" s="21"/>
      <c r="R1057" s="21"/>
      <c r="S1057" s="47"/>
      <c r="T1057" s="25">
        <f t="shared" si="35"/>
        <v>0</v>
      </c>
      <c r="U1057" s="25" t="str">
        <f>IF('PART III-DEMOGRAPHICS'!Q1067="","",'PART III-DEMOGRAPHICS'!Q1067)</f>
        <v/>
      </c>
    </row>
    <row r="1058" spans="1:21">
      <c r="A1058" s="25" t="str">
        <f>IF('PART III-DEMOGRAPHICS'!A1068="","",'PART III-DEMOGRAPHICS'!A1068)</f>
        <v/>
      </c>
      <c r="B1058" s="28"/>
      <c r="C1058" s="27"/>
      <c r="D1058" s="28"/>
      <c r="E1058" s="21"/>
      <c r="F1058" s="36" t="str">
        <f t="shared" si="36"/>
        <v>Did Not</v>
      </c>
      <c r="G1058" s="28"/>
      <c r="H1058" s="28"/>
      <c r="I1058" s="28"/>
      <c r="J1058" s="28"/>
      <c r="K1058" s="28"/>
      <c r="L1058" s="28"/>
      <c r="M1058" s="28"/>
      <c r="N1058" s="21"/>
      <c r="O1058" s="28"/>
      <c r="P1058" s="38"/>
      <c r="Q1058" s="21"/>
      <c r="R1058" s="21"/>
      <c r="S1058" s="47"/>
      <c r="T1058" s="25">
        <f t="shared" si="35"/>
        <v>0</v>
      </c>
      <c r="U1058" s="25" t="str">
        <f>IF('PART III-DEMOGRAPHICS'!Q1068="","",'PART III-DEMOGRAPHICS'!Q1068)</f>
        <v/>
      </c>
    </row>
    <row r="1059" spans="1:21">
      <c r="A1059" s="25" t="str">
        <f>IF('PART III-DEMOGRAPHICS'!A1069="","",'PART III-DEMOGRAPHICS'!A1069)</f>
        <v/>
      </c>
      <c r="B1059" s="28"/>
      <c r="C1059" s="27"/>
      <c r="D1059" s="28"/>
      <c r="E1059" s="21"/>
      <c r="F1059" s="36" t="str">
        <f t="shared" si="36"/>
        <v>Did Not</v>
      </c>
      <c r="G1059" s="28"/>
      <c r="H1059" s="28"/>
      <c r="I1059" s="28"/>
      <c r="J1059" s="28"/>
      <c r="K1059" s="28"/>
      <c r="L1059" s="28"/>
      <c r="M1059" s="28"/>
      <c r="N1059" s="21"/>
      <c r="O1059" s="28"/>
      <c r="P1059" s="38"/>
      <c r="Q1059" s="21"/>
      <c r="R1059" s="21"/>
      <c r="S1059" s="47"/>
      <c r="T1059" s="25">
        <f t="shared" si="35"/>
        <v>0</v>
      </c>
      <c r="U1059" s="25" t="str">
        <f>IF('PART III-DEMOGRAPHICS'!Q1069="","",'PART III-DEMOGRAPHICS'!Q1069)</f>
        <v/>
      </c>
    </row>
    <row r="1060" spans="1:21">
      <c r="A1060" s="25" t="str">
        <f>IF('PART III-DEMOGRAPHICS'!A1070="","",'PART III-DEMOGRAPHICS'!A1070)</f>
        <v/>
      </c>
      <c r="B1060" s="28"/>
      <c r="C1060" s="27"/>
      <c r="D1060" s="28"/>
      <c r="E1060" s="21"/>
      <c r="F1060" s="36" t="str">
        <f t="shared" si="36"/>
        <v>Did Not</v>
      </c>
      <c r="G1060" s="28"/>
      <c r="H1060" s="28"/>
      <c r="I1060" s="28"/>
      <c r="J1060" s="28"/>
      <c r="K1060" s="28"/>
      <c r="L1060" s="28"/>
      <c r="M1060" s="28"/>
      <c r="N1060" s="21"/>
      <c r="O1060" s="28"/>
      <c r="P1060" s="38"/>
      <c r="Q1060" s="21"/>
      <c r="R1060" s="21"/>
      <c r="S1060" s="47"/>
      <c r="T1060" s="25">
        <f t="shared" si="35"/>
        <v>0</v>
      </c>
      <c r="U1060" s="25" t="str">
        <f>IF('PART III-DEMOGRAPHICS'!Q1070="","",'PART III-DEMOGRAPHICS'!Q1070)</f>
        <v/>
      </c>
    </row>
    <row r="1061" spans="1:21">
      <c r="A1061" s="25" t="str">
        <f>IF('PART III-DEMOGRAPHICS'!A1071="","",'PART III-DEMOGRAPHICS'!A1071)</f>
        <v/>
      </c>
      <c r="B1061" s="28"/>
      <c r="C1061" s="27"/>
      <c r="D1061" s="28"/>
      <c r="E1061" s="21"/>
      <c r="F1061" s="36" t="str">
        <f t="shared" si="36"/>
        <v>Did Not</v>
      </c>
      <c r="G1061" s="28"/>
      <c r="H1061" s="28"/>
      <c r="I1061" s="28"/>
      <c r="J1061" s="28"/>
      <c r="K1061" s="28"/>
      <c r="L1061" s="28"/>
      <c r="M1061" s="28"/>
      <c r="N1061" s="21"/>
      <c r="O1061" s="28"/>
      <c r="P1061" s="38"/>
      <c r="Q1061" s="21"/>
      <c r="R1061" s="21"/>
      <c r="S1061" s="47"/>
      <c r="T1061" s="25">
        <f t="shared" si="35"/>
        <v>0</v>
      </c>
      <c r="U1061" s="25" t="str">
        <f>IF('PART III-DEMOGRAPHICS'!Q1071="","",'PART III-DEMOGRAPHICS'!Q1071)</f>
        <v/>
      </c>
    </row>
    <row r="1062" spans="1:21">
      <c r="A1062" s="25" t="str">
        <f>IF('PART III-DEMOGRAPHICS'!A1072="","",'PART III-DEMOGRAPHICS'!A1072)</f>
        <v/>
      </c>
      <c r="B1062" s="28"/>
      <c r="C1062" s="27"/>
      <c r="D1062" s="28"/>
      <c r="E1062" s="21"/>
      <c r="F1062" s="36" t="str">
        <f t="shared" si="36"/>
        <v>Did Not</v>
      </c>
      <c r="G1062" s="28"/>
      <c r="H1062" s="28"/>
      <c r="I1062" s="28"/>
      <c r="J1062" s="28"/>
      <c r="K1062" s="28"/>
      <c r="L1062" s="28"/>
      <c r="M1062" s="28"/>
      <c r="N1062" s="21"/>
      <c r="O1062" s="28"/>
      <c r="P1062" s="38"/>
      <c r="Q1062" s="21"/>
      <c r="R1062" s="21"/>
      <c r="S1062" s="47"/>
      <c r="T1062" s="25">
        <f t="shared" si="35"/>
        <v>0</v>
      </c>
      <c r="U1062" s="25" t="str">
        <f>IF('PART III-DEMOGRAPHICS'!Q1072="","",'PART III-DEMOGRAPHICS'!Q1072)</f>
        <v/>
      </c>
    </row>
    <row r="1063" spans="1:21">
      <c r="A1063" s="25" t="str">
        <f>IF('PART III-DEMOGRAPHICS'!A1073="","",'PART III-DEMOGRAPHICS'!A1073)</f>
        <v/>
      </c>
      <c r="B1063" s="28"/>
      <c r="C1063" s="27"/>
      <c r="D1063" s="28"/>
      <c r="E1063" s="21"/>
      <c r="F1063" s="36" t="str">
        <f t="shared" si="36"/>
        <v>Did Not</v>
      </c>
      <c r="G1063" s="28"/>
      <c r="H1063" s="28"/>
      <c r="I1063" s="28"/>
      <c r="J1063" s="28"/>
      <c r="K1063" s="28"/>
      <c r="L1063" s="28"/>
      <c r="M1063" s="28"/>
      <c r="N1063" s="21"/>
      <c r="O1063" s="28"/>
      <c r="P1063" s="38"/>
      <c r="Q1063" s="21"/>
      <c r="R1063" s="21"/>
      <c r="S1063" s="47"/>
      <c r="T1063" s="25">
        <f t="shared" si="35"/>
        <v>0</v>
      </c>
      <c r="U1063" s="25" t="str">
        <f>IF('PART III-DEMOGRAPHICS'!Q1073="","",'PART III-DEMOGRAPHICS'!Q1073)</f>
        <v/>
      </c>
    </row>
    <row r="1064" spans="1:21">
      <c r="A1064" s="25" t="str">
        <f>IF('PART III-DEMOGRAPHICS'!A1074="","",'PART III-DEMOGRAPHICS'!A1074)</f>
        <v/>
      </c>
      <c r="B1064" s="28"/>
      <c r="C1064" s="27"/>
      <c r="D1064" s="28"/>
      <c r="E1064" s="21"/>
      <c r="F1064" s="36" t="str">
        <f t="shared" si="36"/>
        <v>Did Not</v>
      </c>
      <c r="G1064" s="28"/>
      <c r="H1064" s="28"/>
      <c r="I1064" s="28"/>
      <c r="J1064" s="28"/>
      <c r="K1064" s="28"/>
      <c r="L1064" s="28"/>
      <c r="M1064" s="28"/>
      <c r="N1064" s="21"/>
      <c r="O1064" s="28"/>
      <c r="P1064" s="38"/>
      <c r="Q1064" s="21"/>
      <c r="R1064" s="21"/>
      <c r="S1064" s="47"/>
      <c r="T1064" s="25">
        <f t="shared" si="35"/>
        <v>0</v>
      </c>
      <c r="U1064" s="25" t="str">
        <f>IF('PART III-DEMOGRAPHICS'!Q1074="","",'PART III-DEMOGRAPHICS'!Q1074)</f>
        <v/>
      </c>
    </row>
    <row r="1065" spans="1:21">
      <c r="A1065" s="25" t="str">
        <f>IF('PART III-DEMOGRAPHICS'!A1075="","",'PART III-DEMOGRAPHICS'!A1075)</f>
        <v/>
      </c>
      <c r="B1065" s="28"/>
      <c r="C1065" s="27"/>
      <c r="D1065" s="28"/>
      <c r="E1065" s="21"/>
      <c r="F1065" s="36" t="str">
        <f t="shared" si="36"/>
        <v>Did Not</v>
      </c>
      <c r="G1065" s="28"/>
      <c r="H1065" s="28"/>
      <c r="I1065" s="28"/>
      <c r="J1065" s="28"/>
      <c r="K1065" s="28"/>
      <c r="L1065" s="28"/>
      <c r="M1065" s="28"/>
      <c r="N1065" s="21"/>
      <c r="O1065" s="28"/>
      <c r="P1065" s="38"/>
      <c r="Q1065" s="21"/>
      <c r="R1065" s="21"/>
      <c r="S1065" s="47"/>
      <c r="T1065" s="25">
        <f t="shared" si="35"/>
        <v>0</v>
      </c>
      <c r="U1065" s="25" t="str">
        <f>IF('PART III-DEMOGRAPHICS'!Q1075="","",'PART III-DEMOGRAPHICS'!Q1075)</f>
        <v/>
      </c>
    </row>
    <row r="1066" spans="1:21">
      <c r="A1066" s="25" t="str">
        <f>IF('PART III-DEMOGRAPHICS'!A1076="","",'PART III-DEMOGRAPHICS'!A1076)</f>
        <v/>
      </c>
      <c r="B1066" s="28"/>
      <c r="C1066" s="27"/>
      <c r="D1066" s="28"/>
      <c r="E1066" s="21"/>
      <c r="F1066" s="36" t="str">
        <f t="shared" si="36"/>
        <v>Did Not</v>
      </c>
      <c r="G1066" s="28"/>
      <c r="H1066" s="28"/>
      <c r="I1066" s="28"/>
      <c r="J1066" s="28"/>
      <c r="K1066" s="28"/>
      <c r="L1066" s="28"/>
      <c r="M1066" s="28"/>
      <c r="N1066" s="21"/>
      <c r="O1066" s="28"/>
      <c r="P1066" s="38"/>
      <c r="Q1066" s="21"/>
      <c r="R1066" s="21"/>
      <c r="S1066" s="47"/>
      <c r="T1066" s="25">
        <f t="shared" si="35"/>
        <v>0</v>
      </c>
      <c r="U1066" s="25" t="str">
        <f>IF('PART III-DEMOGRAPHICS'!Q1076="","",'PART III-DEMOGRAPHICS'!Q1076)</f>
        <v/>
      </c>
    </row>
    <row r="1067" spans="1:21">
      <c r="A1067" s="25" t="str">
        <f>IF('PART III-DEMOGRAPHICS'!A1077="","",'PART III-DEMOGRAPHICS'!A1077)</f>
        <v/>
      </c>
      <c r="B1067" s="28"/>
      <c r="C1067" s="27"/>
      <c r="D1067" s="28"/>
      <c r="E1067" s="21"/>
      <c r="F1067" s="36" t="str">
        <f t="shared" si="36"/>
        <v>Did Not</v>
      </c>
      <c r="G1067" s="28"/>
      <c r="H1067" s="28"/>
      <c r="I1067" s="28"/>
      <c r="J1067" s="28"/>
      <c r="K1067" s="28"/>
      <c r="L1067" s="28"/>
      <c r="M1067" s="28"/>
      <c r="N1067" s="21"/>
      <c r="O1067" s="28"/>
      <c r="P1067" s="38"/>
      <c r="Q1067" s="21"/>
      <c r="R1067" s="21"/>
      <c r="S1067" s="47"/>
      <c r="T1067" s="25">
        <f t="shared" si="35"/>
        <v>0</v>
      </c>
      <c r="U1067" s="25" t="str">
        <f>IF('PART III-DEMOGRAPHICS'!Q1077="","",'PART III-DEMOGRAPHICS'!Q1077)</f>
        <v/>
      </c>
    </row>
    <row r="1068" spans="1:21">
      <c r="A1068" s="25" t="str">
        <f>IF('PART III-DEMOGRAPHICS'!A1078="","",'PART III-DEMOGRAPHICS'!A1078)</f>
        <v/>
      </c>
      <c r="B1068" s="28"/>
      <c r="C1068" s="27"/>
      <c r="D1068" s="28"/>
      <c r="E1068" s="21"/>
      <c r="F1068" s="36" t="str">
        <f t="shared" si="36"/>
        <v>Did Not</v>
      </c>
      <c r="G1068" s="28"/>
      <c r="H1068" s="28"/>
      <c r="I1068" s="28"/>
      <c r="J1068" s="28"/>
      <c r="K1068" s="28"/>
      <c r="L1068" s="28"/>
      <c r="M1068" s="28"/>
      <c r="N1068" s="21"/>
      <c r="O1068" s="28"/>
      <c r="P1068" s="38"/>
      <c r="Q1068" s="21"/>
      <c r="R1068" s="21"/>
      <c r="S1068" s="47"/>
      <c r="T1068" s="25">
        <f t="shared" si="35"/>
        <v>0</v>
      </c>
      <c r="U1068" s="25" t="str">
        <f>IF('PART III-DEMOGRAPHICS'!Q1078="","",'PART III-DEMOGRAPHICS'!Q1078)</f>
        <v/>
      </c>
    </row>
    <row r="1069" spans="1:21">
      <c r="A1069" s="25" t="str">
        <f>IF('PART III-DEMOGRAPHICS'!A1079="","",'PART III-DEMOGRAPHICS'!A1079)</f>
        <v/>
      </c>
      <c r="B1069" s="28"/>
      <c r="C1069" s="27"/>
      <c r="D1069" s="28"/>
      <c r="E1069" s="21"/>
      <c r="F1069" s="36" t="str">
        <f t="shared" si="36"/>
        <v>Did Not</v>
      </c>
      <c r="G1069" s="28"/>
      <c r="H1069" s="28"/>
      <c r="I1069" s="28"/>
      <c r="J1069" s="28"/>
      <c r="K1069" s="28"/>
      <c r="L1069" s="28"/>
      <c r="M1069" s="28"/>
      <c r="N1069" s="21"/>
      <c r="O1069" s="28"/>
      <c r="P1069" s="38"/>
      <c r="Q1069" s="21"/>
      <c r="R1069" s="21"/>
      <c r="S1069" s="47"/>
      <c r="T1069" s="25">
        <f t="shared" si="35"/>
        <v>0</v>
      </c>
      <c r="U1069" s="25" t="str">
        <f>IF('PART III-DEMOGRAPHICS'!Q1079="","",'PART III-DEMOGRAPHICS'!Q1079)</f>
        <v/>
      </c>
    </row>
    <row r="1070" spans="1:21">
      <c r="A1070" s="25" t="str">
        <f>IF('PART III-DEMOGRAPHICS'!A1080="","",'PART III-DEMOGRAPHICS'!A1080)</f>
        <v/>
      </c>
      <c r="B1070" s="28"/>
      <c r="C1070" s="27"/>
      <c r="D1070" s="28"/>
      <c r="E1070" s="21"/>
      <c r="F1070" s="36" t="str">
        <f t="shared" si="36"/>
        <v>Did Not</v>
      </c>
      <c r="G1070" s="28"/>
      <c r="H1070" s="28"/>
      <c r="I1070" s="28"/>
      <c r="J1070" s="28"/>
      <c r="K1070" s="28"/>
      <c r="L1070" s="28"/>
      <c r="M1070" s="28"/>
      <c r="N1070" s="21"/>
      <c r="O1070" s="28"/>
      <c r="P1070" s="38"/>
      <c r="Q1070" s="21"/>
      <c r="R1070" s="21"/>
      <c r="S1070" s="47"/>
      <c r="T1070" s="25">
        <f t="shared" si="35"/>
        <v>0</v>
      </c>
      <c r="U1070" s="25" t="str">
        <f>IF('PART III-DEMOGRAPHICS'!Q1080="","",'PART III-DEMOGRAPHICS'!Q1080)</f>
        <v/>
      </c>
    </row>
    <row r="1071" spans="1:21">
      <c r="A1071" s="25" t="str">
        <f>IF('PART III-DEMOGRAPHICS'!A1081="","",'PART III-DEMOGRAPHICS'!A1081)</f>
        <v/>
      </c>
      <c r="B1071" s="28"/>
      <c r="C1071" s="27"/>
      <c r="D1071" s="28"/>
      <c r="E1071" s="21"/>
      <c r="F1071" s="36" t="str">
        <f t="shared" si="36"/>
        <v>Did Not</v>
      </c>
      <c r="G1071" s="28"/>
      <c r="H1071" s="28"/>
      <c r="I1071" s="28"/>
      <c r="J1071" s="28"/>
      <c r="K1071" s="28"/>
      <c r="L1071" s="28"/>
      <c r="M1071" s="28"/>
      <c r="N1071" s="21"/>
      <c r="O1071" s="28"/>
      <c r="P1071" s="38"/>
      <c r="Q1071" s="21"/>
      <c r="R1071" s="21"/>
      <c r="S1071" s="47"/>
      <c r="T1071" s="25">
        <f t="shared" si="35"/>
        <v>0</v>
      </c>
      <c r="U1071" s="25" t="str">
        <f>IF('PART III-DEMOGRAPHICS'!Q1081="","",'PART III-DEMOGRAPHICS'!Q1081)</f>
        <v/>
      </c>
    </row>
    <row r="1072" spans="1:21">
      <c r="A1072" s="25" t="str">
        <f>IF('PART III-DEMOGRAPHICS'!A1082="","",'PART III-DEMOGRAPHICS'!A1082)</f>
        <v/>
      </c>
      <c r="B1072" s="28"/>
      <c r="C1072" s="27"/>
      <c r="D1072" s="28"/>
      <c r="E1072" s="21"/>
      <c r="F1072" s="36" t="str">
        <f t="shared" si="36"/>
        <v>Did Not</v>
      </c>
      <c r="G1072" s="28"/>
      <c r="H1072" s="28"/>
      <c r="I1072" s="28"/>
      <c r="J1072" s="28"/>
      <c r="K1072" s="28"/>
      <c r="L1072" s="28"/>
      <c r="M1072" s="28"/>
      <c r="N1072" s="21"/>
      <c r="O1072" s="28"/>
      <c r="P1072" s="38"/>
      <c r="Q1072" s="21"/>
      <c r="R1072" s="21"/>
      <c r="S1072" s="47"/>
      <c r="T1072" s="25">
        <f t="shared" si="35"/>
        <v>0</v>
      </c>
      <c r="U1072" s="25" t="str">
        <f>IF('PART III-DEMOGRAPHICS'!Q1082="","",'PART III-DEMOGRAPHICS'!Q1082)</f>
        <v/>
      </c>
    </row>
    <row r="1073" spans="1:21">
      <c r="A1073" s="25" t="str">
        <f>IF('PART III-DEMOGRAPHICS'!A1083="","",'PART III-DEMOGRAPHICS'!A1083)</f>
        <v/>
      </c>
      <c r="B1073" s="28"/>
      <c r="C1073" s="27"/>
      <c r="D1073" s="28"/>
      <c r="E1073" s="21"/>
      <c r="F1073" s="36" t="str">
        <f t="shared" si="36"/>
        <v>Did Not</v>
      </c>
      <c r="G1073" s="28"/>
      <c r="H1073" s="28"/>
      <c r="I1073" s="28"/>
      <c r="J1073" s="28"/>
      <c r="K1073" s="28"/>
      <c r="L1073" s="28"/>
      <c r="M1073" s="28"/>
      <c r="N1073" s="21"/>
      <c r="O1073" s="28"/>
      <c r="P1073" s="38"/>
      <c r="Q1073" s="21"/>
      <c r="R1073" s="21"/>
      <c r="S1073" s="47"/>
      <c r="T1073" s="25">
        <f t="shared" si="35"/>
        <v>0</v>
      </c>
      <c r="U1073" s="25" t="str">
        <f>IF('PART III-DEMOGRAPHICS'!Q1083="","",'PART III-DEMOGRAPHICS'!Q1083)</f>
        <v/>
      </c>
    </row>
    <row r="1074" spans="1:21">
      <c r="A1074" s="25" t="str">
        <f>IF('PART III-DEMOGRAPHICS'!A1084="","",'PART III-DEMOGRAPHICS'!A1084)</f>
        <v/>
      </c>
      <c r="B1074" s="28"/>
      <c r="C1074" s="27"/>
      <c r="D1074" s="28"/>
      <c r="E1074" s="21"/>
      <c r="F1074" s="36" t="str">
        <f t="shared" si="36"/>
        <v>Did Not</v>
      </c>
      <c r="G1074" s="28"/>
      <c r="H1074" s="28"/>
      <c r="I1074" s="28"/>
      <c r="J1074" s="28"/>
      <c r="K1074" s="28"/>
      <c r="L1074" s="28"/>
      <c r="M1074" s="28"/>
      <c r="N1074" s="21"/>
      <c r="O1074" s="28"/>
      <c r="P1074" s="38"/>
      <c r="Q1074" s="21"/>
      <c r="R1074" s="21"/>
      <c r="S1074" s="47"/>
      <c r="T1074" s="25">
        <f t="shared" si="35"/>
        <v>0</v>
      </c>
      <c r="U1074" s="25" t="str">
        <f>IF('PART III-DEMOGRAPHICS'!Q1084="","",'PART III-DEMOGRAPHICS'!Q1084)</f>
        <v/>
      </c>
    </row>
    <row r="1075" spans="1:21">
      <c r="A1075" s="25" t="str">
        <f>IF('PART III-DEMOGRAPHICS'!A1085="","",'PART III-DEMOGRAPHICS'!A1085)</f>
        <v/>
      </c>
      <c r="B1075" s="28"/>
      <c r="C1075" s="27"/>
      <c r="D1075" s="28"/>
      <c r="E1075" s="21"/>
      <c r="F1075" s="36" t="str">
        <f t="shared" si="36"/>
        <v>Did Not</v>
      </c>
      <c r="G1075" s="28"/>
      <c r="H1075" s="28"/>
      <c r="I1075" s="28"/>
      <c r="J1075" s="28"/>
      <c r="K1075" s="28"/>
      <c r="L1075" s="28"/>
      <c r="M1075" s="28"/>
      <c r="N1075" s="21"/>
      <c r="O1075" s="28"/>
      <c r="P1075" s="38"/>
      <c r="Q1075" s="21"/>
      <c r="R1075" s="21"/>
      <c r="S1075" s="47"/>
      <c r="T1075" s="25">
        <f t="shared" si="35"/>
        <v>0</v>
      </c>
      <c r="U1075" s="25" t="str">
        <f>IF('PART III-DEMOGRAPHICS'!Q1085="","",'PART III-DEMOGRAPHICS'!Q1085)</f>
        <v/>
      </c>
    </row>
    <row r="1076" spans="1:21">
      <c r="A1076" s="25" t="str">
        <f>IF('PART III-DEMOGRAPHICS'!A1086="","",'PART III-DEMOGRAPHICS'!A1086)</f>
        <v/>
      </c>
      <c r="B1076" s="28"/>
      <c r="C1076" s="27"/>
      <c r="D1076" s="28"/>
      <c r="E1076" s="21"/>
      <c r="F1076" s="36" t="str">
        <f t="shared" si="36"/>
        <v>Did Not</v>
      </c>
      <c r="G1076" s="28"/>
      <c r="H1076" s="28"/>
      <c r="I1076" s="28"/>
      <c r="J1076" s="28"/>
      <c r="K1076" s="28"/>
      <c r="L1076" s="28"/>
      <c r="M1076" s="28"/>
      <c r="N1076" s="21"/>
      <c r="O1076" s="28"/>
      <c r="P1076" s="38"/>
      <c r="Q1076" s="21"/>
      <c r="R1076" s="21"/>
      <c r="S1076" s="47"/>
      <c r="T1076" s="25">
        <f t="shared" si="35"/>
        <v>0</v>
      </c>
      <c r="U1076" s="25" t="str">
        <f>IF('PART III-DEMOGRAPHICS'!Q1086="","",'PART III-DEMOGRAPHICS'!Q1086)</f>
        <v/>
      </c>
    </row>
    <row r="1077" spans="1:21">
      <c r="A1077" s="25" t="str">
        <f>IF('PART III-DEMOGRAPHICS'!A1087="","",'PART III-DEMOGRAPHICS'!A1087)</f>
        <v/>
      </c>
      <c r="B1077" s="28"/>
      <c r="C1077" s="27"/>
      <c r="D1077" s="28"/>
      <c r="E1077" s="21"/>
      <c r="F1077" s="36" t="str">
        <f t="shared" si="36"/>
        <v>Did Not</v>
      </c>
      <c r="G1077" s="28"/>
      <c r="H1077" s="28"/>
      <c r="I1077" s="28"/>
      <c r="J1077" s="28"/>
      <c r="K1077" s="28"/>
      <c r="L1077" s="28"/>
      <c r="M1077" s="28"/>
      <c r="N1077" s="21"/>
      <c r="O1077" s="28"/>
      <c r="P1077" s="38"/>
      <c r="Q1077" s="21"/>
      <c r="R1077" s="21"/>
      <c r="S1077" s="47"/>
      <c r="T1077" s="25">
        <f t="shared" si="35"/>
        <v>0</v>
      </c>
      <c r="U1077" s="25" t="str">
        <f>IF('PART III-DEMOGRAPHICS'!Q1087="","",'PART III-DEMOGRAPHICS'!Q1087)</f>
        <v/>
      </c>
    </row>
    <row r="1078" spans="1:21">
      <c r="A1078" s="25" t="str">
        <f>IF('PART III-DEMOGRAPHICS'!A1088="","",'PART III-DEMOGRAPHICS'!A1088)</f>
        <v/>
      </c>
      <c r="B1078" s="28"/>
      <c r="C1078" s="27"/>
      <c r="D1078" s="28"/>
      <c r="E1078" s="21"/>
      <c r="F1078" s="36" t="str">
        <f t="shared" si="36"/>
        <v>Did Not</v>
      </c>
      <c r="G1078" s="28"/>
      <c r="H1078" s="28"/>
      <c r="I1078" s="28"/>
      <c r="J1078" s="28"/>
      <c r="K1078" s="28"/>
      <c r="L1078" s="28"/>
      <c r="M1078" s="28"/>
      <c r="N1078" s="21"/>
      <c r="O1078" s="28"/>
      <c r="P1078" s="38"/>
      <c r="Q1078" s="21"/>
      <c r="R1078" s="21"/>
      <c r="S1078" s="47"/>
      <c r="T1078" s="25">
        <f t="shared" si="35"/>
        <v>0</v>
      </c>
      <c r="U1078" s="25" t="str">
        <f>IF('PART III-DEMOGRAPHICS'!Q1088="","",'PART III-DEMOGRAPHICS'!Q1088)</f>
        <v/>
      </c>
    </row>
    <row r="1079" spans="1:21">
      <c r="A1079" s="25" t="str">
        <f>IF('PART III-DEMOGRAPHICS'!A1089="","",'PART III-DEMOGRAPHICS'!A1089)</f>
        <v/>
      </c>
      <c r="B1079" s="28"/>
      <c r="C1079" s="27"/>
      <c r="D1079" s="28"/>
      <c r="E1079" s="21"/>
      <c r="F1079" s="36" t="str">
        <f t="shared" si="36"/>
        <v>Did Not</v>
      </c>
      <c r="G1079" s="28"/>
      <c r="H1079" s="28"/>
      <c r="I1079" s="28"/>
      <c r="J1079" s="28"/>
      <c r="K1079" s="28"/>
      <c r="L1079" s="28"/>
      <c r="M1079" s="28"/>
      <c r="N1079" s="21"/>
      <c r="O1079" s="28"/>
      <c r="P1079" s="38"/>
      <c r="Q1079" s="21"/>
      <c r="R1079" s="21"/>
      <c r="S1079" s="47"/>
      <c r="T1079" s="25">
        <f t="shared" si="35"/>
        <v>0</v>
      </c>
      <c r="U1079" s="25" t="str">
        <f>IF('PART III-DEMOGRAPHICS'!Q1089="","",'PART III-DEMOGRAPHICS'!Q1089)</f>
        <v/>
      </c>
    </row>
    <row r="1080" spans="1:21">
      <c r="A1080" s="25" t="str">
        <f>IF('PART III-DEMOGRAPHICS'!A1090="","",'PART III-DEMOGRAPHICS'!A1090)</f>
        <v/>
      </c>
      <c r="B1080" s="28"/>
      <c r="C1080" s="27"/>
      <c r="D1080" s="28"/>
      <c r="E1080" s="21"/>
      <c r="F1080" s="36" t="str">
        <f t="shared" si="36"/>
        <v>Did Not</v>
      </c>
      <c r="G1080" s="28"/>
      <c r="H1080" s="28"/>
      <c r="I1080" s="28"/>
      <c r="J1080" s="28"/>
      <c r="K1080" s="28"/>
      <c r="L1080" s="28"/>
      <c r="M1080" s="28"/>
      <c r="N1080" s="21"/>
      <c r="O1080" s="28"/>
      <c r="P1080" s="38"/>
      <c r="Q1080" s="21"/>
      <c r="R1080" s="21"/>
      <c r="S1080" s="47"/>
      <c r="T1080" s="25">
        <f t="shared" si="35"/>
        <v>0</v>
      </c>
      <c r="U1080" s="25" t="str">
        <f>IF('PART III-DEMOGRAPHICS'!Q1090="","",'PART III-DEMOGRAPHICS'!Q1090)</f>
        <v/>
      </c>
    </row>
    <row r="1081" spans="1:21">
      <c r="A1081" s="25" t="str">
        <f>IF('PART III-DEMOGRAPHICS'!A1091="","",'PART III-DEMOGRAPHICS'!A1091)</f>
        <v/>
      </c>
      <c r="B1081" s="28"/>
      <c r="C1081" s="27"/>
      <c r="D1081" s="28"/>
      <c r="E1081" s="21"/>
      <c r="F1081" s="36" t="str">
        <f t="shared" si="36"/>
        <v>Did Not</v>
      </c>
      <c r="G1081" s="28"/>
      <c r="H1081" s="28"/>
      <c r="I1081" s="28"/>
      <c r="J1081" s="28"/>
      <c r="K1081" s="28"/>
      <c r="L1081" s="28"/>
      <c r="M1081" s="28"/>
      <c r="N1081" s="21"/>
      <c r="O1081" s="28"/>
      <c r="P1081" s="38"/>
      <c r="Q1081" s="21"/>
      <c r="R1081" s="21"/>
      <c r="S1081" s="47"/>
      <c r="T1081" s="25">
        <f t="shared" si="35"/>
        <v>0</v>
      </c>
      <c r="U1081" s="25" t="str">
        <f>IF('PART III-DEMOGRAPHICS'!Q1091="","",'PART III-DEMOGRAPHICS'!Q1091)</f>
        <v/>
      </c>
    </row>
    <row r="1082" spans="1:21">
      <c r="A1082" s="25" t="str">
        <f>IF('PART III-DEMOGRAPHICS'!A1092="","",'PART III-DEMOGRAPHICS'!A1092)</f>
        <v/>
      </c>
      <c r="B1082" s="28"/>
      <c r="C1082" s="27"/>
      <c r="D1082" s="28"/>
      <c r="E1082" s="21"/>
      <c r="F1082" s="36" t="str">
        <f t="shared" si="36"/>
        <v>Did Not</v>
      </c>
      <c r="G1082" s="28"/>
      <c r="H1082" s="28"/>
      <c r="I1082" s="28"/>
      <c r="J1082" s="28"/>
      <c r="K1082" s="28"/>
      <c r="L1082" s="28"/>
      <c r="M1082" s="28"/>
      <c r="N1082" s="21"/>
      <c r="O1082" s="28"/>
      <c r="P1082" s="38"/>
      <c r="Q1082" s="21"/>
      <c r="R1082" s="21"/>
      <c r="S1082" s="47"/>
      <c r="T1082" s="25">
        <f t="shared" si="35"/>
        <v>0</v>
      </c>
      <c r="U1082" s="25" t="str">
        <f>IF('PART III-DEMOGRAPHICS'!Q1092="","",'PART III-DEMOGRAPHICS'!Q1092)</f>
        <v/>
      </c>
    </row>
    <row r="1083" spans="1:21">
      <c r="A1083" s="25" t="str">
        <f>IF('PART III-DEMOGRAPHICS'!A1093="","",'PART III-DEMOGRAPHICS'!A1093)</f>
        <v/>
      </c>
      <c r="B1083" s="28"/>
      <c r="C1083" s="27"/>
      <c r="D1083" s="28"/>
      <c r="E1083" s="21"/>
      <c r="F1083" s="36" t="str">
        <f t="shared" si="36"/>
        <v>Did Not</v>
      </c>
      <c r="G1083" s="28"/>
      <c r="H1083" s="28"/>
      <c r="I1083" s="28"/>
      <c r="J1083" s="28"/>
      <c r="K1083" s="28"/>
      <c r="L1083" s="28"/>
      <c r="M1083" s="28"/>
      <c r="N1083" s="21"/>
      <c r="O1083" s="28"/>
      <c r="P1083" s="38"/>
      <c r="Q1083" s="21"/>
      <c r="R1083" s="21"/>
      <c r="S1083" s="47"/>
      <c r="T1083" s="25">
        <f t="shared" si="35"/>
        <v>0</v>
      </c>
      <c r="U1083" s="25" t="str">
        <f>IF('PART III-DEMOGRAPHICS'!Q1093="","",'PART III-DEMOGRAPHICS'!Q1093)</f>
        <v/>
      </c>
    </row>
    <row r="1084" spans="1:21">
      <c r="A1084" s="25" t="str">
        <f>IF('PART III-DEMOGRAPHICS'!A1094="","",'PART III-DEMOGRAPHICS'!A1094)</f>
        <v/>
      </c>
      <c r="B1084" s="28"/>
      <c r="C1084" s="27"/>
      <c r="D1084" s="28"/>
      <c r="E1084" s="21"/>
      <c r="F1084" s="36" t="str">
        <f t="shared" si="36"/>
        <v>Did Not</v>
      </c>
      <c r="G1084" s="28"/>
      <c r="H1084" s="28"/>
      <c r="I1084" s="28"/>
      <c r="J1084" s="28"/>
      <c r="K1084" s="28"/>
      <c r="L1084" s="28"/>
      <c r="M1084" s="28"/>
      <c r="N1084" s="21"/>
      <c r="O1084" s="28"/>
      <c r="P1084" s="38"/>
      <c r="Q1084" s="21"/>
      <c r="R1084" s="21"/>
      <c r="S1084" s="47"/>
      <c r="T1084" s="25">
        <f t="shared" si="35"/>
        <v>0</v>
      </c>
      <c r="U1084" s="25" t="str">
        <f>IF('PART III-DEMOGRAPHICS'!Q1094="","",'PART III-DEMOGRAPHICS'!Q1094)</f>
        <v/>
      </c>
    </row>
    <row r="1085" spans="1:21">
      <c r="A1085" s="25" t="str">
        <f>IF('PART III-DEMOGRAPHICS'!A1095="","",'PART III-DEMOGRAPHICS'!A1095)</f>
        <v/>
      </c>
      <c r="B1085" s="28"/>
      <c r="C1085" s="27"/>
      <c r="D1085" s="28"/>
      <c r="E1085" s="21"/>
      <c r="F1085" s="36" t="str">
        <f t="shared" si="36"/>
        <v>Did Not</v>
      </c>
      <c r="G1085" s="28"/>
      <c r="H1085" s="28"/>
      <c r="I1085" s="28"/>
      <c r="J1085" s="28"/>
      <c r="K1085" s="28"/>
      <c r="L1085" s="28"/>
      <c r="M1085" s="28"/>
      <c r="N1085" s="21"/>
      <c r="O1085" s="28"/>
      <c r="P1085" s="38"/>
      <c r="Q1085" s="21"/>
      <c r="R1085" s="21"/>
      <c r="S1085" s="47"/>
      <c r="T1085" s="25">
        <f t="shared" si="35"/>
        <v>0</v>
      </c>
      <c r="U1085" s="25" t="str">
        <f>IF('PART III-DEMOGRAPHICS'!Q1095="","",'PART III-DEMOGRAPHICS'!Q1095)</f>
        <v/>
      </c>
    </row>
    <row r="1086" spans="1:21">
      <c r="A1086" s="25" t="str">
        <f>IF('PART III-DEMOGRAPHICS'!A1096="","",'PART III-DEMOGRAPHICS'!A1096)</f>
        <v/>
      </c>
      <c r="B1086" s="28"/>
      <c r="C1086" s="27"/>
      <c r="D1086" s="28"/>
      <c r="E1086" s="21"/>
      <c r="F1086" s="36" t="str">
        <f t="shared" si="36"/>
        <v>Did Not</v>
      </c>
      <c r="G1086" s="28"/>
      <c r="H1086" s="28"/>
      <c r="I1086" s="28"/>
      <c r="J1086" s="28"/>
      <c r="K1086" s="28"/>
      <c r="L1086" s="28"/>
      <c r="M1086" s="28"/>
      <c r="N1086" s="21"/>
      <c r="O1086" s="28"/>
      <c r="P1086" s="38"/>
      <c r="Q1086" s="21"/>
      <c r="R1086" s="21"/>
      <c r="S1086" s="47"/>
      <c r="T1086" s="25">
        <f t="shared" si="35"/>
        <v>0</v>
      </c>
      <c r="U1086" s="25" t="str">
        <f>IF('PART III-DEMOGRAPHICS'!Q1096="","",'PART III-DEMOGRAPHICS'!Q1096)</f>
        <v/>
      </c>
    </row>
    <row r="1087" spans="1:21">
      <c r="A1087" s="25" t="str">
        <f>IF('PART III-DEMOGRAPHICS'!A1097="","",'PART III-DEMOGRAPHICS'!A1097)</f>
        <v/>
      </c>
      <c r="B1087" s="28"/>
      <c r="C1087" s="27"/>
      <c r="D1087" s="28"/>
      <c r="E1087" s="21"/>
      <c r="F1087" s="36" t="str">
        <f t="shared" si="36"/>
        <v>Did Not</v>
      </c>
      <c r="G1087" s="28"/>
      <c r="H1087" s="28"/>
      <c r="I1087" s="28"/>
      <c r="J1087" s="28"/>
      <c r="K1087" s="28"/>
      <c r="L1087" s="28"/>
      <c r="M1087" s="28"/>
      <c r="N1087" s="21"/>
      <c r="O1087" s="28"/>
      <c r="P1087" s="38"/>
      <c r="Q1087" s="21"/>
      <c r="R1087" s="21"/>
      <c r="S1087" s="47"/>
      <c r="T1087" s="25">
        <f t="shared" si="35"/>
        <v>0</v>
      </c>
      <c r="U1087" s="25" t="str">
        <f>IF('PART III-DEMOGRAPHICS'!Q1097="","",'PART III-DEMOGRAPHICS'!Q1097)</f>
        <v/>
      </c>
    </row>
    <row r="1088" spans="1:21">
      <c r="A1088" s="25" t="str">
        <f>IF('PART III-DEMOGRAPHICS'!A1098="","",'PART III-DEMOGRAPHICS'!A1098)</f>
        <v/>
      </c>
      <c r="B1088" s="28"/>
      <c r="C1088" s="27"/>
      <c r="D1088" s="28"/>
      <c r="E1088" s="21"/>
      <c r="F1088" s="36" t="str">
        <f t="shared" si="36"/>
        <v>Did Not</v>
      </c>
      <c r="G1088" s="28"/>
      <c r="H1088" s="28"/>
      <c r="I1088" s="28"/>
      <c r="J1088" s="28"/>
      <c r="K1088" s="28"/>
      <c r="L1088" s="28"/>
      <c r="M1088" s="28"/>
      <c r="N1088" s="21"/>
      <c r="O1088" s="28"/>
      <c r="P1088" s="38"/>
      <c r="Q1088" s="21"/>
      <c r="R1088" s="21"/>
      <c r="S1088" s="47"/>
      <c r="T1088" s="25">
        <f t="shared" si="35"/>
        <v>0</v>
      </c>
      <c r="U1088" s="25" t="str">
        <f>IF('PART III-DEMOGRAPHICS'!Q1098="","",'PART III-DEMOGRAPHICS'!Q1098)</f>
        <v/>
      </c>
    </row>
    <row r="1089" spans="1:21">
      <c r="A1089" s="25" t="str">
        <f>IF('PART III-DEMOGRAPHICS'!A1099="","",'PART III-DEMOGRAPHICS'!A1099)</f>
        <v/>
      </c>
      <c r="B1089" s="28"/>
      <c r="C1089" s="27"/>
      <c r="D1089" s="28"/>
      <c r="E1089" s="21"/>
      <c r="F1089" s="36" t="str">
        <f t="shared" si="36"/>
        <v>Did Not</v>
      </c>
      <c r="G1089" s="28"/>
      <c r="H1089" s="28"/>
      <c r="I1089" s="28"/>
      <c r="J1089" s="28"/>
      <c r="K1089" s="28"/>
      <c r="L1089" s="28"/>
      <c r="M1089" s="28"/>
      <c r="N1089" s="21"/>
      <c r="O1089" s="28"/>
      <c r="P1089" s="38"/>
      <c r="Q1089" s="21"/>
      <c r="R1089" s="21"/>
      <c r="S1089" s="47"/>
      <c r="T1089" s="25">
        <f t="shared" si="35"/>
        <v>0</v>
      </c>
      <c r="U1089" s="25" t="str">
        <f>IF('PART III-DEMOGRAPHICS'!Q1099="","",'PART III-DEMOGRAPHICS'!Q1099)</f>
        <v/>
      </c>
    </row>
    <row r="1090" spans="1:21">
      <c r="A1090" s="25" t="str">
        <f>IF('PART III-DEMOGRAPHICS'!A1100="","",'PART III-DEMOGRAPHICS'!A1100)</f>
        <v/>
      </c>
      <c r="B1090" s="28"/>
      <c r="C1090" s="27"/>
      <c r="D1090" s="28"/>
      <c r="E1090" s="21"/>
      <c r="F1090" s="36" t="str">
        <f t="shared" si="36"/>
        <v>Did Not</v>
      </c>
      <c r="G1090" s="28"/>
      <c r="H1090" s="28"/>
      <c r="I1090" s="28"/>
      <c r="J1090" s="28"/>
      <c r="K1090" s="28"/>
      <c r="L1090" s="28"/>
      <c r="M1090" s="28"/>
      <c r="N1090" s="21"/>
      <c r="O1090" s="28"/>
      <c r="P1090" s="38"/>
      <c r="Q1090" s="21"/>
      <c r="R1090" s="21"/>
      <c r="S1090" s="47"/>
      <c r="T1090" s="25">
        <f t="shared" si="35"/>
        <v>0</v>
      </c>
      <c r="U1090" s="25" t="str">
        <f>IF('PART III-DEMOGRAPHICS'!Q1100="","",'PART III-DEMOGRAPHICS'!Q1100)</f>
        <v/>
      </c>
    </row>
    <row r="1091" spans="1:21">
      <c r="A1091" s="25" t="str">
        <f>IF('PART III-DEMOGRAPHICS'!A1101="","",'PART III-DEMOGRAPHICS'!A1101)</f>
        <v/>
      </c>
      <c r="B1091" s="28"/>
      <c r="C1091" s="27"/>
      <c r="D1091" s="28"/>
      <c r="E1091" s="21"/>
      <c r="F1091" s="36" t="str">
        <f t="shared" si="36"/>
        <v>Did Not</v>
      </c>
      <c r="G1091" s="28"/>
      <c r="H1091" s="28"/>
      <c r="I1091" s="28"/>
      <c r="J1091" s="28"/>
      <c r="K1091" s="28"/>
      <c r="L1091" s="28"/>
      <c r="M1091" s="28"/>
      <c r="N1091" s="21"/>
      <c r="O1091" s="28"/>
      <c r="P1091" s="38"/>
      <c r="Q1091" s="21"/>
      <c r="R1091" s="21"/>
      <c r="S1091" s="47"/>
      <c r="T1091" s="25">
        <f t="shared" si="35"/>
        <v>0</v>
      </c>
      <c r="U1091" s="25" t="str">
        <f>IF('PART III-DEMOGRAPHICS'!Q1101="","",'PART III-DEMOGRAPHICS'!Q1101)</f>
        <v/>
      </c>
    </row>
    <row r="1092" spans="1:21">
      <c r="A1092" s="25" t="str">
        <f>IF('PART III-DEMOGRAPHICS'!A1102="","",'PART III-DEMOGRAPHICS'!A1102)</f>
        <v/>
      </c>
      <c r="B1092" s="28"/>
      <c r="C1092" s="27"/>
      <c r="D1092" s="28"/>
      <c r="E1092" s="21"/>
      <c r="F1092" s="36" t="str">
        <f t="shared" si="36"/>
        <v>Did Not</v>
      </c>
      <c r="G1092" s="28"/>
      <c r="H1092" s="28"/>
      <c r="I1092" s="28"/>
      <c r="J1092" s="28"/>
      <c r="K1092" s="28"/>
      <c r="L1092" s="28"/>
      <c r="M1092" s="28"/>
      <c r="N1092" s="21"/>
      <c r="O1092" s="28"/>
      <c r="P1092" s="38"/>
      <c r="Q1092" s="21"/>
      <c r="R1092" s="21"/>
      <c r="S1092" s="47"/>
      <c r="T1092" s="25">
        <f t="shared" si="35"/>
        <v>0</v>
      </c>
      <c r="U1092" s="25" t="str">
        <f>IF('PART III-DEMOGRAPHICS'!Q1102="","",'PART III-DEMOGRAPHICS'!Q1102)</f>
        <v/>
      </c>
    </row>
    <row r="1093" spans="1:21">
      <c r="A1093" s="25" t="str">
        <f>IF('PART III-DEMOGRAPHICS'!A1103="","",'PART III-DEMOGRAPHICS'!A1103)</f>
        <v/>
      </c>
      <c r="B1093" s="28"/>
      <c r="C1093" s="27"/>
      <c r="D1093" s="28"/>
      <c r="E1093" s="21"/>
      <c r="F1093" s="36" t="str">
        <f t="shared" si="36"/>
        <v>Did Not</v>
      </c>
      <c r="G1093" s="28"/>
      <c r="H1093" s="28"/>
      <c r="I1093" s="28"/>
      <c r="J1093" s="28"/>
      <c r="K1093" s="28"/>
      <c r="L1093" s="28"/>
      <c r="M1093" s="28"/>
      <c r="N1093" s="21"/>
      <c r="O1093" s="28"/>
      <c r="P1093" s="38"/>
      <c r="Q1093" s="21"/>
      <c r="R1093" s="21"/>
      <c r="S1093" s="47"/>
      <c r="T1093" s="25">
        <f t="shared" si="35"/>
        <v>0</v>
      </c>
      <c r="U1093" s="25" t="str">
        <f>IF('PART III-DEMOGRAPHICS'!Q1103="","",'PART III-DEMOGRAPHICS'!Q1103)</f>
        <v/>
      </c>
    </row>
    <row r="1094" spans="1:21">
      <c r="A1094" s="25" t="str">
        <f>IF('PART III-DEMOGRAPHICS'!A1104="","",'PART III-DEMOGRAPHICS'!A1104)</f>
        <v/>
      </c>
      <c r="B1094" s="28"/>
      <c r="C1094" s="27"/>
      <c r="D1094" s="28"/>
      <c r="E1094" s="21"/>
      <c r="F1094" s="36" t="str">
        <f t="shared" si="36"/>
        <v>Did Not</v>
      </c>
      <c r="G1094" s="28"/>
      <c r="H1094" s="28"/>
      <c r="I1094" s="28"/>
      <c r="J1094" s="28"/>
      <c r="K1094" s="28"/>
      <c r="L1094" s="28"/>
      <c r="M1094" s="28"/>
      <c r="N1094" s="21"/>
      <c r="O1094" s="28"/>
      <c r="P1094" s="38"/>
      <c r="Q1094" s="21"/>
      <c r="R1094" s="21"/>
      <c r="S1094" s="47"/>
      <c r="T1094" s="25">
        <f t="shared" si="35"/>
        <v>0</v>
      </c>
      <c r="U1094" s="25" t="str">
        <f>IF('PART III-DEMOGRAPHICS'!Q1104="","",'PART III-DEMOGRAPHICS'!Q1104)</f>
        <v/>
      </c>
    </row>
    <row r="1095" spans="1:21">
      <c r="A1095" s="25" t="str">
        <f>IF('PART III-DEMOGRAPHICS'!A1105="","",'PART III-DEMOGRAPHICS'!A1105)</f>
        <v/>
      </c>
      <c r="B1095" s="28"/>
      <c r="C1095" s="27"/>
      <c r="D1095" s="28"/>
      <c r="E1095" s="21"/>
      <c r="F1095" s="36" t="str">
        <f t="shared" si="36"/>
        <v>Did Not</v>
      </c>
      <c r="G1095" s="28"/>
      <c r="H1095" s="28"/>
      <c r="I1095" s="28"/>
      <c r="J1095" s="28"/>
      <c r="K1095" s="28"/>
      <c r="L1095" s="28"/>
      <c r="M1095" s="28"/>
      <c r="N1095" s="21"/>
      <c r="O1095" s="28"/>
      <c r="P1095" s="38"/>
      <c r="Q1095" s="21"/>
      <c r="R1095" s="21"/>
      <c r="S1095" s="47"/>
      <c r="T1095" s="25">
        <f t="shared" ref="T1095:T1158" si="37">COUNTIF(A1095:R1095,"Yes")</f>
        <v>0</v>
      </c>
      <c r="U1095" s="25" t="str">
        <f>IF('PART III-DEMOGRAPHICS'!Q1105="","",'PART III-DEMOGRAPHICS'!Q1105)</f>
        <v/>
      </c>
    </row>
    <row r="1096" spans="1:21">
      <c r="A1096" s="25" t="str">
        <f>IF('PART III-DEMOGRAPHICS'!A1106="","",'PART III-DEMOGRAPHICS'!A1106)</f>
        <v/>
      </c>
      <c r="B1096" s="28"/>
      <c r="C1096" s="27"/>
      <c r="D1096" s="28"/>
      <c r="E1096" s="21"/>
      <c r="F1096" s="36" t="str">
        <f t="shared" si="36"/>
        <v>Did Not</v>
      </c>
      <c r="G1096" s="28"/>
      <c r="H1096" s="28"/>
      <c r="I1096" s="28"/>
      <c r="J1096" s="28"/>
      <c r="K1096" s="28"/>
      <c r="L1096" s="28"/>
      <c r="M1096" s="28"/>
      <c r="N1096" s="21"/>
      <c r="O1096" s="28"/>
      <c r="P1096" s="38"/>
      <c r="Q1096" s="21"/>
      <c r="R1096" s="21"/>
      <c r="S1096" s="47"/>
      <c r="T1096" s="25">
        <f t="shared" si="37"/>
        <v>0</v>
      </c>
      <c r="U1096" s="25" t="str">
        <f>IF('PART III-DEMOGRAPHICS'!Q1106="","",'PART III-DEMOGRAPHICS'!Q1106)</f>
        <v/>
      </c>
    </row>
    <row r="1097" spans="1:21">
      <c r="A1097" s="25" t="str">
        <f>IF('PART III-DEMOGRAPHICS'!A1107="","",'PART III-DEMOGRAPHICS'!A1107)</f>
        <v/>
      </c>
      <c r="B1097" s="28"/>
      <c r="C1097" s="27"/>
      <c r="D1097" s="28"/>
      <c r="E1097" s="21"/>
      <c r="F1097" s="36" t="str">
        <f t="shared" si="36"/>
        <v>Did Not</v>
      </c>
      <c r="G1097" s="28"/>
      <c r="H1097" s="28"/>
      <c r="I1097" s="28"/>
      <c r="J1097" s="28"/>
      <c r="K1097" s="28"/>
      <c r="L1097" s="28"/>
      <c r="M1097" s="28"/>
      <c r="N1097" s="21"/>
      <c r="O1097" s="28"/>
      <c r="P1097" s="38"/>
      <c r="Q1097" s="21"/>
      <c r="R1097" s="21"/>
      <c r="S1097" s="47"/>
      <c r="T1097" s="25">
        <f t="shared" si="37"/>
        <v>0</v>
      </c>
      <c r="U1097" s="25" t="str">
        <f>IF('PART III-DEMOGRAPHICS'!Q1107="","",'PART III-DEMOGRAPHICS'!Q1107)</f>
        <v/>
      </c>
    </row>
    <row r="1098" spans="1:21">
      <c r="A1098" s="25" t="str">
        <f>IF('PART III-DEMOGRAPHICS'!A1108="","",'PART III-DEMOGRAPHICS'!A1108)</f>
        <v/>
      </c>
      <c r="B1098" s="28"/>
      <c r="C1098" s="27"/>
      <c r="D1098" s="28"/>
      <c r="E1098" s="21"/>
      <c r="F1098" s="36" t="str">
        <f t="shared" si="36"/>
        <v>Did Not</v>
      </c>
      <c r="G1098" s="28"/>
      <c r="H1098" s="28"/>
      <c r="I1098" s="28"/>
      <c r="J1098" s="28"/>
      <c r="K1098" s="28"/>
      <c r="L1098" s="28"/>
      <c r="M1098" s="28"/>
      <c r="N1098" s="21"/>
      <c r="O1098" s="28"/>
      <c r="P1098" s="38"/>
      <c r="Q1098" s="21"/>
      <c r="R1098" s="21"/>
      <c r="S1098" s="47"/>
      <c r="T1098" s="25">
        <f t="shared" si="37"/>
        <v>0</v>
      </c>
      <c r="U1098" s="25" t="str">
        <f>IF('PART III-DEMOGRAPHICS'!Q1108="","",'PART III-DEMOGRAPHICS'!Q1108)</f>
        <v/>
      </c>
    </row>
    <row r="1099" spans="1:21">
      <c r="A1099" s="25" t="str">
        <f>IF('PART III-DEMOGRAPHICS'!A1109="","",'PART III-DEMOGRAPHICS'!A1109)</f>
        <v/>
      </c>
      <c r="B1099" s="28"/>
      <c r="C1099" s="27"/>
      <c r="D1099" s="28"/>
      <c r="E1099" s="21"/>
      <c r="F1099" s="36" t="str">
        <f t="shared" si="36"/>
        <v>Did Not</v>
      </c>
      <c r="G1099" s="28"/>
      <c r="H1099" s="28"/>
      <c r="I1099" s="28"/>
      <c r="J1099" s="28"/>
      <c r="K1099" s="28"/>
      <c r="L1099" s="28"/>
      <c r="M1099" s="28"/>
      <c r="N1099" s="21"/>
      <c r="O1099" s="28"/>
      <c r="P1099" s="38"/>
      <c r="Q1099" s="21"/>
      <c r="R1099" s="21"/>
      <c r="S1099" s="47"/>
      <c r="T1099" s="25">
        <f t="shared" si="37"/>
        <v>0</v>
      </c>
      <c r="U1099" s="25" t="str">
        <f>IF('PART III-DEMOGRAPHICS'!Q1109="","",'PART III-DEMOGRAPHICS'!Q1109)</f>
        <v/>
      </c>
    </row>
    <row r="1100" spans="1:21">
      <c r="A1100" s="25" t="str">
        <f>IF('PART III-DEMOGRAPHICS'!A1110="","",'PART III-DEMOGRAPHICS'!A1110)</f>
        <v/>
      </c>
      <c r="B1100" s="28"/>
      <c r="C1100" s="27"/>
      <c r="D1100" s="28"/>
      <c r="E1100" s="21"/>
      <c r="F1100" s="36" t="str">
        <f t="shared" si="36"/>
        <v>Did Not</v>
      </c>
      <c r="G1100" s="28"/>
      <c r="H1100" s="28"/>
      <c r="I1100" s="28"/>
      <c r="J1100" s="28"/>
      <c r="K1100" s="28"/>
      <c r="L1100" s="28"/>
      <c r="M1100" s="28"/>
      <c r="N1100" s="21"/>
      <c r="O1100" s="28"/>
      <c r="P1100" s="38"/>
      <c r="Q1100" s="21"/>
      <c r="R1100" s="21"/>
      <c r="S1100" s="47"/>
      <c r="T1100" s="25">
        <f t="shared" si="37"/>
        <v>0</v>
      </c>
      <c r="U1100" s="25" t="str">
        <f>IF('PART III-DEMOGRAPHICS'!Q1110="","",'PART III-DEMOGRAPHICS'!Q1110)</f>
        <v/>
      </c>
    </row>
    <row r="1101" spans="1:21">
      <c r="A1101" s="25" t="str">
        <f>IF('PART III-DEMOGRAPHICS'!A1111="","",'PART III-DEMOGRAPHICS'!A1111)</f>
        <v/>
      </c>
      <c r="B1101" s="28"/>
      <c r="C1101" s="27"/>
      <c r="D1101" s="28"/>
      <c r="E1101" s="21"/>
      <c r="F1101" s="36" t="str">
        <f t="shared" si="36"/>
        <v>Did Not</v>
      </c>
      <c r="G1101" s="28"/>
      <c r="H1101" s="28"/>
      <c r="I1101" s="28"/>
      <c r="J1101" s="28"/>
      <c r="K1101" s="28"/>
      <c r="L1101" s="28"/>
      <c r="M1101" s="28"/>
      <c r="N1101" s="21"/>
      <c r="O1101" s="28"/>
      <c r="P1101" s="38"/>
      <c r="Q1101" s="21"/>
      <c r="R1101" s="21"/>
      <c r="S1101" s="47"/>
      <c r="T1101" s="25">
        <f t="shared" si="37"/>
        <v>0</v>
      </c>
      <c r="U1101" s="25" t="str">
        <f>IF('PART III-DEMOGRAPHICS'!Q1111="","",'PART III-DEMOGRAPHICS'!Q1111)</f>
        <v/>
      </c>
    </row>
    <row r="1102" spans="1:21">
      <c r="A1102" s="25" t="str">
        <f>IF('PART III-DEMOGRAPHICS'!A1112="","",'PART III-DEMOGRAPHICS'!A1112)</f>
        <v/>
      </c>
      <c r="B1102" s="28"/>
      <c r="C1102" s="27"/>
      <c r="D1102" s="28"/>
      <c r="E1102" s="21"/>
      <c r="F1102" s="36" t="str">
        <f t="shared" ref="F1102:F1165" si="38">IF(OR(G1102="Yes",H1102="Yes",I1102="Yes",J1102="Yes",K1102="Yes",L1102="Yes",M1102="Yes"),"Did","Did Not")</f>
        <v>Did Not</v>
      </c>
      <c r="G1102" s="28"/>
      <c r="H1102" s="28"/>
      <c r="I1102" s="28"/>
      <c r="J1102" s="28"/>
      <c r="K1102" s="28"/>
      <c r="L1102" s="28"/>
      <c r="M1102" s="28"/>
      <c r="N1102" s="21"/>
      <c r="O1102" s="28"/>
      <c r="P1102" s="38"/>
      <c r="Q1102" s="21"/>
      <c r="R1102" s="21"/>
      <c r="S1102" s="47"/>
      <c r="T1102" s="25">
        <f t="shared" si="37"/>
        <v>0</v>
      </c>
      <c r="U1102" s="25" t="str">
        <f>IF('PART III-DEMOGRAPHICS'!Q1112="","",'PART III-DEMOGRAPHICS'!Q1112)</f>
        <v/>
      </c>
    </row>
    <row r="1103" spans="1:21">
      <c r="A1103" s="25" t="str">
        <f>IF('PART III-DEMOGRAPHICS'!A1113="","",'PART III-DEMOGRAPHICS'!A1113)</f>
        <v/>
      </c>
      <c r="B1103" s="28"/>
      <c r="C1103" s="27"/>
      <c r="D1103" s="28"/>
      <c r="E1103" s="21"/>
      <c r="F1103" s="36" t="str">
        <f t="shared" si="38"/>
        <v>Did Not</v>
      </c>
      <c r="G1103" s="28"/>
      <c r="H1103" s="28"/>
      <c r="I1103" s="28"/>
      <c r="J1103" s="28"/>
      <c r="K1103" s="28"/>
      <c r="L1103" s="28"/>
      <c r="M1103" s="28"/>
      <c r="N1103" s="21"/>
      <c r="O1103" s="28"/>
      <c r="P1103" s="38"/>
      <c r="Q1103" s="21"/>
      <c r="R1103" s="21"/>
      <c r="S1103" s="47"/>
      <c r="T1103" s="25">
        <f t="shared" si="37"/>
        <v>0</v>
      </c>
      <c r="U1103" s="25" t="str">
        <f>IF('PART III-DEMOGRAPHICS'!Q1113="","",'PART III-DEMOGRAPHICS'!Q1113)</f>
        <v/>
      </c>
    </row>
    <row r="1104" spans="1:21">
      <c r="A1104" s="25" t="str">
        <f>IF('PART III-DEMOGRAPHICS'!A1114="","",'PART III-DEMOGRAPHICS'!A1114)</f>
        <v/>
      </c>
      <c r="B1104" s="28"/>
      <c r="C1104" s="27"/>
      <c r="D1104" s="28"/>
      <c r="E1104" s="21"/>
      <c r="F1104" s="36" t="str">
        <f t="shared" si="38"/>
        <v>Did Not</v>
      </c>
      <c r="G1104" s="28"/>
      <c r="H1104" s="28"/>
      <c r="I1104" s="28"/>
      <c r="J1104" s="28"/>
      <c r="K1104" s="28"/>
      <c r="L1104" s="28"/>
      <c r="M1104" s="28"/>
      <c r="N1104" s="21"/>
      <c r="O1104" s="28"/>
      <c r="P1104" s="38"/>
      <c r="Q1104" s="21"/>
      <c r="R1104" s="21"/>
      <c r="S1104" s="47"/>
      <c r="T1104" s="25">
        <f t="shared" si="37"/>
        <v>0</v>
      </c>
      <c r="U1104" s="25" t="str">
        <f>IF('PART III-DEMOGRAPHICS'!Q1114="","",'PART III-DEMOGRAPHICS'!Q1114)</f>
        <v/>
      </c>
    </row>
    <row r="1105" spans="1:21">
      <c r="A1105" s="25" t="str">
        <f>IF('PART III-DEMOGRAPHICS'!A1115="","",'PART III-DEMOGRAPHICS'!A1115)</f>
        <v/>
      </c>
      <c r="B1105" s="28"/>
      <c r="C1105" s="27"/>
      <c r="D1105" s="28"/>
      <c r="E1105" s="21"/>
      <c r="F1105" s="36" t="str">
        <f t="shared" si="38"/>
        <v>Did Not</v>
      </c>
      <c r="G1105" s="28"/>
      <c r="H1105" s="28"/>
      <c r="I1105" s="28"/>
      <c r="J1105" s="28"/>
      <c r="K1105" s="28"/>
      <c r="L1105" s="28"/>
      <c r="M1105" s="28"/>
      <c r="N1105" s="21"/>
      <c r="O1105" s="28"/>
      <c r="P1105" s="38"/>
      <c r="Q1105" s="21"/>
      <c r="R1105" s="21"/>
      <c r="S1105" s="47"/>
      <c r="T1105" s="25">
        <f t="shared" si="37"/>
        <v>0</v>
      </c>
      <c r="U1105" s="25" t="str">
        <f>IF('PART III-DEMOGRAPHICS'!Q1115="","",'PART III-DEMOGRAPHICS'!Q1115)</f>
        <v/>
      </c>
    </row>
    <row r="1106" spans="1:21">
      <c r="A1106" s="25" t="str">
        <f>IF('PART III-DEMOGRAPHICS'!A1116="","",'PART III-DEMOGRAPHICS'!A1116)</f>
        <v/>
      </c>
      <c r="B1106" s="28"/>
      <c r="C1106" s="27"/>
      <c r="D1106" s="28"/>
      <c r="E1106" s="21"/>
      <c r="F1106" s="36" t="str">
        <f t="shared" si="38"/>
        <v>Did Not</v>
      </c>
      <c r="G1106" s="28"/>
      <c r="H1106" s="28"/>
      <c r="I1106" s="28"/>
      <c r="J1106" s="28"/>
      <c r="K1106" s="28"/>
      <c r="L1106" s="28"/>
      <c r="M1106" s="28"/>
      <c r="N1106" s="21"/>
      <c r="O1106" s="28"/>
      <c r="P1106" s="38"/>
      <c r="Q1106" s="21"/>
      <c r="R1106" s="21"/>
      <c r="S1106" s="47"/>
      <c r="T1106" s="25">
        <f t="shared" si="37"/>
        <v>0</v>
      </c>
      <c r="U1106" s="25" t="str">
        <f>IF('PART III-DEMOGRAPHICS'!Q1116="","",'PART III-DEMOGRAPHICS'!Q1116)</f>
        <v/>
      </c>
    </row>
    <row r="1107" spans="1:21">
      <c r="A1107" s="25" t="str">
        <f>IF('PART III-DEMOGRAPHICS'!A1117="","",'PART III-DEMOGRAPHICS'!A1117)</f>
        <v/>
      </c>
      <c r="B1107" s="28"/>
      <c r="C1107" s="27"/>
      <c r="D1107" s="28"/>
      <c r="E1107" s="21"/>
      <c r="F1107" s="36" t="str">
        <f t="shared" si="38"/>
        <v>Did Not</v>
      </c>
      <c r="G1107" s="28"/>
      <c r="H1107" s="28"/>
      <c r="I1107" s="28"/>
      <c r="J1107" s="28"/>
      <c r="K1107" s="28"/>
      <c r="L1107" s="28"/>
      <c r="M1107" s="28"/>
      <c r="N1107" s="21"/>
      <c r="O1107" s="28"/>
      <c r="P1107" s="38"/>
      <c r="Q1107" s="21"/>
      <c r="R1107" s="21"/>
      <c r="S1107" s="47"/>
      <c r="T1107" s="25">
        <f t="shared" si="37"/>
        <v>0</v>
      </c>
      <c r="U1107" s="25" t="str">
        <f>IF('PART III-DEMOGRAPHICS'!Q1117="","",'PART III-DEMOGRAPHICS'!Q1117)</f>
        <v/>
      </c>
    </row>
    <row r="1108" spans="1:21">
      <c r="A1108" s="25" t="str">
        <f>IF('PART III-DEMOGRAPHICS'!A1118="","",'PART III-DEMOGRAPHICS'!A1118)</f>
        <v/>
      </c>
      <c r="B1108" s="28"/>
      <c r="C1108" s="27"/>
      <c r="D1108" s="28"/>
      <c r="E1108" s="21"/>
      <c r="F1108" s="36" t="str">
        <f t="shared" si="38"/>
        <v>Did Not</v>
      </c>
      <c r="G1108" s="28"/>
      <c r="H1108" s="28"/>
      <c r="I1108" s="28"/>
      <c r="J1108" s="28"/>
      <c r="K1108" s="28"/>
      <c r="L1108" s="28"/>
      <c r="M1108" s="28"/>
      <c r="N1108" s="21"/>
      <c r="O1108" s="28"/>
      <c r="P1108" s="38"/>
      <c r="Q1108" s="21"/>
      <c r="R1108" s="21"/>
      <c r="S1108" s="47"/>
      <c r="T1108" s="25">
        <f t="shared" si="37"/>
        <v>0</v>
      </c>
      <c r="U1108" s="25" t="str">
        <f>IF('PART III-DEMOGRAPHICS'!Q1118="","",'PART III-DEMOGRAPHICS'!Q1118)</f>
        <v/>
      </c>
    </row>
    <row r="1109" spans="1:21">
      <c r="A1109" s="25" t="str">
        <f>IF('PART III-DEMOGRAPHICS'!A1119="","",'PART III-DEMOGRAPHICS'!A1119)</f>
        <v/>
      </c>
      <c r="B1109" s="28"/>
      <c r="C1109" s="27"/>
      <c r="D1109" s="28"/>
      <c r="E1109" s="21"/>
      <c r="F1109" s="36" t="str">
        <f t="shared" si="38"/>
        <v>Did Not</v>
      </c>
      <c r="G1109" s="28"/>
      <c r="H1109" s="28"/>
      <c r="I1109" s="28"/>
      <c r="J1109" s="28"/>
      <c r="K1109" s="28"/>
      <c r="L1109" s="28"/>
      <c r="M1109" s="28"/>
      <c r="N1109" s="21"/>
      <c r="O1109" s="28"/>
      <c r="P1109" s="38"/>
      <c r="Q1109" s="21"/>
      <c r="R1109" s="21"/>
      <c r="S1109" s="47"/>
      <c r="T1109" s="25">
        <f t="shared" si="37"/>
        <v>0</v>
      </c>
      <c r="U1109" s="25" t="str">
        <f>IF('PART III-DEMOGRAPHICS'!Q1119="","",'PART III-DEMOGRAPHICS'!Q1119)</f>
        <v/>
      </c>
    </row>
    <row r="1110" spans="1:21">
      <c r="A1110" s="25" t="str">
        <f>IF('PART III-DEMOGRAPHICS'!A1120="","",'PART III-DEMOGRAPHICS'!A1120)</f>
        <v/>
      </c>
      <c r="B1110" s="28"/>
      <c r="C1110" s="27"/>
      <c r="D1110" s="28"/>
      <c r="E1110" s="21"/>
      <c r="F1110" s="36" t="str">
        <f t="shared" si="38"/>
        <v>Did Not</v>
      </c>
      <c r="G1110" s="28"/>
      <c r="H1110" s="28"/>
      <c r="I1110" s="28"/>
      <c r="J1110" s="28"/>
      <c r="K1110" s="28"/>
      <c r="L1110" s="28"/>
      <c r="M1110" s="28"/>
      <c r="N1110" s="21"/>
      <c r="O1110" s="28"/>
      <c r="P1110" s="38"/>
      <c r="Q1110" s="21"/>
      <c r="R1110" s="21"/>
      <c r="S1110" s="47"/>
      <c r="T1110" s="25">
        <f t="shared" si="37"/>
        <v>0</v>
      </c>
      <c r="U1110" s="25" t="str">
        <f>IF('PART III-DEMOGRAPHICS'!Q1120="","",'PART III-DEMOGRAPHICS'!Q1120)</f>
        <v/>
      </c>
    </row>
    <row r="1111" spans="1:21">
      <c r="A1111" s="25" t="str">
        <f>IF('PART III-DEMOGRAPHICS'!A1121="","",'PART III-DEMOGRAPHICS'!A1121)</f>
        <v/>
      </c>
      <c r="B1111" s="28"/>
      <c r="C1111" s="27"/>
      <c r="D1111" s="28"/>
      <c r="E1111" s="21"/>
      <c r="F1111" s="36" t="str">
        <f t="shared" si="38"/>
        <v>Did Not</v>
      </c>
      <c r="G1111" s="28"/>
      <c r="H1111" s="28"/>
      <c r="I1111" s="28"/>
      <c r="J1111" s="28"/>
      <c r="K1111" s="28"/>
      <c r="L1111" s="28"/>
      <c r="M1111" s="28"/>
      <c r="N1111" s="21"/>
      <c r="O1111" s="28"/>
      <c r="P1111" s="38"/>
      <c r="Q1111" s="21"/>
      <c r="R1111" s="21"/>
      <c r="S1111" s="47"/>
      <c r="T1111" s="25">
        <f t="shared" si="37"/>
        <v>0</v>
      </c>
      <c r="U1111" s="25" t="str">
        <f>IF('PART III-DEMOGRAPHICS'!Q1121="","",'PART III-DEMOGRAPHICS'!Q1121)</f>
        <v/>
      </c>
    </row>
    <row r="1112" spans="1:21">
      <c r="A1112" s="25" t="str">
        <f>IF('PART III-DEMOGRAPHICS'!A1122="","",'PART III-DEMOGRAPHICS'!A1122)</f>
        <v/>
      </c>
      <c r="B1112" s="28"/>
      <c r="C1112" s="27"/>
      <c r="D1112" s="28"/>
      <c r="E1112" s="21"/>
      <c r="F1112" s="36" t="str">
        <f t="shared" si="38"/>
        <v>Did Not</v>
      </c>
      <c r="G1112" s="28"/>
      <c r="H1112" s="28"/>
      <c r="I1112" s="28"/>
      <c r="J1112" s="28"/>
      <c r="K1112" s="28"/>
      <c r="L1112" s="28"/>
      <c r="M1112" s="28"/>
      <c r="N1112" s="21"/>
      <c r="O1112" s="28"/>
      <c r="P1112" s="38"/>
      <c r="Q1112" s="21"/>
      <c r="R1112" s="21"/>
      <c r="S1112" s="47"/>
      <c r="T1112" s="25">
        <f t="shared" si="37"/>
        <v>0</v>
      </c>
      <c r="U1112" s="25" t="str">
        <f>IF('PART III-DEMOGRAPHICS'!Q1122="","",'PART III-DEMOGRAPHICS'!Q1122)</f>
        <v/>
      </c>
    </row>
    <row r="1113" spans="1:21">
      <c r="A1113" s="25" t="str">
        <f>IF('PART III-DEMOGRAPHICS'!A1123="","",'PART III-DEMOGRAPHICS'!A1123)</f>
        <v/>
      </c>
      <c r="B1113" s="28"/>
      <c r="C1113" s="27"/>
      <c r="D1113" s="28"/>
      <c r="E1113" s="21"/>
      <c r="F1113" s="36" t="str">
        <f t="shared" si="38"/>
        <v>Did Not</v>
      </c>
      <c r="G1113" s="28"/>
      <c r="H1113" s="28"/>
      <c r="I1113" s="28"/>
      <c r="J1113" s="28"/>
      <c r="K1113" s="28"/>
      <c r="L1113" s="28"/>
      <c r="M1113" s="28"/>
      <c r="N1113" s="21"/>
      <c r="O1113" s="28"/>
      <c r="P1113" s="38"/>
      <c r="Q1113" s="21"/>
      <c r="R1113" s="21"/>
      <c r="S1113" s="47"/>
      <c r="T1113" s="25">
        <f t="shared" si="37"/>
        <v>0</v>
      </c>
      <c r="U1113" s="25" t="str">
        <f>IF('PART III-DEMOGRAPHICS'!Q1123="","",'PART III-DEMOGRAPHICS'!Q1123)</f>
        <v/>
      </c>
    </row>
    <row r="1114" spans="1:21">
      <c r="A1114" s="25" t="str">
        <f>IF('PART III-DEMOGRAPHICS'!A1124="","",'PART III-DEMOGRAPHICS'!A1124)</f>
        <v/>
      </c>
      <c r="B1114" s="28"/>
      <c r="C1114" s="27"/>
      <c r="D1114" s="28"/>
      <c r="E1114" s="21"/>
      <c r="F1114" s="36" t="str">
        <f t="shared" si="38"/>
        <v>Did Not</v>
      </c>
      <c r="G1114" s="28"/>
      <c r="H1114" s="28"/>
      <c r="I1114" s="28"/>
      <c r="J1114" s="28"/>
      <c r="K1114" s="28"/>
      <c r="L1114" s="28"/>
      <c r="M1114" s="28"/>
      <c r="N1114" s="21"/>
      <c r="O1114" s="28"/>
      <c r="P1114" s="38"/>
      <c r="Q1114" s="21"/>
      <c r="R1114" s="21"/>
      <c r="S1114" s="47"/>
      <c r="T1114" s="25">
        <f t="shared" si="37"/>
        <v>0</v>
      </c>
      <c r="U1114" s="25" t="str">
        <f>IF('PART III-DEMOGRAPHICS'!Q1124="","",'PART III-DEMOGRAPHICS'!Q1124)</f>
        <v/>
      </c>
    </row>
    <row r="1115" spans="1:21">
      <c r="A1115" s="25" t="str">
        <f>IF('PART III-DEMOGRAPHICS'!A1125="","",'PART III-DEMOGRAPHICS'!A1125)</f>
        <v/>
      </c>
      <c r="B1115" s="28"/>
      <c r="C1115" s="27"/>
      <c r="D1115" s="28"/>
      <c r="E1115" s="21"/>
      <c r="F1115" s="36" t="str">
        <f t="shared" si="38"/>
        <v>Did Not</v>
      </c>
      <c r="G1115" s="28"/>
      <c r="H1115" s="28"/>
      <c r="I1115" s="28"/>
      <c r="J1115" s="28"/>
      <c r="K1115" s="28"/>
      <c r="L1115" s="28"/>
      <c r="M1115" s="28"/>
      <c r="N1115" s="21"/>
      <c r="O1115" s="28"/>
      <c r="P1115" s="38"/>
      <c r="Q1115" s="21"/>
      <c r="R1115" s="21"/>
      <c r="S1115" s="47"/>
      <c r="T1115" s="25">
        <f t="shared" si="37"/>
        <v>0</v>
      </c>
      <c r="U1115" s="25" t="str">
        <f>IF('PART III-DEMOGRAPHICS'!Q1125="","",'PART III-DEMOGRAPHICS'!Q1125)</f>
        <v/>
      </c>
    </row>
    <row r="1116" spans="1:21">
      <c r="A1116" s="25" t="str">
        <f>IF('PART III-DEMOGRAPHICS'!A1126="","",'PART III-DEMOGRAPHICS'!A1126)</f>
        <v/>
      </c>
      <c r="B1116" s="28"/>
      <c r="C1116" s="27"/>
      <c r="D1116" s="28"/>
      <c r="E1116" s="21"/>
      <c r="F1116" s="36" t="str">
        <f t="shared" si="38"/>
        <v>Did Not</v>
      </c>
      <c r="G1116" s="28"/>
      <c r="H1116" s="28"/>
      <c r="I1116" s="28"/>
      <c r="J1116" s="28"/>
      <c r="K1116" s="28"/>
      <c r="L1116" s="28"/>
      <c r="M1116" s="28"/>
      <c r="N1116" s="21"/>
      <c r="O1116" s="28"/>
      <c r="P1116" s="38"/>
      <c r="Q1116" s="21"/>
      <c r="R1116" s="21"/>
      <c r="S1116" s="47"/>
      <c r="T1116" s="25">
        <f t="shared" si="37"/>
        <v>0</v>
      </c>
      <c r="U1116" s="25" t="str">
        <f>IF('PART III-DEMOGRAPHICS'!Q1126="","",'PART III-DEMOGRAPHICS'!Q1126)</f>
        <v/>
      </c>
    </row>
    <row r="1117" spans="1:21">
      <c r="A1117" s="25" t="str">
        <f>IF('PART III-DEMOGRAPHICS'!A1127="","",'PART III-DEMOGRAPHICS'!A1127)</f>
        <v/>
      </c>
      <c r="B1117" s="28"/>
      <c r="C1117" s="27"/>
      <c r="D1117" s="28"/>
      <c r="E1117" s="21"/>
      <c r="F1117" s="36" t="str">
        <f t="shared" si="38"/>
        <v>Did Not</v>
      </c>
      <c r="G1117" s="28"/>
      <c r="H1117" s="28"/>
      <c r="I1117" s="28"/>
      <c r="J1117" s="28"/>
      <c r="K1117" s="28"/>
      <c r="L1117" s="28"/>
      <c r="M1117" s="28"/>
      <c r="N1117" s="21"/>
      <c r="O1117" s="28"/>
      <c r="P1117" s="38"/>
      <c r="Q1117" s="21"/>
      <c r="R1117" s="21"/>
      <c r="S1117" s="47"/>
      <c r="T1117" s="25">
        <f t="shared" si="37"/>
        <v>0</v>
      </c>
      <c r="U1117" s="25" t="str">
        <f>IF('PART III-DEMOGRAPHICS'!Q1127="","",'PART III-DEMOGRAPHICS'!Q1127)</f>
        <v/>
      </c>
    </row>
    <row r="1118" spans="1:21">
      <c r="A1118" s="25" t="str">
        <f>IF('PART III-DEMOGRAPHICS'!A1128="","",'PART III-DEMOGRAPHICS'!A1128)</f>
        <v/>
      </c>
      <c r="B1118" s="28"/>
      <c r="C1118" s="27"/>
      <c r="D1118" s="28"/>
      <c r="E1118" s="21"/>
      <c r="F1118" s="36" t="str">
        <f t="shared" si="38"/>
        <v>Did Not</v>
      </c>
      <c r="G1118" s="28"/>
      <c r="H1118" s="28"/>
      <c r="I1118" s="28"/>
      <c r="J1118" s="28"/>
      <c r="K1118" s="28"/>
      <c r="L1118" s="28"/>
      <c r="M1118" s="28"/>
      <c r="N1118" s="21"/>
      <c r="O1118" s="28"/>
      <c r="P1118" s="38"/>
      <c r="Q1118" s="21"/>
      <c r="R1118" s="21"/>
      <c r="S1118" s="47"/>
      <c r="T1118" s="25">
        <f t="shared" si="37"/>
        <v>0</v>
      </c>
      <c r="U1118" s="25" t="str">
        <f>IF('PART III-DEMOGRAPHICS'!Q1128="","",'PART III-DEMOGRAPHICS'!Q1128)</f>
        <v/>
      </c>
    </row>
    <row r="1119" spans="1:21">
      <c r="A1119" s="25" t="str">
        <f>IF('PART III-DEMOGRAPHICS'!A1129="","",'PART III-DEMOGRAPHICS'!A1129)</f>
        <v/>
      </c>
      <c r="B1119" s="28"/>
      <c r="C1119" s="27"/>
      <c r="D1119" s="28"/>
      <c r="E1119" s="21"/>
      <c r="F1119" s="36" t="str">
        <f t="shared" si="38"/>
        <v>Did Not</v>
      </c>
      <c r="G1119" s="28"/>
      <c r="H1119" s="28"/>
      <c r="I1119" s="28"/>
      <c r="J1119" s="28"/>
      <c r="K1119" s="28"/>
      <c r="L1119" s="28"/>
      <c r="M1119" s="28"/>
      <c r="N1119" s="21"/>
      <c r="O1119" s="28"/>
      <c r="P1119" s="38"/>
      <c r="Q1119" s="21"/>
      <c r="R1119" s="21"/>
      <c r="S1119" s="47"/>
      <c r="T1119" s="25">
        <f t="shared" si="37"/>
        <v>0</v>
      </c>
      <c r="U1119" s="25" t="str">
        <f>IF('PART III-DEMOGRAPHICS'!Q1129="","",'PART III-DEMOGRAPHICS'!Q1129)</f>
        <v/>
      </c>
    </row>
    <row r="1120" spans="1:21">
      <c r="A1120" s="25" t="str">
        <f>IF('PART III-DEMOGRAPHICS'!A1130="","",'PART III-DEMOGRAPHICS'!A1130)</f>
        <v/>
      </c>
      <c r="B1120" s="28"/>
      <c r="C1120" s="27"/>
      <c r="D1120" s="28"/>
      <c r="E1120" s="21"/>
      <c r="F1120" s="36" t="str">
        <f t="shared" si="38"/>
        <v>Did Not</v>
      </c>
      <c r="G1120" s="28"/>
      <c r="H1120" s="28"/>
      <c r="I1120" s="28"/>
      <c r="J1120" s="28"/>
      <c r="K1120" s="28"/>
      <c r="L1120" s="28"/>
      <c r="M1120" s="28"/>
      <c r="N1120" s="21"/>
      <c r="O1120" s="28"/>
      <c r="P1120" s="38"/>
      <c r="Q1120" s="21"/>
      <c r="R1120" s="21"/>
      <c r="S1120" s="47"/>
      <c r="T1120" s="25">
        <f t="shared" si="37"/>
        <v>0</v>
      </c>
      <c r="U1120" s="25" t="str">
        <f>IF('PART III-DEMOGRAPHICS'!Q1130="","",'PART III-DEMOGRAPHICS'!Q1130)</f>
        <v/>
      </c>
    </row>
    <row r="1121" spans="1:21">
      <c r="A1121" s="25" t="str">
        <f>IF('PART III-DEMOGRAPHICS'!A1131="","",'PART III-DEMOGRAPHICS'!A1131)</f>
        <v/>
      </c>
      <c r="B1121" s="28"/>
      <c r="C1121" s="27"/>
      <c r="D1121" s="28"/>
      <c r="E1121" s="21"/>
      <c r="F1121" s="36" t="str">
        <f t="shared" si="38"/>
        <v>Did Not</v>
      </c>
      <c r="G1121" s="28"/>
      <c r="H1121" s="28"/>
      <c r="I1121" s="28"/>
      <c r="J1121" s="28"/>
      <c r="K1121" s="28"/>
      <c r="L1121" s="28"/>
      <c r="M1121" s="28"/>
      <c r="N1121" s="21"/>
      <c r="O1121" s="28"/>
      <c r="P1121" s="38"/>
      <c r="Q1121" s="21"/>
      <c r="R1121" s="21"/>
      <c r="S1121" s="47"/>
      <c r="T1121" s="25">
        <f t="shared" si="37"/>
        <v>0</v>
      </c>
      <c r="U1121" s="25" t="str">
        <f>IF('PART III-DEMOGRAPHICS'!Q1131="","",'PART III-DEMOGRAPHICS'!Q1131)</f>
        <v/>
      </c>
    </row>
    <row r="1122" spans="1:21">
      <c r="A1122" s="25" t="str">
        <f>IF('PART III-DEMOGRAPHICS'!A1132="","",'PART III-DEMOGRAPHICS'!A1132)</f>
        <v/>
      </c>
      <c r="B1122" s="28"/>
      <c r="C1122" s="27"/>
      <c r="D1122" s="28"/>
      <c r="E1122" s="21"/>
      <c r="F1122" s="36" t="str">
        <f t="shared" si="38"/>
        <v>Did Not</v>
      </c>
      <c r="G1122" s="28"/>
      <c r="H1122" s="28"/>
      <c r="I1122" s="28"/>
      <c r="J1122" s="28"/>
      <c r="K1122" s="28"/>
      <c r="L1122" s="28"/>
      <c r="M1122" s="28"/>
      <c r="N1122" s="21"/>
      <c r="O1122" s="28"/>
      <c r="P1122" s="38"/>
      <c r="Q1122" s="21"/>
      <c r="R1122" s="21"/>
      <c r="S1122" s="47"/>
      <c r="T1122" s="25">
        <f t="shared" si="37"/>
        <v>0</v>
      </c>
      <c r="U1122" s="25" t="str">
        <f>IF('PART III-DEMOGRAPHICS'!Q1132="","",'PART III-DEMOGRAPHICS'!Q1132)</f>
        <v/>
      </c>
    </row>
    <row r="1123" spans="1:21">
      <c r="A1123" s="25" t="str">
        <f>IF('PART III-DEMOGRAPHICS'!A1133="","",'PART III-DEMOGRAPHICS'!A1133)</f>
        <v/>
      </c>
      <c r="B1123" s="28"/>
      <c r="C1123" s="27"/>
      <c r="D1123" s="28"/>
      <c r="E1123" s="21"/>
      <c r="F1123" s="36" t="str">
        <f t="shared" si="38"/>
        <v>Did Not</v>
      </c>
      <c r="G1123" s="28"/>
      <c r="H1123" s="28"/>
      <c r="I1123" s="28"/>
      <c r="J1123" s="28"/>
      <c r="K1123" s="28"/>
      <c r="L1123" s="28"/>
      <c r="M1123" s="28"/>
      <c r="N1123" s="21"/>
      <c r="O1123" s="28"/>
      <c r="P1123" s="38"/>
      <c r="Q1123" s="21"/>
      <c r="R1123" s="21"/>
      <c r="S1123" s="47"/>
      <c r="T1123" s="25">
        <f t="shared" si="37"/>
        <v>0</v>
      </c>
      <c r="U1123" s="25" t="str">
        <f>IF('PART III-DEMOGRAPHICS'!Q1133="","",'PART III-DEMOGRAPHICS'!Q1133)</f>
        <v/>
      </c>
    </row>
    <row r="1124" spans="1:21">
      <c r="A1124" s="25" t="str">
        <f>IF('PART III-DEMOGRAPHICS'!A1134="","",'PART III-DEMOGRAPHICS'!A1134)</f>
        <v/>
      </c>
      <c r="B1124" s="28"/>
      <c r="C1124" s="27"/>
      <c r="D1124" s="28"/>
      <c r="E1124" s="21"/>
      <c r="F1124" s="36" t="str">
        <f t="shared" si="38"/>
        <v>Did Not</v>
      </c>
      <c r="G1124" s="28"/>
      <c r="H1124" s="28"/>
      <c r="I1124" s="28"/>
      <c r="J1124" s="28"/>
      <c r="K1124" s="28"/>
      <c r="L1124" s="28"/>
      <c r="M1124" s="28"/>
      <c r="N1124" s="21"/>
      <c r="O1124" s="28"/>
      <c r="P1124" s="38"/>
      <c r="Q1124" s="21"/>
      <c r="R1124" s="21"/>
      <c r="S1124" s="47"/>
      <c r="T1124" s="25">
        <f t="shared" si="37"/>
        <v>0</v>
      </c>
      <c r="U1124" s="25" t="str">
        <f>IF('PART III-DEMOGRAPHICS'!Q1134="","",'PART III-DEMOGRAPHICS'!Q1134)</f>
        <v/>
      </c>
    </row>
    <row r="1125" spans="1:21">
      <c r="A1125" s="25" t="str">
        <f>IF('PART III-DEMOGRAPHICS'!A1135="","",'PART III-DEMOGRAPHICS'!A1135)</f>
        <v/>
      </c>
      <c r="B1125" s="28"/>
      <c r="C1125" s="27"/>
      <c r="D1125" s="28"/>
      <c r="E1125" s="21"/>
      <c r="F1125" s="36" t="str">
        <f t="shared" si="38"/>
        <v>Did Not</v>
      </c>
      <c r="G1125" s="28"/>
      <c r="H1125" s="28"/>
      <c r="I1125" s="28"/>
      <c r="J1125" s="28"/>
      <c r="K1125" s="28"/>
      <c r="L1125" s="28"/>
      <c r="M1125" s="28"/>
      <c r="N1125" s="21"/>
      <c r="O1125" s="28"/>
      <c r="P1125" s="38"/>
      <c r="Q1125" s="21"/>
      <c r="R1125" s="21"/>
      <c r="S1125" s="47"/>
      <c r="T1125" s="25">
        <f t="shared" si="37"/>
        <v>0</v>
      </c>
      <c r="U1125" s="25" t="str">
        <f>IF('PART III-DEMOGRAPHICS'!Q1135="","",'PART III-DEMOGRAPHICS'!Q1135)</f>
        <v/>
      </c>
    </row>
    <row r="1126" spans="1:21">
      <c r="A1126" s="25" t="str">
        <f>IF('PART III-DEMOGRAPHICS'!A1136="","",'PART III-DEMOGRAPHICS'!A1136)</f>
        <v/>
      </c>
      <c r="B1126" s="28"/>
      <c r="C1126" s="27"/>
      <c r="D1126" s="28"/>
      <c r="E1126" s="21"/>
      <c r="F1126" s="36" t="str">
        <f t="shared" si="38"/>
        <v>Did Not</v>
      </c>
      <c r="G1126" s="28"/>
      <c r="H1126" s="28"/>
      <c r="I1126" s="28"/>
      <c r="J1126" s="28"/>
      <c r="K1126" s="28"/>
      <c r="L1126" s="28"/>
      <c r="M1126" s="28"/>
      <c r="N1126" s="21"/>
      <c r="O1126" s="28"/>
      <c r="P1126" s="38"/>
      <c r="Q1126" s="21"/>
      <c r="R1126" s="21"/>
      <c r="S1126" s="47"/>
      <c r="T1126" s="25">
        <f t="shared" si="37"/>
        <v>0</v>
      </c>
      <c r="U1126" s="25" t="str">
        <f>IF('PART III-DEMOGRAPHICS'!Q1136="","",'PART III-DEMOGRAPHICS'!Q1136)</f>
        <v/>
      </c>
    </row>
    <row r="1127" spans="1:21">
      <c r="A1127" s="25" t="str">
        <f>IF('PART III-DEMOGRAPHICS'!A1137="","",'PART III-DEMOGRAPHICS'!A1137)</f>
        <v/>
      </c>
      <c r="B1127" s="28"/>
      <c r="C1127" s="27"/>
      <c r="D1127" s="28"/>
      <c r="E1127" s="21"/>
      <c r="F1127" s="36" t="str">
        <f t="shared" si="38"/>
        <v>Did Not</v>
      </c>
      <c r="G1127" s="28"/>
      <c r="H1127" s="28"/>
      <c r="I1127" s="28"/>
      <c r="J1127" s="28"/>
      <c r="K1127" s="28"/>
      <c r="L1127" s="28"/>
      <c r="M1127" s="28"/>
      <c r="N1127" s="21"/>
      <c r="O1127" s="28"/>
      <c r="P1127" s="38"/>
      <c r="Q1127" s="21"/>
      <c r="R1127" s="21"/>
      <c r="S1127" s="47"/>
      <c r="T1127" s="25">
        <f t="shared" si="37"/>
        <v>0</v>
      </c>
      <c r="U1127" s="25" t="str">
        <f>IF('PART III-DEMOGRAPHICS'!Q1137="","",'PART III-DEMOGRAPHICS'!Q1137)</f>
        <v/>
      </c>
    </row>
    <row r="1128" spans="1:21">
      <c r="A1128" s="25" t="str">
        <f>IF('PART III-DEMOGRAPHICS'!A1138="","",'PART III-DEMOGRAPHICS'!A1138)</f>
        <v/>
      </c>
      <c r="B1128" s="28"/>
      <c r="C1128" s="27"/>
      <c r="D1128" s="28"/>
      <c r="E1128" s="21"/>
      <c r="F1128" s="36" t="str">
        <f t="shared" si="38"/>
        <v>Did Not</v>
      </c>
      <c r="G1128" s="28"/>
      <c r="H1128" s="28"/>
      <c r="I1128" s="28"/>
      <c r="J1128" s="28"/>
      <c r="K1128" s="28"/>
      <c r="L1128" s="28"/>
      <c r="M1128" s="28"/>
      <c r="N1128" s="21"/>
      <c r="O1128" s="28"/>
      <c r="P1128" s="38"/>
      <c r="Q1128" s="21"/>
      <c r="R1128" s="21"/>
      <c r="S1128" s="47"/>
      <c r="T1128" s="25">
        <f t="shared" si="37"/>
        <v>0</v>
      </c>
      <c r="U1128" s="25" t="str">
        <f>IF('PART III-DEMOGRAPHICS'!Q1138="","",'PART III-DEMOGRAPHICS'!Q1138)</f>
        <v/>
      </c>
    </row>
    <row r="1129" spans="1:21">
      <c r="A1129" s="25" t="str">
        <f>IF('PART III-DEMOGRAPHICS'!A1139="","",'PART III-DEMOGRAPHICS'!A1139)</f>
        <v/>
      </c>
      <c r="B1129" s="28"/>
      <c r="C1129" s="27"/>
      <c r="D1129" s="28"/>
      <c r="E1129" s="21"/>
      <c r="F1129" s="36" t="str">
        <f t="shared" si="38"/>
        <v>Did Not</v>
      </c>
      <c r="G1129" s="28"/>
      <c r="H1129" s="28"/>
      <c r="I1129" s="28"/>
      <c r="J1129" s="28"/>
      <c r="K1129" s="28"/>
      <c r="L1129" s="28"/>
      <c r="M1129" s="28"/>
      <c r="N1129" s="21"/>
      <c r="O1129" s="28"/>
      <c r="P1129" s="38"/>
      <c r="Q1129" s="21"/>
      <c r="R1129" s="21"/>
      <c r="S1129" s="47"/>
      <c r="T1129" s="25">
        <f t="shared" si="37"/>
        <v>0</v>
      </c>
      <c r="U1129" s="25" t="str">
        <f>IF('PART III-DEMOGRAPHICS'!Q1139="","",'PART III-DEMOGRAPHICS'!Q1139)</f>
        <v/>
      </c>
    </row>
    <row r="1130" spans="1:21">
      <c r="A1130" s="25" t="str">
        <f>IF('PART III-DEMOGRAPHICS'!A1140="","",'PART III-DEMOGRAPHICS'!A1140)</f>
        <v/>
      </c>
      <c r="B1130" s="28"/>
      <c r="C1130" s="27"/>
      <c r="D1130" s="28"/>
      <c r="E1130" s="21"/>
      <c r="F1130" s="36" t="str">
        <f t="shared" si="38"/>
        <v>Did Not</v>
      </c>
      <c r="G1130" s="28"/>
      <c r="H1130" s="28"/>
      <c r="I1130" s="28"/>
      <c r="J1130" s="28"/>
      <c r="K1130" s="28"/>
      <c r="L1130" s="28"/>
      <c r="M1130" s="28"/>
      <c r="N1130" s="21"/>
      <c r="O1130" s="28"/>
      <c r="P1130" s="38"/>
      <c r="Q1130" s="21"/>
      <c r="R1130" s="21"/>
      <c r="S1130" s="47"/>
      <c r="T1130" s="25">
        <f t="shared" si="37"/>
        <v>0</v>
      </c>
      <c r="U1130" s="25" t="str">
        <f>IF('PART III-DEMOGRAPHICS'!Q1140="","",'PART III-DEMOGRAPHICS'!Q1140)</f>
        <v/>
      </c>
    </row>
    <row r="1131" spans="1:21">
      <c r="A1131" s="25" t="str">
        <f>IF('PART III-DEMOGRAPHICS'!A1141="","",'PART III-DEMOGRAPHICS'!A1141)</f>
        <v/>
      </c>
      <c r="B1131" s="28"/>
      <c r="C1131" s="27"/>
      <c r="D1131" s="28"/>
      <c r="E1131" s="21"/>
      <c r="F1131" s="36" t="str">
        <f t="shared" si="38"/>
        <v>Did Not</v>
      </c>
      <c r="G1131" s="28"/>
      <c r="H1131" s="28"/>
      <c r="I1131" s="28"/>
      <c r="J1131" s="28"/>
      <c r="K1131" s="28"/>
      <c r="L1131" s="28"/>
      <c r="M1131" s="28"/>
      <c r="N1131" s="21"/>
      <c r="O1131" s="28"/>
      <c r="P1131" s="38"/>
      <c r="Q1131" s="21"/>
      <c r="R1131" s="21"/>
      <c r="S1131" s="47"/>
      <c r="T1131" s="25">
        <f t="shared" si="37"/>
        <v>0</v>
      </c>
      <c r="U1131" s="25" t="str">
        <f>IF('PART III-DEMOGRAPHICS'!Q1141="","",'PART III-DEMOGRAPHICS'!Q1141)</f>
        <v/>
      </c>
    </row>
    <row r="1132" spans="1:21">
      <c r="A1132" s="25" t="str">
        <f>IF('PART III-DEMOGRAPHICS'!A1142="","",'PART III-DEMOGRAPHICS'!A1142)</f>
        <v/>
      </c>
      <c r="B1132" s="28"/>
      <c r="C1132" s="27"/>
      <c r="D1132" s="28"/>
      <c r="E1132" s="21"/>
      <c r="F1132" s="36" t="str">
        <f t="shared" si="38"/>
        <v>Did Not</v>
      </c>
      <c r="G1132" s="28"/>
      <c r="H1132" s="28"/>
      <c r="I1132" s="28"/>
      <c r="J1132" s="28"/>
      <c r="K1132" s="28"/>
      <c r="L1132" s="28"/>
      <c r="M1132" s="28"/>
      <c r="N1132" s="21"/>
      <c r="O1132" s="28"/>
      <c r="P1132" s="38"/>
      <c r="Q1132" s="21"/>
      <c r="R1132" s="21"/>
      <c r="S1132" s="47"/>
      <c r="T1132" s="25">
        <f t="shared" si="37"/>
        <v>0</v>
      </c>
      <c r="U1132" s="25" t="str">
        <f>IF('PART III-DEMOGRAPHICS'!Q1142="","",'PART III-DEMOGRAPHICS'!Q1142)</f>
        <v/>
      </c>
    </row>
    <row r="1133" spans="1:21">
      <c r="A1133" s="25" t="str">
        <f>IF('PART III-DEMOGRAPHICS'!A1143="","",'PART III-DEMOGRAPHICS'!A1143)</f>
        <v/>
      </c>
      <c r="B1133" s="28"/>
      <c r="C1133" s="27"/>
      <c r="D1133" s="28"/>
      <c r="E1133" s="21"/>
      <c r="F1133" s="36" t="str">
        <f t="shared" si="38"/>
        <v>Did Not</v>
      </c>
      <c r="G1133" s="28"/>
      <c r="H1133" s="28"/>
      <c r="I1133" s="28"/>
      <c r="J1133" s="28"/>
      <c r="K1133" s="28"/>
      <c r="L1133" s="28"/>
      <c r="M1133" s="28"/>
      <c r="N1133" s="21"/>
      <c r="O1133" s="28"/>
      <c r="P1133" s="38"/>
      <c r="Q1133" s="21"/>
      <c r="R1133" s="21"/>
      <c r="S1133" s="47"/>
      <c r="T1133" s="25">
        <f t="shared" si="37"/>
        <v>0</v>
      </c>
      <c r="U1133" s="25" t="str">
        <f>IF('PART III-DEMOGRAPHICS'!Q1143="","",'PART III-DEMOGRAPHICS'!Q1143)</f>
        <v/>
      </c>
    </row>
    <row r="1134" spans="1:21">
      <c r="A1134" s="25" t="str">
        <f>IF('PART III-DEMOGRAPHICS'!A1144="","",'PART III-DEMOGRAPHICS'!A1144)</f>
        <v/>
      </c>
      <c r="B1134" s="28"/>
      <c r="C1134" s="27"/>
      <c r="D1134" s="28"/>
      <c r="E1134" s="21"/>
      <c r="F1134" s="36" t="str">
        <f t="shared" si="38"/>
        <v>Did Not</v>
      </c>
      <c r="G1134" s="28"/>
      <c r="H1134" s="28"/>
      <c r="I1134" s="28"/>
      <c r="J1134" s="28"/>
      <c r="K1134" s="28"/>
      <c r="L1134" s="28"/>
      <c r="M1134" s="28"/>
      <c r="N1134" s="21"/>
      <c r="O1134" s="28"/>
      <c r="P1134" s="38"/>
      <c r="Q1134" s="21"/>
      <c r="R1134" s="21"/>
      <c r="S1134" s="47"/>
      <c r="T1134" s="25">
        <f t="shared" si="37"/>
        <v>0</v>
      </c>
      <c r="U1134" s="25" t="str">
        <f>IF('PART III-DEMOGRAPHICS'!Q1144="","",'PART III-DEMOGRAPHICS'!Q1144)</f>
        <v/>
      </c>
    </row>
    <row r="1135" spans="1:21">
      <c r="A1135" s="25" t="str">
        <f>IF('PART III-DEMOGRAPHICS'!A1145="","",'PART III-DEMOGRAPHICS'!A1145)</f>
        <v/>
      </c>
      <c r="B1135" s="28"/>
      <c r="C1135" s="27"/>
      <c r="D1135" s="28"/>
      <c r="E1135" s="21"/>
      <c r="F1135" s="36" t="str">
        <f t="shared" si="38"/>
        <v>Did Not</v>
      </c>
      <c r="G1135" s="28"/>
      <c r="H1135" s="28"/>
      <c r="I1135" s="28"/>
      <c r="J1135" s="28"/>
      <c r="K1135" s="28"/>
      <c r="L1135" s="28"/>
      <c r="M1135" s="28"/>
      <c r="N1135" s="21"/>
      <c r="O1135" s="28"/>
      <c r="P1135" s="38"/>
      <c r="Q1135" s="21"/>
      <c r="R1135" s="21"/>
      <c r="S1135" s="47"/>
      <c r="T1135" s="25">
        <f t="shared" si="37"/>
        <v>0</v>
      </c>
      <c r="U1135" s="25" t="str">
        <f>IF('PART III-DEMOGRAPHICS'!Q1145="","",'PART III-DEMOGRAPHICS'!Q1145)</f>
        <v/>
      </c>
    </row>
    <row r="1136" spans="1:21">
      <c r="A1136" s="25" t="str">
        <f>IF('PART III-DEMOGRAPHICS'!A1146="","",'PART III-DEMOGRAPHICS'!A1146)</f>
        <v/>
      </c>
      <c r="B1136" s="28"/>
      <c r="C1136" s="27"/>
      <c r="D1136" s="28"/>
      <c r="E1136" s="21"/>
      <c r="F1136" s="36" t="str">
        <f t="shared" si="38"/>
        <v>Did Not</v>
      </c>
      <c r="G1136" s="28"/>
      <c r="H1136" s="28"/>
      <c r="I1136" s="28"/>
      <c r="J1136" s="28"/>
      <c r="K1136" s="28"/>
      <c r="L1136" s="28"/>
      <c r="M1136" s="28"/>
      <c r="N1136" s="21"/>
      <c r="O1136" s="28"/>
      <c r="P1136" s="38"/>
      <c r="Q1136" s="21"/>
      <c r="R1136" s="21"/>
      <c r="S1136" s="47"/>
      <c r="T1136" s="25">
        <f t="shared" si="37"/>
        <v>0</v>
      </c>
      <c r="U1136" s="25" t="str">
        <f>IF('PART III-DEMOGRAPHICS'!Q1146="","",'PART III-DEMOGRAPHICS'!Q1146)</f>
        <v/>
      </c>
    </row>
    <row r="1137" spans="1:21">
      <c r="A1137" s="25" t="str">
        <f>IF('PART III-DEMOGRAPHICS'!A1147="","",'PART III-DEMOGRAPHICS'!A1147)</f>
        <v/>
      </c>
      <c r="B1137" s="28"/>
      <c r="C1137" s="27"/>
      <c r="D1137" s="28"/>
      <c r="E1137" s="21"/>
      <c r="F1137" s="36" t="str">
        <f t="shared" si="38"/>
        <v>Did Not</v>
      </c>
      <c r="G1137" s="28"/>
      <c r="H1137" s="28"/>
      <c r="I1137" s="28"/>
      <c r="J1137" s="28"/>
      <c r="K1137" s="28"/>
      <c r="L1137" s="28"/>
      <c r="M1137" s="28"/>
      <c r="N1137" s="21"/>
      <c r="O1137" s="28"/>
      <c r="P1137" s="38"/>
      <c r="Q1137" s="21"/>
      <c r="R1137" s="21"/>
      <c r="S1137" s="47"/>
      <c r="T1137" s="25">
        <f t="shared" si="37"/>
        <v>0</v>
      </c>
      <c r="U1137" s="25" t="str">
        <f>IF('PART III-DEMOGRAPHICS'!Q1147="","",'PART III-DEMOGRAPHICS'!Q1147)</f>
        <v/>
      </c>
    </row>
    <row r="1138" spans="1:21">
      <c r="A1138" s="25" t="str">
        <f>IF('PART III-DEMOGRAPHICS'!A1148="","",'PART III-DEMOGRAPHICS'!A1148)</f>
        <v/>
      </c>
      <c r="B1138" s="28"/>
      <c r="C1138" s="27"/>
      <c r="D1138" s="28"/>
      <c r="E1138" s="21"/>
      <c r="F1138" s="36" t="str">
        <f t="shared" si="38"/>
        <v>Did Not</v>
      </c>
      <c r="G1138" s="28"/>
      <c r="H1138" s="28"/>
      <c r="I1138" s="28"/>
      <c r="J1138" s="28"/>
      <c r="K1138" s="28"/>
      <c r="L1138" s="28"/>
      <c r="M1138" s="28"/>
      <c r="N1138" s="21"/>
      <c r="O1138" s="28"/>
      <c r="P1138" s="38"/>
      <c r="Q1138" s="21"/>
      <c r="R1138" s="21"/>
      <c r="S1138" s="47"/>
      <c r="T1138" s="25">
        <f t="shared" si="37"/>
        <v>0</v>
      </c>
      <c r="U1138" s="25" t="str">
        <f>IF('PART III-DEMOGRAPHICS'!Q1148="","",'PART III-DEMOGRAPHICS'!Q1148)</f>
        <v/>
      </c>
    </row>
    <row r="1139" spans="1:21">
      <c r="A1139" s="25" t="str">
        <f>IF('PART III-DEMOGRAPHICS'!A1149="","",'PART III-DEMOGRAPHICS'!A1149)</f>
        <v/>
      </c>
      <c r="B1139" s="28"/>
      <c r="C1139" s="27"/>
      <c r="D1139" s="28"/>
      <c r="E1139" s="21"/>
      <c r="F1139" s="36" t="str">
        <f t="shared" si="38"/>
        <v>Did Not</v>
      </c>
      <c r="G1139" s="28"/>
      <c r="H1139" s="28"/>
      <c r="I1139" s="28"/>
      <c r="J1139" s="28"/>
      <c r="K1139" s="28"/>
      <c r="L1139" s="28"/>
      <c r="M1139" s="28"/>
      <c r="N1139" s="21"/>
      <c r="O1139" s="28"/>
      <c r="P1139" s="38"/>
      <c r="Q1139" s="21"/>
      <c r="R1139" s="21"/>
      <c r="S1139" s="47"/>
      <c r="T1139" s="25">
        <f t="shared" si="37"/>
        <v>0</v>
      </c>
      <c r="U1139" s="25" t="str">
        <f>IF('PART III-DEMOGRAPHICS'!Q1149="","",'PART III-DEMOGRAPHICS'!Q1149)</f>
        <v/>
      </c>
    </row>
    <row r="1140" spans="1:21">
      <c r="A1140" s="25" t="str">
        <f>IF('PART III-DEMOGRAPHICS'!A1150="","",'PART III-DEMOGRAPHICS'!A1150)</f>
        <v/>
      </c>
      <c r="B1140" s="28"/>
      <c r="C1140" s="27"/>
      <c r="D1140" s="28"/>
      <c r="E1140" s="21"/>
      <c r="F1140" s="36" t="str">
        <f t="shared" si="38"/>
        <v>Did Not</v>
      </c>
      <c r="G1140" s="28"/>
      <c r="H1140" s="28"/>
      <c r="I1140" s="28"/>
      <c r="J1140" s="28"/>
      <c r="K1140" s="28"/>
      <c r="L1140" s="28"/>
      <c r="M1140" s="28"/>
      <c r="N1140" s="21"/>
      <c r="O1140" s="28"/>
      <c r="P1140" s="38"/>
      <c r="Q1140" s="21"/>
      <c r="R1140" s="21"/>
      <c r="S1140" s="47"/>
      <c r="T1140" s="25">
        <f t="shared" si="37"/>
        <v>0</v>
      </c>
      <c r="U1140" s="25" t="str">
        <f>IF('PART III-DEMOGRAPHICS'!Q1150="","",'PART III-DEMOGRAPHICS'!Q1150)</f>
        <v/>
      </c>
    </row>
    <row r="1141" spans="1:21">
      <c r="A1141" s="25" t="str">
        <f>IF('PART III-DEMOGRAPHICS'!A1151="","",'PART III-DEMOGRAPHICS'!A1151)</f>
        <v/>
      </c>
      <c r="B1141" s="28"/>
      <c r="C1141" s="27"/>
      <c r="D1141" s="28"/>
      <c r="E1141" s="21"/>
      <c r="F1141" s="36" t="str">
        <f t="shared" si="38"/>
        <v>Did Not</v>
      </c>
      <c r="G1141" s="28"/>
      <c r="H1141" s="28"/>
      <c r="I1141" s="28"/>
      <c r="J1141" s="28"/>
      <c r="K1141" s="28"/>
      <c r="L1141" s="28"/>
      <c r="M1141" s="28"/>
      <c r="N1141" s="21"/>
      <c r="O1141" s="28"/>
      <c r="P1141" s="38"/>
      <c r="Q1141" s="21"/>
      <c r="R1141" s="21"/>
      <c r="S1141" s="47"/>
      <c r="T1141" s="25">
        <f t="shared" si="37"/>
        <v>0</v>
      </c>
      <c r="U1141" s="25" t="str">
        <f>IF('PART III-DEMOGRAPHICS'!Q1151="","",'PART III-DEMOGRAPHICS'!Q1151)</f>
        <v/>
      </c>
    </row>
    <row r="1142" spans="1:21">
      <c r="A1142" s="25" t="str">
        <f>IF('PART III-DEMOGRAPHICS'!A1152="","",'PART III-DEMOGRAPHICS'!A1152)</f>
        <v/>
      </c>
      <c r="B1142" s="28"/>
      <c r="C1142" s="27"/>
      <c r="D1142" s="28"/>
      <c r="E1142" s="21"/>
      <c r="F1142" s="36" t="str">
        <f t="shared" si="38"/>
        <v>Did Not</v>
      </c>
      <c r="G1142" s="28"/>
      <c r="H1142" s="28"/>
      <c r="I1142" s="28"/>
      <c r="J1142" s="28"/>
      <c r="K1142" s="28"/>
      <c r="L1142" s="28"/>
      <c r="M1142" s="28"/>
      <c r="N1142" s="21"/>
      <c r="O1142" s="28"/>
      <c r="P1142" s="38"/>
      <c r="Q1142" s="21"/>
      <c r="R1142" s="21"/>
      <c r="S1142" s="47"/>
      <c r="T1142" s="25">
        <f t="shared" si="37"/>
        <v>0</v>
      </c>
      <c r="U1142" s="25" t="str">
        <f>IF('PART III-DEMOGRAPHICS'!Q1152="","",'PART III-DEMOGRAPHICS'!Q1152)</f>
        <v/>
      </c>
    </row>
    <row r="1143" spans="1:21">
      <c r="A1143" s="25" t="str">
        <f>IF('PART III-DEMOGRAPHICS'!A1153="","",'PART III-DEMOGRAPHICS'!A1153)</f>
        <v/>
      </c>
      <c r="B1143" s="28"/>
      <c r="C1143" s="27"/>
      <c r="D1143" s="28"/>
      <c r="E1143" s="21"/>
      <c r="F1143" s="36" t="str">
        <f t="shared" si="38"/>
        <v>Did Not</v>
      </c>
      <c r="G1143" s="28"/>
      <c r="H1143" s="28"/>
      <c r="I1143" s="28"/>
      <c r="J1143" s="28"/>
      <c r="K1143" s="28"/>
      <c r="L1143" s="28"/>
      <c r="M1143" s="28"/>
      <c r="N1143" s="21"/>
      <c r="O1143" s="28"/>
      <c r="P1143" s="38"/>
      <c r="Q1143" s="21"/>
      <c r="R1143" s="21"/>
      <c r="S1143" s="47"/>
      <c r="T1143" s="25">
        <f t="shared" si="37"/>
        <v>0</v>
      </c>
      <c r="U1143" s="25" t="str">
        <f>IF('PART III-DEMOGRAPHICS'!Q1153="","",'PART III-DEMOGRAPHICS'!Q1153)</f>
        <v/>
      </c>
    </row>
    <row r="1144" spans="1:21">
      <c r="A1144" s="25" t="str">
        <f>IF('PART III-DEMOGRAPHICS'!A1154="","",'PART III-DEMOGRAPHICS'!A1154)</f>
        <v/>
      </c>
      <c r="B1144" s="28"/>
      <c r="C1144" s="27"/>
      <c r="D1144" s="28"/>
      <c r="E1144" s="21"/>
      <c r="F1144" s="36" t="str">
        <f t="shared" si="38"/>
        <v>Did Not</v>
      </c>
      <c r="G1144" s="28"/>
      <c r="H1144" s="28"/>
      <c r="I1144" s="28"/>
      <c r="J1144" s="28"/>
      <c r="K1144" s="28"/>
      <c r="L1144" s="28"/>
      <c r="M1144" s="28"/>
      <c r="N1144" s="21"/>
      <c r="O1144" s="28"/>
      <c r="P1144" s="38"/>
      <c r="Q1144" s="21"/>
      <c r="R1144" s="21"/>
      <c r="S1144" s="47"/>
      <c r="T1144" s="25">
        <f t="shared" si="37"/>
        <v>0</v>
      </c>
      <c r="U1144" s="25" t="str">
        <f>IF('PART III-DEMOGRAPHICS'!Q1154="","",'PART III-DEMOGRAPHICS'!Q1154)</f>
        <v/>
      </c>
    </row>
    <row r="1145" spans="1:21">
      <c r="A1145" s="25" t="str">
        <f>IF('PART III-DEMOGRAPHICS'!A1155="","",'PART III-DEMOGRAPHICS'!A1155)</f>
        <v/>
      </c>
      <c r="B1145" s="28"/>
      <c r="C1145" s="27"/>
      <c r="D1145" s="28"/>
      <c r="E1145" s="21"/>
      <c r="F1145" s="36" t="str">
        <f t="shared" si="38"/>
        <v>Did Not</v>
      </c>
      <c r="G1145" s="28"/>
      <c r="H1145" s="28"/>
      <c r="I1145" s="28"/>
      <c r="J1145" s="28"/>
      <c r="K1145" s="28"/>
      <c r="L1145" s="28"/>
      <c r="M1145" s="28"/>
      <c r="N1145" s="21"/>
      <c r="O1145" s="28"/>
      <c r="P1145" s="38"/>
      <c r="Q1145" s="21"/>
      <c r="R1145" s="21"/>
      <c r="S1145" s="47"/>
      <c r="T1145" s="25">
        <f t="shared" si="37"/>
        <v>0</v>
      </c>
      <c r="U1145" s="25" t="str">
        <f>IF('PART III-DEMOGRAPHICS'!Q1155="","",'PART III-DEMOGRAPHICS'!Q1155)</f>
        <v/>
      </c>
    </row>
    <row r="1146" spans="1:21">
      <c r="A1146" s="25" t="str">
        <f>IF('PART III-DEMOGRAPHICS'!A1156="","",'PART III-DEMOGRAPHICS'!A1156)</f>
        <v/>
      </c>
      <c r="B1146" s="28"/>
      <c r="C1146" s="27"/>
      <c r="D1146" s="28"/>
      <c r="E1146" s="21"/>
      <c r="F1146" s="36" t="str">
        <f t="shared" si="38"/>
        <v>Did Not</v>
      </c>
      <c r="G1146" s="28"/>
      <c r="H1146" s="28"/>
      <c r="I1146" s="28"/>
      <c r="J1146" s="28"/>
      <c r="K1146" s="28"/>
      <c r="L1146" s="28"/>
      <c r="M1146" s="28"/>
      <c r="N1146" s="21"/>
      <c r="O1146" s="28"/>
      <c r="P1146" s="38"/>
      <c r="Q1146" s="21"/>
      <c r="R1146" s="21"/>
      <c r="S1146" s="47"/>
      <c r="T1146" s="25">
        <f t="shared" si="37"/>
        <v>0</v>
      </c>
      <c r="U1146" s="25" t="str">
        <f>IF('PART III-DEMOGRAPHICS'!Q1156="","",'PART III-DEMOGRAPHICS'!Q1156)</f>
        <v/>
      </c>
    </row>
    <row r="1147" spans="1:21">
      <c r="A1147" s="25" t="str">
        <f>IF('PART III-DEMOGRAPHICS'!A1157="","",'PART III-DEMOGRAPHICS'!A1157)</f>
        <v/>
      </c>
      <c r="B1147" s="28"/>
      <c r="C1147" s="27"/>
      <c r="D1147" s="28"/>
      <c r="E1147" s="21"/>
      <c r="F1147" s="36" t="str">
        <f t="shared" si="38"/>
        <v>Did Not</v>
      </c>
      <c r="G1147" s="28"/>
      <c r="H1147" s="28"/>
      <c r="I1147" s="28"/>
      <c r="J1147" s="28"/>
      <c r="K1147" s="28"/>
      <c r="L1147" s="28"/>
      <c r="M1147" s="28"/>
      <c r="N1147" s="21"/>
      <c r="O1147" s="28"/>
      <c r="P1147" s="38"/>
      <c r="Q1147" s="21"/>
      <c r="R1147" s="21"/>
      <c r="S1147" s="47"/>
      <c r="T1147" s="25">
        <f t="shared" si="37"/>
        <v>0</v>
      </c>
      <c r="U1147" s="25" t="str">
        <f>IF('PART III-DEMOGRAPHICS'!Q1157="","",'PART III-DEMOGRAPHICS'!Q1157)</f>
        <v/>
      </c>
    </row>
    <row r="1148" spans="1:21">
      <c r="A1148" s="25" t="str">
        <f>IF('PART III-DEMOGRAPHICS'!A1158="","",'PART III-DEMOGRAPHICS'!A1158)</f>
        <v/>
      </c>
      <c r="B1148" s="28"/>
      <c r="C1148" s="27"/>
      <c r="D1148" s="28"/>
      <c r="E1148" s="21"/>
      <c r="F1148" s="36" t="str">
        <f t="shared" si="38"/>
        <v>Did Not</v>
      </c>
      <c r="G1148" s="28"/>
      <c r="H1148" s="28"/>
      <c r="I1148" s="28"/>
      <c r="J1148" s="28"/>
      <c r="K1148" s="28"/>
      <c r="L1148" s="28"/>
      <c r="M1148" s="28"/>
      <c r="N1148" s="21"/>
      <c r="O1148" s="28"/>
      <c r="P1148" s="38"/>
      <c r="Q1148" s="21"/>
      <c r="R1148" s="21"/>
      <c r="S1148" s="47"/>
      <c r="T1148" s="25">
        <f t="shared" si="37"/>
        <v>0</v>
      </c>
      <c r="U1148" s="25" t="str">
        <f>IF('PART III-DEMOGRAPHICS'!Q1158="","",'PART III-DEMOGRAPHICS'!Q1158)</f>
        <v/>
      </c>
    </row>
    <row r="1149" spans="1:21">
      <c r="A1149" s="25" t="str">
        <f>IF('PART III-DEMOGRAPHICS'!A1159="","",'PART III-DEMOGRAPHICS'!A1159)</f>
        <v/>
      </c>
      <c r="B1149" s="28"/>
      <c r="C1149" s="27"/>
      <c r="D1149" s="28"/>
      <c r="E1149" s="21"/>
      <c r="F1149" s="36" t="str">
        <f t="shared" si="38"/>
        <v>Did Not</v>
      </c>
      <c r="G1149" s="28"/>
      <c r="H1149" s="28"/>
      <c r="I1149" s="28"/>
      <c r="J1149" s="28"/>
      <c r="K1149" s="28"/>
      <c r="L1149" s="28"/>
      <c r="M1149" s="28"/>
      <c r="N1149" s="21"/>
      <c r="O1149" s="28"/>
      <c r="P1149" s="38"/>
      <c r="Q1149" s="21"/>
      <c r="R1149" s="21"/>
      <c r="S1149" s="47"/>
      <c r="T1149" s="25">
        <f t="shared" si="37"/>
        <v>0</v>
      </c>
      <c r="U1149" s="25" t="str">
        <f>IF('PART III-DEMOGRAPHICS'!Q1159="","",'PART III-DEMOGRAPHICS'!Q1159)</f>
        <v/>
      </c>
    </row>
    <row r="1150" spans="1:21">
      <c r="A1150" s="25" t="str">
        <f>IF('PART III-DEMOGRAPHICS'!A1160="","",'PART III-DEMOGRAPHICS'!A1160)</f>
        <v/>
      </c>
      <c r="B1150" s="28"/>
      <c r="C1150" s="27"/>
      <c r="D1150" s="28"/>
      <c r="E1150" s="21"/>
      <c r="F1150" s="36" t="str">
        <f t="shared" si="38"/>
        <v>Did Not</v>
      </c>
      <c r="G1150" s="28"/>
      <c r="H1150" s="28"/>
      <c r="I1150" s="28"/>
      <c r="J1150" s="28"/>
      <c r="K1150" s="28"/>
      <c r="L1150" s="28"/>
      <c r="M1150" s="28"/>
      <c r="N1150" s="21"/>
      <c r="O1150" s="28"/>
      <c r="P1150" s="38"/>
      <c r="Q1150" s="21"/>
      <c r="R1150" s="21"/>
      <c r="S1150" s="47"/>
      <c r="T1150" s="25">
        <f t="shared" si="37"/>
        <v>0</v>
      </c>
      <c r="U1150" s="25" t="str">
        <f>IF('PART III-DEMOGRAPHICS'!Q1160="","",'PART III-DEMOGRAPHICS'!Q1160)</f>
        <v/>
      </c>
    </row>
    <row r="1151" spans="1:21">
      <c r="A1151" s="25" t="str">
        <f>IF('PART III-DEMOGRAPHICS'!A1161="","",'PART III-DEMOGRAPHICS'!A1161)</f>
        <v/>
      </c>
      <c r="B1151" s="28"/>
      <c r="C1151" s="27"/>
      <c r="D1151" s="28"/>
      <c r="E1151" s="21"/>
      <c r="F1151" s="36" t="str">
        <f t="shared" si="38"/>
        <v>Did Not</v>
      </c>
      <c r="G1151" s="28"/>
      <c r="H1151" s="28"/>
      <c r="I1151" s="28"/>
      <c r="J1151" s="28"/>
      <c r="K1151" s="28"/>
      <c r="L1151" s="28"/>
      <c r="M1151" s="28"/>
      <c r="N1151" s="21"/>
      <c r="O1151" s="28"/>
      <c r="P1151" s="38"/>
      <c r="Q1151" s="21"/>
      <c r="R1151" s="21"/>
      <c r="S1151" s="47"/>
      <c r="T1151" s="25">
        <f t="shared" si="37"/>
        <v>0</v>
      </c>
      <c r="U1151" s="25" t="str">
        <f>IF('PART III-DEMOGRAPHICS'!Q1161="","",'PART III-DEMOGRAPHICS'!Q1161)</f>
        <v/>
      </c>
    </row>
    <row r="1152" spans="1:21">
      <c r="A1152" s="25" t="str">
        <f>IF('PART III-DEMOGRAPHICS'!A1162="","",'PART III-DEMOGRAPHICS'!A1162)</f>
        <v/>
      </c>
      <c r="B1152" s="28"/>
      <c r="C1152" s="27"/>
      <c r="D1152" s="28"/>
      <c r="E1152" s="21"/>
      <c r="F1152" s="36" t="str">
        <f t="shared" si="38"/>
        <v>Did Not</v>
      </c>
      <c r="G1152" s="28"/>
      <c r="H1152" s="28"/>
      <c r="I1152" s="28"/>
      <c r="J1152" s="28"/>
      <c r="K1152" s="28"/>
      <c r="L1152" s="28"/>
      <c r="M1152" s="28"/>
      <c r="N1152" s="21"/>
      <c r="O1152" s="28"/>
      <c r="P1152" s="38"/>
      <c r="Q1152" s="21"/>
      <c r="R1152" s="21"/>
      <c r="S1152" s="47"/>
      <c r="T1152" s="25">
        <f t="shared" si="37"/>
        <v>0</v>
      </c>
      <c r="U1152" s="25" t="str">
        <f>IF('PART III-DEMOGRAPHICS'!Q1162="","",'PART III-DEMOGRAPHICS'!Q1162)</f>
        <v/>
      </c>
    </row>
    <row r="1153" spans="1:21">
      <c r="A1153" s="25" t="str">
        <f>IF('PART III-DEMOGRAPHICS'!A1163="","",'PART III-DEMOGRAPHICS'!A1163)</f>
        <v/>
      </c>
      <c r="B1153" s="28"/>
      <c r="C1153" s="27"/>
      <c r="D1153" s="28"/>
      <c r="E1153" s="21"/>
      <c r="F1153" s="36" t="str">
        <f t="shared" si="38"/>
        <v>Did Not</v>
      </c>
      <c r="G1153" s="28"/>
      <c r="H1153" s="28"/>
      <c r="I1153" s="28"/>
      <c r="J1153" s="28"/>
      <c r="K1153" s="28"/>
      <c r="L1153" s="28"/>
      <c r="M1153" s="28"/>
      <c r="N1153" s="21"/>
      <c r="O1153" s="28"/>
      <c r="P1153" s="38"/>
      <c r="Q1153" s="21"/>
      <c r="R1153" s="21"/>
      <c r="S1153" s="47"/>
      <c r="T1153" s="25">
        <f t="shared" si="37"/>
        <v>0</v>
      </c>
      <c r="U1153" s="25" t="str">
        <f>IF('PART III-DEMOGRAPHICS'!Q1163="","",'PART III-DEMOGRAPHICS'!Q1163)</f>
        <v/>
      </c>
    </row>
    <row r="1154" spans="1:21">
      <c r="A1154" s="25" t="str">
        <f>IF('PART III-DEMOGRAPHICS'!A1164="","",'PART III-DEMOGRAPHICS'!A1164)</f>
        <v/>
      </c>
      <c r="B1154" s="28"/>
      <c r="C1154" s="27"/>
      <c r="D1154" s="28"/>
      <c r="E1154" s="21"/>
      <c r="F1154" s="36" t="str">
        <f t="shared" si="38"/>
        <v>Did Not</v>
      </c>
      <c r="G1154" s="28"/>
      <c r="H1154" s="28"/>
      <c r="I1154" s="28"/>
      <c r="J1154" s="28"/>
      <c r="K1154" s="28"/>
      <c r="L1154" s="28"/>
      <c r="M1154" s="28"/>
      <c r="N1154" s="21"/>
      <c r="O1154" s="28"/>
      <c r="P1154" s="38"/>
      <c r="Q1154" s="21"/>
      <c r="R1154" s="21"/>
      <c r="S1154" s="47"/>
      <c r="T1154" s="25">
        <f t="shared" si="37"/>
        <v>0</v>
      </c>
      <c r="U1154" s="25" t="str">
        <f>IF('PART III-DEMOGRAPHICS'!Q1164="","",'PART III-DEMOGRAPHICS'!Q1164)</f>
        <v/>
      </c>
    </row>
    <row r="1155" spans="1:21">
      <c r="A1155" s="25" t="str">
        <f>IF('PART III-DEMOGRAPHICS'!A1165="","",'PART III-DEMOGRAPHICS'!A1165)</f>
        <v/>
      </c>
      <c r="B1155" s="28"/>
      <c r="C1155" s="27"/>
      <c r="D1155" s="28"/>
      <c r="E1155" s="21"/>
      <c r="F1155" s="36" t="str">
        <f t="shared" si="38"/>
        <v>Did Not</v>
      </c>
      <c r="G1155" s="28"/>
      <c r="H1155" s="28"/>
      <c r="I1155" s="28"/>
      <c r="J1155" s="28"/>
      <c r="K1155" s="28"/>
      <c r="L1155" s="28"/>
      <c r="M1155" s="28"/>
      <c r="N1155" s="21"/>
      <c r="O1155" s="28"/>
      <c r="P1155" s="38"/>
      <c r="Q1155" s="21"/>
      <c r="R1155" s="21"/>
      <c r="S1155" s="47"/>
      <c r="T1155" s="25">
        <f t="shared" si="37"/>
        <v>0</v>
      </c>
      <c r="U1155" s="25" t="str">
        <f>IF('PART III-DEMOGRAPHICS'!Q1165="","",'PART III-DEMOGRAPHICS'!Q1165)</f>
        <v/>
      </c>
    </row>
    <row r="1156" spans="1:21">
      <c r="A1156" s="25" t="str">
        <f>IF('PART III-DEMOGRAPHICS'!A1166="","",'PART III-DEMOGRAPHICS'!A1166)</f>
        <v/>
      </c>
      <c r="B1156" s="28"/>
      <c r="C1156" s="27"/>
      <c r="D1156" s="28"/>
      <c r="E1156" s="21"/>
      <c r="F1156" s="36" t="str">
        <f t="shared" si="38"/>
        <v>Did Not</v>
      </c>
      <c r="G1156" s="28"/>
      <c r="H1156" s="28"/>
      <c r="I1156" s="28"/>
      <c r="J1156" s="28"/>
      <c r="K1156" s="28"/>
      <c r="L1156" s="28"/>
      <c r="M1156" s="28"/>
      <c r="N1156" s="21"/>
      <c r="O1156" s="28"/>
      <c r="P1156" s="38"/>
      <c r="Q1156" s="21"/>
      <c r="R1156" s="21"/>
      <c r="S1156" s="47"/>
      <c r="T1156" s="25">
        <f t="shared" si="37"/>
        <v>0</v>
      </c>
      <c r="U1156" s="25" t="str">
        <f>IF('PART III-DEMOGRAPHICS'!Q1166="","",'PART III-DEMOGRAPHICS'!Q1166)</f>
        <v/>
      </c>
    </row>
    <row r="1157" spans="1:21">
      <c r="A1157" s="25" t="str">
        <f>IF('PART III-DEMOGRAPHICS'!A1167="","",'PART III-DEMOGRAPHICS'!A1167)</f>
        <v/>
      </c>
      <c r="B1157" s="28"/>
      <c r="C1157" s="27"/>
      <c r="D1157" s="28"/>
      <c r="E1157" s="21"/>
      <c r="F1157" s="36" t="str">
        <f t="shared" si="38"/>
        <v>Did Not</v>
      </c>
      <c r="G1157" s="28"/>
      <c r="H1157" s="28"/>
      <c r="I1157" s="28"/>
      <c r="J1157" s="28"/>
      <c r="K1157" s="28"/>
      <c r="L1157" s="28"/>
      <c r="M1157" s="28"/>
      <c r="N1157" s="21"/>
      <c r="O1157" s="28"/>
      <c r="P1157" s="38"/>
      <c r="Q1157" s="21"/>
      <c r="R1157" s="21"/>
      <c r="S1157" s="47"/>
      <c r="T1157" s="25">
        <f t="shared" si="37"/>
        <v>0</v>
      </c>
      <c r="U1157" s="25" t="str">
        <f>IF('PART III-DEMOGRAPHICS'!Q1167="","",'PART III-DEMOGRAPHICS'!Q1167)</f>
        <v/>
      </c>
    </row>
    <row r="1158" spans="1:21">
      <c r="A1158" s="25" t="str">
        <f>IF('PART III-DEMOGRAPHICS'!A1168="","",'PART III-DEMOGRAPHICS'!A1168)</f>
        <v/>
      </c>
      <c r="B1158" s="28"/>
      <c r="C1158" s="27"/>
      <c r="D1158" s="28"/>
      <c r="E1158" s="21"/>
      <c r="F1158" s="36" t="str">
        <f t="shared" si="38"/>
        <v>Did Not</v>
      </c>
      <c r="G1158" s="28"/>
      <c r="H1158" s="28"/>
      <c r="I1158" s="28"/>
      <c r="J1158" s="28"/>
      <c r="K1158" s="28"/>
      <c r="L1158" s="28"/>
      <c r="M1158" s="28"/>
      <c r="N1158" s="21"/>
      <c r="O1158" s="28"/>
      <c r="P1158" s="38"/>
      <c r="Q1158" s="21"/>
      <c r="R1158" s="21"/>
      <c r="S1158" s="47"/>
      <c r="T1158" s="25">
        <f t="shared" si="37"/>
        <v>0</v>
      </c>
      <c r="U1158" s="25" t="str">
        <f>IF('PART III-DEMOGRAPHICS'!Q1168="","",'PART III-DEMOGRAPHICS'!Q1168)</f>
        <v/>
      </c>
    </row>
    <row r="1159" spans="1:21">
      <c r="A1159" s="25" t="str">
        <f>IF('PART III-DEMOGRAPHICS'!A1169="","",'PART III-DEMOGRAPHICS'!A1169)</f>
        <v/>
      </c>
      <c r="B1159" s="28"/>
      <c r="C1159" s="27"/>
      <c r="D1159" s="28"/>
      <c r="E1159" s="21"/>
      <c r="F1159" s="36" t="str">
        <f t="shared" si="38"/>
        <v>Did Not</v>
      </c>
      <c r="G1159" s="28"/>
      <c r="H1159" s="28"/>
      <c r="I1159" s="28"/>
      <c r="J1159" s="28"/>
      <c r="K1159" s="28"/>
      <c r="L1159" s="28"/>
      <c r="M1159" s="28"/>
      <c r="N1159" s="21"/>
      <c r="O1159" s="28"/>
      <c r="P1159" s="38"/>
      <c r="Q1159" s="21"/>
      <c r="R1159" s="21"/>
      <c r="S1159" s="47"/>
      <c r="T1159" s="25">
        <f t="shared" ref="T1159:T1222" si="39">COUNTIF(A1159:R1159,"Yes")</f>
        <v>0</v>
      </c>
      <c r="U1159" s="25" t="str">
        <f>IF('PART III-DEMOGRAPHICS'!Q1169="","",'PART III-DEMOGRAPHICS'!Q1169)</f>
        <v/>
      </c>
    </row>
    <row r="1160" spans="1:21">
      <c r="A1160" s="25" t="str">
        <f>IF('PART III-DEMOGRAPHICS'!A1170="","",'PART III-DEMOGRAPHICS'!A1170)</f>
        <v/>
      </c>
      <c r="B1160" s="28"/>
      <c r="C1160" s="27"/>
      <c r="D1160" s="28"/>
      <c r="E1160" s="21"/>
      <c r="F1160" s="36" t="str">
        <f t="shared" si="38"/>
        <v>Did Not</v>
      </c>
      <c r="G1160" s="28"/>
      <c r="H1160" s="28"/>
      <c r="I1160" s="28"/>
      <c r="J1160" s="28"/>
      <c r="K1160" s="28"/>
      <c r="L1160" s="28"/>
      <c r="M1160" s="28"/>
      <c r="N1160" s="21"/>
      <c r="O1160" s="28"/>
      <c r="P1160" s="38"/>
      <c r="Q1160" s="21"/>
      <c r="R1160" s="21"/>
      <c r="S1160" s="47"/>
      <c r="T1160" s="25">
        <f t="shared" si="39"/>
        <v>0</v>
      </c>
      <c r="U1160" s="25" t="str">
        <f>IF('PART III-DEMOGRAPHICS'!Q1170="","",'PART III-DEMOGRAPHICS'!Q1170)</f>
        <v/>
      </c>
    </row>
    <row r="1161" spans="1:21">
      <c r="A1161" s="25" t="str">
        <f>IF('PART III-DEMOGRAPHICS'!A1171="","",'PART III-DEMOGRAPHICS'!A1171)</f>
        <v/>
      </c>
      <c r="B1161" s="28"/>
      <c r="C1161" s="27"/>
      <c r="D1161" s="28"/>
      <c r="E1161" s="21"/>
      <c r="F1161" s="36" t="str">
        <f t="shared" si="38"/>
        <v>Did Not</v>
      </c>
      <c r="G1161" s="28"/>
      <c r="H1161" s="28"/>
      <c r="I1161" s="28"/>
      <c r="J1161" s="28"/>
      <c r="K1161" s="28"/>
      <c r="L1161" s="28"/>
      <c r="M1161" s="28"/>
      <c r="N1161" s="21"/>
      <c r="O1161" s="28"/>
      <c r="P1161" s="38"/>
      <c r="Q1161" s="21"/>
      <c r="R1161" s="21"/>
      <c r="S1161" s="47"/>
      <c r="T1161" s="25">
        <f t="shared" si="39"/>
        <v>0</v>
      </c>
      <c r="U1161" s="25" t="str">
        <f>IF('PART III-DEMOGRAPHICS'!Q1171="","",'PART III-DEMOGRAPHICS'!Q1171)</f>
        <v/>
      </c>
    </row>
    <row r="1162" spans="1:21">
      <c r="A1162" s="25" t="str">
        <f>IF('PART III-DEMOGRAPHICS'!A1172="","",'PART III-DEMOGRAPHICS'!A1172)</f>
        <v/>
      </c>
      <c r="B1162" s="28"/>
      <c r="C1162" s="27"/>
      <c r="D1162" s="28"/>
      <c r="E1162" s="21"/>
      <c r="F1162" s="36" t="str">
        <f t="shared" si="38"/>
        <v>Did Not</v>
      </c>
      <c r="G1162" s="28"/>
      <c r="H1162" s="28"/>
      <c r="I1162" s="28"/>
      <c r="J1162" s="28"/>
      <c r="K1162" s="28"/>
      <c r="L1162" s="28"/>
      <c r="M1162" s="28"/>
      <c r="N1162" s="21"/>
      <c r="O1162" s="28"/>
      <c r="P1162" s="38"/>
      <c r="Q1162" s="21"/>
      <c r="R1162" s="21"/>
      <c r="S1162" s="47"/>
      <c r="T1162" s="25">
        <f t="shared" si="39"/>
        <v>0</v>
      </c>
      <c r="U1162" s="25" t="str">
        <f>IF('PART III-DEMOGRAPHICS'!Q1172="","",'PART III-DEMOGRAPHICS'!Q1172)</f>
        <v/>
      </c>
    </row>
    <row r="1163" spans="1:21">
      <c r="A1163" s="25" t="str">
        <f>IF('PART III-DEMOGRAPHICS'!A1173="","",'PART III-DEMOGRAPHICS'!A1173)</f>
        <v/>
      </c>
      <c r="B1163" s="28"/>
      <c r="C1163" s="27"/>
      <c r="D1163" s="28"/>
      <c r="E1163" s="21"/>
      <c r="F1163" s="36" t="str">
        <f t="shared" si="38"/>
        <v>Did Not</v>
      </c>
      <c r="G1163" s="28"/>
      <c r="H1163" s="28"/>
      <c r="I1163" s="28"/>
      <c r="J1163" s="28"/>
      <c r="K1163" s="28"/>
      <c r="L1163" s="28"/>
      <c r="M1163" s="28"/>
      <c r="N1163" s="21"/>
      <c r="O1163" s="28"/>
      <c r="P1163" s="38"/>
      <c r="Q1163" s="21"/>
      <c r="R1163" s="21"/>
      <c r="S1163" s="47"/>
      <c r="T1163" s="25">
        <f t="shared" si="39"/>
        <v>0</v>
      </c>
      <c r="U1163" s="25" t="str">
        <f>IF('PART III-DEMOGRAPHICS'!Q1173="","",'PART III-DEMOGRAPHICS'!Q1173)</f>
        <v/>
      </c>
    </row>
    <row r="1164" spans="1:21">
      <c r="A1164" s="25" t="str">
        <f>IF('PART III-DEMOGRAPHICS'!A1174="","",'PART III-DEMOGRAPHICS'!A1174)</f>
        <v/>
      </c>
      <c r="B1164" s="28"/>
      <c r="C1164" s="27"/>
      <c r="D1164" s="28"/>
      <c r="E1164" s="21"/>
      <c r="F1164" s="36" t="str">
        <f t="shared" si="38"/>
        <v>Did Not</v>
      </c>
      <c r="G1164" s="28"/>
      <c r="H1164" s="28"/>
      <c r="I1164" s="28"/>
      <c r="J1164" s="28"/>
      <c r="K1164" s="28"/>
      <c r="L1164" s="28"/>
      <c r="M1164" s="28"/>
      <c r="N1164" s="21"/>
      <c r="O1164" s="28"/>
      <c r="P1164" s="38"/>
      <c r="Q1164" s="21"/>
      <c r="R1164" s="21"/>
      <c r="S1164" s="47"/>
      <c r="T1164" s="25">
        <f t="shared" si="39"/>
        <v>0</v>
      </c>
      <c r="U1164" s="25" t="str">
        <f>IF('PART III-DEMOGRAPHICS'!Q1174="","",'PART III-DEMOGRAPHICS'!Q1174)</f>
        <v/>
      </c>
    </row>
    <row r="1165" spans="1:21">
      <c r="A1165" s="25" t="str">
        <f>IF('PART III-DEMOGRAPHICS'!A1175="","",'PART III-DEMOGRAPHICS'!A1175)</f>
        <v/>
      </c>
      <c r="B1165" s="28"/>
      <c r="C1165" s="27"/>
      <c r="D1165" s="28"/>
      <c r="E1165" s="21"/>
      <c r="F1165" s="36" t="str">
        <f t="shared" si="38"/>
        <v>Did Not</v>
      </c>
      <c r="G1165" s="28"/>
      <c r="H1165" s="28"/>
      <c r="I1165" s="28"/>
      <c r="J1165" s="28"/>
      <c r="K1165" s="28"/>
      <c r="L1165" s="28"/>
      <c r="M1165" s="28"/>
      <c r="N1165" s="21"/>
      <c r="O1165" s="28"/>
      <c r="P1165" s="38"/>
      <c r="Q1165" s="21"/>
      <c r="R1165" s="21"/>
      <c r="S1165" s="47"/>
      <c r="T1165" s="25">
        <f t="shared" si="39"/>
        <v>0</v>
      </c>
      <c r="U1165" s="25" t="str">
        <f>IF('PART III-DEMOGRAPHICS'!Q1175="","",'PART III-DEMOGRAPHICS'!Q1175)</f>
        <v/>
      </c>
    </row>
    <row r="1166" spans="1:21">
      <c r="A1166" s="25" t="str">
        <f>IF('PART III-DEMOGRAPHICS'!A1176="","",'PART III-DEMOGRAPHICS'!A1176)</f>
        <v/>
      </c>
      <c r="B1166" s="28"/>
      <c r="C1166" s="27"/>
      <c r="D1166" s="28"/>
      <c r="E1166" s="21"/>
      <c r="F1166" s="36" t="str">
        <f t="shared" ref="F1166:F1229" si="40">IF(OR(G1166="Yes",H1166="Yes",I1166="Yes",J1166="Yes",K1166="Yes",L1166="Yes",M1166="Yes"),"Did","Did Not")</f>
        <v>Did Not</v>
      </c>
      <c r="G1166" s="28"/>
      <c r="H1166" s="28"/>
      <c r="I1166" s="28"/>
      <c r="J1166" s="28"/>
      <c r="K1166" s="28"/>
      <c r="L1166" s="28"/>
      <c r="M1166" s="28"/>
      <c r="N1166" s="21"/>
      <c r="O1166" s="28"/>
      <c r="P1166" s="38"/>
      <c r="Q1166" s="21"/>
      <c r="R1166" s="21"/>
      <c r="S1166" s="47"/>
      <c r="T1166" s="25">
        <f t="shared" si="39"/>
        <v>0</v>
      </c>
      <c r="U1166" s="25" t="str">
        <f>IF('PART III-DEMOGRAPHICS'!Q1176="","",'PART III-DEMOGRAPHICS'!Q1176)</f>
        <v/>
      </c>
    </row>
    <row r="1167" spans="1:21">
      <c r="A1167" s="25" t="str">
        <f>IF('PART III-DEMOGRAPHICS'!A1177="","",'PART III-DEMOGRAPHICS'!A1177)</f>
        <v/>
      </c>
      <c r="B1167" s="28"/>
      <c r="C1167" s="27"/>
      <c r="D1167" s="28"/>
      <c r="E1167" s="21"/>
      <c r="F1167" s="36" t="str">
        <f t="shared" si="40"/>
        <v>Did Not</v>
      </c>
      <c r="G1167" s="28"/>
      <c r="H1167" s="28"/>
      <c r="I1167" s="28"/>
      <c r="J1167" s="28"/>
      <c r="K1167" s="28"/>
      <c r="L1167" s="28"/>
      <c r="M1167" s="28"/>
      <c r="N1167" s="21"/>
      <c r="O1167" s="28"/>
      <c r="P1167" s="38"/>
      <c r="Q1167" s="21"/>
      <c r="R1167" s="21"/>
      <c r="S1167" s="47"/>
      <c r="T1167" s="25">
        <f t="shared" si="39"/>
        <v>0</v>
      </c>
      <c r="U1167" s="25" t="str">
        <f>IF('PART III-DEMOGRAPHICS'!Q1177="","",'PART III-DEMOGRAPHICS'!Q1177)</f>
        <v/>
      </c>
    </row>
    <row r="1168" spans="1:21">
      <c r="A1168" s="25" t="str">
        <f>IF('PART III-DEMOGRAPHICS'!A1178="","",'PART III-DEMOGRAPHICS'!A1178)</f>
        <v/>
      </c>
      <c r="B1168" s="28"/>
      <c r="C1168" s="27"/>
      <c r="D1168" s="28"/>
      <c r="E1168" s="21"/>
      <c r="F1168" s="36" t="str">
        <f t="shared" si="40"/>
        <v>Did Not</v>
      </c>
      <c r="G1168" s="28"/>
      <c r="H1168" s="28"/>
      <c r="I1168" s="28"/>
      <c r="J1168" s="28"/>
      <c r="K1168" s="28"/>
      <c r="L1168" s="28"/>
      <c r="M1168" s="28"/>
      <c r="N1168" s="21"/>
      <c r="O1168" s="28"/>
      <c r="P1168" s="38"/>
      <c r="Q1168" s="21"/>
      <c r="R1168" s="21"/>
      <c r="S1168" s="47"/>
      <c r="T1168" s="25">
        <f t="shared" si="39"/>
        <v>0</v>
      </c>
      <c r="U1168" s="25" t="str">
        <f>IF('PART III-DEMOGRAPHICS'!Q1178="","",'PART III-DEMOGRAPHICS'!Q1178)</f>
        <v/>
      </c>
    </row>
    <row r="1169" spans="1:21">
      <c r="A1169" s="25" t="str">
        <f>IF('PART III-DEMOGRAPHICS'!A1179="","",'PART III-DEMOGRAPHICS'!A1179)</f>
        <v/>
      </c>
      <c r="B1169" s="28"/>
      <c r="C1169" s="27"/>
      <c r="D1169" s="28"/>
      <c r="E1169" s="21"/>
      <c r="F1169" s="36" t="str">
        <f t="shared" si="40"/>
        <v>Did Not</v>
      </c>
      <c r="G1169" s="28"/>
      <c r="H1169" s="28"/>
      <c r="I1169" s="28"/>
      <c r="J1169" s="28"/>
      <c r="K1169" s="28"/>
      <c r="L1169" s="28"/>
      <c r="M1169" s="28"/>
      <c r="N1169" s="21"/>
      <c r="O1169" s="28"/>
      <c r="P1169" s="38"/>
      <c r="Q1169" s="21"/>
      <c r="R1169" s="21"/>
      <c r="S1169" s="47"/>
      <c r="T1169" s="25">
        <f t="shared" si="39"/>
        <v>0</v>
      </c>
      <c r="U1169" s="25" t="str">
        <f>IF('PART III-DEMOGRAPHICS'!Q1179="","",'PART III-DEMOGRAPHICS'!Q1179)</f>
        <v/>
      </c>
    </row>
    <row r="1170" spans="1:21">
      <c r="A1170" s="25" t="str">
        <f>IF('PART III-DEMOGRAPHICS'!A1180="","",'PART III-DEMOGRAPHICS'!A1180)</f>
        <v/>
      </c>
      <c r="B1170" s="28"/>
      <c r="C1170" s="27"/>
      <c r="D1170" s="28"/>
      <c r="E1170" s="21"/>
      <c r="F1170" s="36" t="str">
        <f t="shared" si="40"/>
        <v>Did Not</v>
      </c>
      <c r="G1170" s="28"/>
      <c r="H1170" s="28"/>
      <c r="I1170" s="28"/>
      <c r="J1170" s="28"/>
      <c r="K1170" s="28"/>
      <c r="L1170" s="28"/>
      <c r="M1170" s="28"/>
      <c r="N1170" s="21"/>
      <c r="O1170" s="28"/>
      <c r="P1170" s="38"/>
      <c r="Q1170" s="21"/>
      <c r="R1170" s="21"/>
      <c r="S1170" s="47"/>
      <c r="T1170" s="25">
        <f t="shared" si="39"/>
        <v>0</v>
      </c>
      <c r="U1170" s="25" t="str">
        <f>IF('PART III-DEMOGRAPHICS'!Q1180="","",'PART III-DEMOGRAPHICS'!Q1180)</f>
        <v/>
      </c>
    </row>
    <row r="1171" spans="1:21">
      <c r="A1171" s="25" t="str">
        <f>IF('PART III-DEMOGRAPHICS'!A1181="","",'PART III-DEMOGRAPHICS'!A1181)</f>
        <v/>
      </c>
      <c r="B1171" s="28"/>
      <c r="C1171" s="27"/>
      <c r="D1171" s="28"/>
      <c r="E1171" s="21"/>
      <c r="F1171" s="36" t="str">
        <f t="shared" si="40"/>
        <v>Did Not</v>
      </c>
      <c r="G1171" s="28"/>
      <c r="H1171" s="28"/>
      <c r="I1171" s="28"/>
      <c r="J1171" s="28"/>
      <c r="K1171" s="28"/>
      <c r="L1171" s="28"/>
      <c r="M1171" s="28"/>
      <c r="N1171" s="21"/>
      <c r="O1171" s="28"/>
      <c r="P1171" s="38"/>
      <c r="Q1171" s="21"/>
      <c r="R1171" s="21"/>
      <c r="S1171" s="47"/>
      <c r="T1171" s="25">
        <f t="shared" si="39"/>
        <v>0</v>
      </c>
      <c r="U1171" s="25" t="str">
        <f>IF('PART III-DEMOGRAPHICS'!Q1181="","",'PART III-DEMOGRAPHICS'!Q1181)</f>
        <v/>
      </c>
    </row>
    <row r="1172" spans="1:21">
      <c r="A1172" s="25" t="str">
        <f>IF('PART III-DEMOGRAPHICS'!A1182="","",'PART III-DEMOGRAPHICS'!A1182)</f>
        <v/>
      </c>
      <c r="B1172" s="28"/>
      <c r="C1172" s="27"/>
      <c r="D1172" s="28"/>
      <c r="E1172" s="21"/>
      <c r="F1172" s="36" t="str">
        <f t="shared" si="40"/>
        <v>Did Not</v>
      </c>
      <c r="G1172" s="28"/>
      <c r="H1172" s="28"/>
      <c r="I1172" s="28"/>
      <c r="J1172" s="28"/>
      <c r="K1172" s="28"/>
      <c r="L1172" s="28"/>
      <c r="M1172" s="28"/>
      <c r="N1172" s="21"/>
      <c r="O1172" s="28"/>
      <c r="P1172" s="38"/>
      <c r="Q1172" s="21"/>
      <c r="R1172" s="21"/>
      <c r="S1172" s="47"/>
      <c r="T1172" s="25">
        <f t="shared" si="39"/>
        <v>0</v>
      </c>
      <c r="U1172" s="25" t="str">
        <f>IF('PART III-DEMOGRAPHICS'!Q1182="","",'PART III-DEMOGRAPHICS'!Q1182)</f>
        <v/>
      </c>
    </row>
    <row r="1173" spans="1:21">
      <c r="A1173" s="25" t="str">
        <f>IF('PART III-DEMOGRAPHICS'!A1183="","",'PART III-DEMOGRAPHICS'!A1183)</f>
        <v/>
      </c>
      <c r="B1173" s="28"/>
      <c r="C1173" s="27"/>
      <c r="D1173" s="28"/>
      <c r="E1173" s="21"/>
      <c r="F1173" s="36" t="str">
        <f t="shared" si="40"/>
        <v>Did Not</v>
      </c>
      <c r="G1173" s="28"/>
      <c r="H1173" s="28"/>
      <c r="I1173" s="28"/>
      <c r="J1173" s="28"/>
      <c r="K1173" s="28"/>
      <c r="L1173" s="28"/>
      <c r="M1173" s="28"/>
      <c r="N1173" s="21"/>
      <c r="O1173" s="28"/>
      <c r="P1173" s="38"/>
      <c r="Q1173" s="21"/>
      <c r="R1173" s="21"/>
      <c r="S1173" s="47"/>
      <c r="T1173" s="25">
        <f t="shared" si="39"/>
        <v>0</v>
      </c>
      <c r="U1173" s="25" t="str">
        <f>IF('PART III-DEMOGRAPHICS'!Q1183="","",'PART III-DEMOGRAPHICS'!Q1183)</f>
        <v/>
      </c>
    </row>
    <row r="1174" spans="1:21">
      <c r="A1174" s="25" t="str">
        <f>IF('PART III-DEMOGRAPHICS'!A1184="","",'PART III-DEMOGRAPHICS'!A1184)</f>
        <v/>
      </c>
      <c r="B1174" s="28"/>
      <c r="C1174" s="27"/>
      <c r="D1174" s="28"/>
      <c r="E1174" s="21"/>
      <c r="F1174" s="36" t="str">
        <f t="shared" si="40"/>
        <v>Did Not</v>
      </c>
      <c r="G1174" s="28"/>
      <c r="H1174" s="28"/>
      <c r="I1174" s="28"/>
      <c r="J1174" s="28"/>
      <c r="K1174" s="28"/>
      <c r="L1174" s="28"/>
      <c r="M1174" s="28"/>
      <c r="N1174" s="21"/>
      <c r="O1174" s="28"/>
      <c r="P1174" s="38"/>
      <c r="Q1174" s="21"/>
      <c r="R1174" s="21"/>
      <c r="S1174" s="47"/>
      <c r="T1174" s="25">
        <f t="shared" si="39"/>
        <v>0</v>
      </c>
      <c r="U1174" s="25" t="str">
        <f>IF('PART III-DEMOGRAPHICS'!Q1184="","",'PART III-DEMOGRAPHICS'!Q1184)</f>
        <v/>
      </c>
    </row>
    <row r="1175" spans="1:21">
      <c r="A1175" s="25" t="str">
        <f>IF('PART III-DEMOGRAPHICS'!A1185="","",'PART III-DEMOGRAPHICS'!A1185)</f>
        <v/>
      </c>
      <c r="B1175" s="28"/>
      <c r="C1175" s="27"/>
      <c r="D1175" s="28"/>
      <c r="E1175" s="21"/>
      <c r="F1175" s="36" t="str">
        <f t="shared" si="40"/>
        <v>Did Not</v>
      </c>
      <c r="G1175" s="28"/>
      <c r="H1175" s="28"/>
      <c r="I1175" s="28"/>
      <c r="J1175" s="28"/>
      <c r="K1175" s="28"/>
      <c r="L1175" s="28"/>
      <c r="M1175" s="28"/>
      <c r="N1175" s="21"/>
      <c r="O1175" s="28"/>
      <c r="P1175" s="38"/>
      <c r="Q1175" s="21"/>
      <c r="R1175" s="21"/>
      <c r="S1175" s="47"/>
      <c r="T1175" s="25">
        <f t="shared" si="39"/>
        <v>0</v>
      </c>
      <c r="U1175" s="25" t="str">
        <f>IF('PART III-DEMOGRAPHICS'!Q1185="","",'PART III-DEMOGRAPHICS'!Q1185)</f>
        <v/>
      </c>
    </row>
    <row r="1176" spans="1:21">
      <c r="A1176" s="25" t="str">
        <f>IF('PART III-DEMOGRAPHICS'!A1186="","",'PART III-DEMOGRAPHICS'!A1186)</f>
        <v/>
      </c>
      <c r="B1176" s="28"/>
      <c r="C1176" s="27"/>
      <c r="D1176" s="28"/>
      <c r="E1176" s="21"/>
      <c r="F1176" s="36" t="str">
        <f t="shared" si="40"/>
        <v>Did Not</v>
      </c>
      <c r="G1176" s="28"/>
      <c r="H1176" s="28"/>
      <c r="I1176" s="28"/>
      <c r="J1176" s="28"/>
      <c r="K1176" s="28"/>
      <c r="L1176" s="28"/>
      <c r="M1176" s="28"/>
      <c r="N1176" s="21"/>
      <c r="O1176" s="28"/>
      <c r="P1176" s="38"/>
      <c r="Q1176" s="21"/>
      <c r="R1176" s="21"/>
      <c r="S1176" s="47"/>
      <c r="T1176" s="25">
        <f t="shared" si="39"/>
        <v>0</v>
      </c>
      <c r="U1176" s="25" t="str">
        <f>IF('PART III-DEMOGRAPHICS'!Q1186="","",'PART III-DEMOGRAPHICS'!Q1186)</f>
        <v/>
      </c>
    </row>
    <row r="1177" spans="1:21">
      <c r="A1177" s="25" t="str">
        <f>IF('PART III-DEMOGRAPHICS'!A1187="","",'PART III-DEMOGRAPHICS'!A1187)</f>
        <v/>
      </c>
      <c r="B1177" s="28"/>
      <c r="C1177" s="27"/>
      <c r="D1177" s="28"/>
      <c r="E1177" s="21"/>
      <c r="F1177" s="36" t="str">
        <f t="shared" si="40"/>
        <v>Did Not</v>
      </c>
      <c r="G1177" s="28"/>
      <c r="H1177" s="28"/>
      <c r="I1177" s="28"/>
      <c r="J1177" s="28"/>
      <c r="K1177" s="28"/>
      <c r="L1177" s="28"/>
      <c r="M1177" s="28"/>
      <c r="N1177" s="21"/>
      <c r="O1177" s="28"/>
      <c r="P1177" s="38"/>
      <c r="Q1177" s="21"/>
      <c r="R1177" s="21"/>
      <c r="S1177" s="47"/>
      <c r="T1177" s="25">
        <f t="shared" si="39"/>
        <v>0</v>
      </c>
      <c r="U1177" s="25" t="str">
        <f>IF('PART III-DEMOGRAPHICS'!Q1187="","",'PART III-DEMOGRAPHICS'!Q1187)</f>
        <v/>
      </c>
    </row>
    <row r="1178" spans="1:21">
      <c r="A1178" s="25" t="str">
        <f>IF('PART III-DEMOGRAPHICS'!A1188="","",'PART III-DEMOGRAPHICS'!A1188)</f>
        <v/>
      </c>
      <c r="B1178" s="28"/>
      <c r="C1178" s="27"/>
      <c r="D1178" s="28"/>
      <c r="E1178" s="21"/>
      <c r="F1178" s="36" t="str">
        <f t="shared" si="40"/>
        <v>Did Not</v>
      </c>
      <c r="G1178" s="28"/>
      <c r="H1178" s="28"/>
      <c r="I1178" s="28"/>
      <c r="J1178" s="28"/>
      <c r="K1178" s="28"/>
      <c r="L1178" s="28"/>
      <c r="M1178" s="28"/>
      <c r="N1178" s="21"/>
      <c r="O1178" s="28"/>
      <c r="P1178" s="38"/>
      <c r="Q1178" s="21"/>
      <c r="R1178" s="21"/>
      <c r="S1178" s="47"/>
      <c r="T1178" s="25">
        <f t="shared" si="39"/>
        <v>0</v>
      </c>
      <c r="U1178" s="25" t="str">
        <f>IF('PART III-DEMOGRAPHICS'!Q1188="","",'PART III-DEMOGRAPHICS'!Q1188)</f>
        <v/>
      </c>
    </row>
    <row r="1179" spans="1:21">
      <c r="A1179" s="25" t="str">
        <f>IF('PART III-DEMOGRAPHICS'!A1189="","",'PART III-DEMOGRAPHICS'!A1189)</f>
        <v/>
      </c>
      <c r="B1179" s="28"/>
      <c r="C1179" s="27"/>
      <c r="D1179" s="28"/>
      <c r="E1179" s="21"/>
      <c r="F1179" s="36" t="str">
        <f t="shared" si="40"/>
        <v>Did Not</v>
      </c>
      <c r="G1179" s="28"/>
      <c r="H1179" s="28"/>
      <c r="I1179" s="28"/>
      <c r="J1179" s="28"/>
      <c r="K1179" s="28"/>
      <c r="L1179" s="28"/>
      <c r="M1179" s="28"/>
      <c r="N1179" s="21"/>
      <c r="O1179" s="28"/>
      <c r="P1179" s="38"/>
      <c r="Q1179" s="21"/>
      <c r="R1179" s="21"/>
      <c r="S1179" s="47"/>
      <c r="T1179" s="25">
        <f t="shared" si="39"/>
        <v>0</v>
      </c>
      <c r="U1179" s="25" t="str">
        <f>IF('PART III-DEMOGRAPHICS'!Q1189="","",'PART III-DEMOGRAPHICS'!Q1189)</f>
        <v/>
      </c>
    </row>
    <row r="1180" spans="1:21">
      <c r="A1180" s="25" t="str">
        <f>IF('PART III-DEMOGRAPHICS'!A1190="","",'PART III-DEMOGRAPHICS'!A1190)</f>
        <v/>
      </c>
      <c r="B1180" s="28"/>
      <c r="C1180" s="27"/>
      <c r="D1180" s="28"/>
      <c r="E1180" s="21"/>
      <c r="F1180" s="36" t="str">
        <f t="shared" si="40"/>
        <v>Did Not</v>
      </c>
      <c r="G1180" s="28"/>
      <c r="H1180" s="28"/>
      <c r="I1180" s="28"/>
      <c r="J1180" s="28"/>
      <c r="K1180" s="28"/>
      <c r="L1180" s="28"/>
      <c r="M1180" s="28"/>
      <c r="N1180" s="21"/>
      <c r="O1180" s="28"/>
      <c r="P1180" s="38"/>
      <c r="Q1180" s="21"/>
      <c r="R1180" s="21"/>
      <c r="S1180" s="47"/>
      <c r="T1180" s="25">
        <f t="shared" si="39"/>
        <v>0</v>
      </c>
      <c r="U1180" s="25" t="str">
        <f>IF('PART III-DEMOGRAPHICS'!Q1190="","",'PART III-DEMOGRAPHICS'!Q1190)</f>
        <v/>
      </c>
    </row>
    <row r="1181" spans="1:21">
      <c r="A1181" s="25" t="str">
        <f>IF('PART III-DEMOGRAPHICS'!A1191="","",'PART III-DEMOGRAPHICS'!A1191)</f>
        <v/>
      </c>
      <c r="B1181" s="28"/>
      <c r="C1181" s="27"/>
      <c r="D1181" s="28"/>
      <c r="E1181" s="21"/>
      <c r="F1181" s="36" t="str">
        <f t="shared" si="40"/>
        <v>Did Not</v>
      </c>
      <c r="G1181" s="28"/>
      <c r="H1181" s="28"/>
      <c r="I1181" s="28"/>
      <c r="J1181" s="28"/>
      <c r="K1181" s="28"/>
      <c r="L1181" s="28"/>
      <c r="M1181" s="28"/>
      <c r="N1181" s="21"/>
      <c r="O1181" s="28"/>
      <c r="P1181" s="38"/>
      <c r="Q1181" s="21"/>
      <c r="R1181" s="21"/>
      <c r="S1181" s="47"/>
      <c r="T1181" s="25">
        <f t="shared" si="39"/>
        <v>0</v>
      </c>
      <c r="U1181" s="25" t="str">
        <f>IF('PART III-DEMOGRAPHICS'!Q1191="","",'PART III-DEMOGRAPHICS'!Q1191)</f>
        <v/>
      </c>
    </row>
    <row r="1182" spans="1:21">
      <c r="A1182" s="25" t="str">
        <f>IF('PART III-DEMOGRAPHICS'!A1192="","",'PART III-DEMOGRAPHICS'!A1192)</f>
        <v/>
      </c>
      <c r="B1182" s="28"/>
      <c r="C1182" s="27"/>
      <c r="D1182" s="28"/>
      <c r="E1182" s="21"/>
      <c r="F1182" s="36" t="str">
        <f t="shared" si="40"/>
        <v>Did Not</v>
      </c>
      <c r="G1182" s="28"/>
      <c r="H1182" s="28"/>
      <c r="I1182" s="28"/>
      <c r="J1182" s="28"/>
      <c r="K1182" s="28"/>
      <c r="L1182" s="28"/>
      <c r="M1182" s="28"/>
      <c r="N1182" s="21"/>
      <c r="O1182" s="28"/>
      <c r="P1182" s="38"/>
      <c r="Q1182" s="21"/>
      <c r="R1182" s="21"/>
      <c r="S1182" s="47"/>
      <c r="T1182" s="25">
        <f t="shared" si="39"/>
        <v>0</v>
      </c>
      <c r="U1182" s="25" t="str">
        <f>IF('PART III-DEMOGRAPHICS'!Q1192="","",'PART III-DEMOGRAPHICS'!Q1192)</f>
        <v/>
      </c>
    </row>
    <row r="1183" spans="1:21">
      <c r="A1183" s="25" t="str">
        <f>IF('PART III-DEMOGRAPHICS'!A1193="","",'PART III-DEMOGRAPHICS'!A1193)</f>
        <v/>
      </c>
      <c r="B1183" s="28"/>
      <c r="C1183" s="27"/>
      <c r="D1183" s="28"/>
      <c r="E1183" s="21"/>
      <c r="F1183" s="36" t="str">
        <f t="shared" si="40"/>
        <v>Did Not</v>
      </c>
      <c r="G1183" s="28"/>
      <c r="H1183" s="28"/>
      <c r="I1183" s="28"/>
      <c r="J1183" s="28"/>
      <c r="K1183" s="28"/>
      <c r="L1183" s="28"/>
      <c r="M1183" s="28"/>
      <c r="N1183" s="21"/>
      <c r="O1183" s="28"/>
      <c r="P1183" s="38"/>
      <c r="Q1183" s="21"/>
      <c r="R1183" s="21"/>
      <c r="S1183" s="47"/>
      <c r="T1183" s="25">
        <f t="shared" si="39"/>
        <v>0</v>
      </c>
      <c r="U1183" s="25" t="str">
        <f>IF('PART III-DEMOGRAPHICS'!Q1193="","",'PART III-DEMOGRAPHICS'!Q1193)</f>
        <v/>
      </c>
    </row>
    <row r="1184" spans="1:21">
      <c r="A1184" s="25" t="str">
        <f>IF('PART III-DEMOGRAPHICS'!A1194="","",'PART III-DEMOGRAPHICS'!A1194)</f>
        <v/>
      </c>
      <c r="B1184" s="28"/>
      <c r="C1184" s="27"/>
      <c r="D1184" s="28"/>
      <c r="E1184" s="21"/>
      <c r="F1184" s="36" t="str">
        <f t="shared" si="40"/>
        <v>Did Not</v>
      </c>
      <c r="G1184" s="28"/>
      <c r="H1184" s="28"/>
      <c r="I1184" s="28"/>
      <c r="J1184" s="28"/>
      <c r="K1184" s="28"/>
      <c r="L1184" s="28"/>
      <c r="M1184" s="28"/>
      <c r="N1184" s="21"/>
      <c r="O1184" s="28"/>
      <c r="P1184" s="38"/>
      <c r="Q1184" s="21"/>
      <c r="R1184" s="21"/>
      <c r="S1184" s="47"/>
      <c r="T1184" s="25">
        <f t="shared" si="39"/>
        <v>0</v>
      </c>
      <c r="U1184" s="25" t="str">
        <f>IF('PART III-DEMOGRAPHICS'!Q1194="","",'PART III-DEMOGRAPHICS'!Q1194)</f>
        <v/>
      </c>
    </row>
    <row r="1185" spans="1:21">
      <c r="A1185" s="25" t="str">
        <f>IF('PART III-DEMOGRAPHICS'!A1195="","",'PART III-DEMOGRAPHICS'!A1195)</f>
        <v/>
      </c>
      <c r="B1185" s="28"/>
      <c r="C1185" s="27"/>
      <c r="D1185" s="28"/>
      <c r="E1185" s="21"/>
      <c r="F1185" s="36" t="str">
        <f t="shared" si="40"/>
        <v>Did Not</v>
      </c>
      <c r="G1185" s="28"/>
      <c r="H1185" s="28"/>
      <c r="I1185" s="28"/>
      <c r="J1185" s="28"/>
      <c r="K1185" s="28"/>
      <c r="L1185" s="28"/>
      <c r="M1185" s="28"/>
      <c r="N1185" s="21"/>
      <c r="O1185" s="28"/>
      <c r="P1185" s="38"/>
      <c r="Q1185" s="21"/>
      <c r="R1185" s="21"/>
      <c r="S1185" s="47"/>
      <c r="T1185" s="25">
        <f t="shared" si="39"/>
        <v>0</v>
      </c>
      <c r="U1185" s="25" t="str">
        <f>IF('PART III-DEMOGRAPHICS'!Q1195="","",'PART III-DEMOGRAPHICS'!Q1195)</f>
        <v/>
      </c>
    </row>
    <row r="1186" spans="1:21">
      <c r="A1186" s="25" t="str">
        <f>IF('PART III-DEMOGRAPHICS'!A1196="","",'PART III-DEMOGRAPHICS'!A1196)</f>
        <v/>
      </c>
      <c r="B1186" s="28"/>
      <c r="C1186" s="27"/>
      <c r="D1186" s="28"/>
      <c r="E1186" s="21"/>
      <c r="F1186" s="36" t="str">
        <f t="shared" si="40"/>
        <v>Did Not</v>
      </c>
      <c r="G1186" s="28"/>
      <c r="H1186" s="28"/>
      <c r="I1186" s="28"/>
      <c r="J1186" s="28"/>
      <c r="K1186" s="28"/>
      <c r="L1186" s="28"/>
      <c r="M1186" s="28"/>
      <c r="N1186" s="21"/>
      <c r="O1186" s="28"/>
      <c r="P1186" s="38"/>
      <c r="Q1186" s="21"/>
      <c r="R1186" s="21"/>
      <c r="S1186" s="47"/>
      <c r="T1186" s="25">
        <f t="shared" si="39"/>
        <v>0</v>
      </c>
      <c r="U1186" s="25" t="str">
        <f>IF('PART III-DEMOGRAPHICS'!Q1196="","",'PART III-DEMOGRAPHICS'!Q1196)</f>
        <v/>
      </c>
    </row>
    <row r="1187" spans="1:21">
      <c r="A1187" s="25" t="str">
        <f>IF('PART III-DEMOGRAPHICS'!A1197="","",'PART III-DEMOGRAPHICS'!A1197)</f>
        <v/>
      </c>
      <c r="B1187" s="28"/>
      <c r="C1187" s="27"/>
      <c r="D1187" s="28"/>
      <c r="E1187" s="21"/>
      <c r="F1187" s="36" t="str">
        <f t="shared" si="40"/>
        <v>Did Not</v>
      </c>
      <c r="G1187" s="28"/>
      <c r="H1187" s="28"/>
      <c r="I1187" s="28"/>
      <c r="J1187" s="28"/>
      <c r="K1187" s="28"/>
      <c r="L1187" s="28"/>
      <c r="M1187" s="28"/>
      <c r="N1187" s="21"/>
      <c r="O1187" s="28"/>
      <c r="P1187" s="38"/>
      <c r="Q1187" s="21"/>
      <c r="R1187" s="21"/>
      <c r="S1187" s="47"/>
      <c r="T1187" s="25">
        <f t="shared" si="39"/>
        <v>0</v>
      </c>
      <c r="U1187" s="25" t="str">
        <f>IF('PART III-DEMOGRAPHICS'!Q1197="","",'PART III-DEMOGRAPHICS'!Q1197)</f>
        <v/>
      </c>
    </row>
    <row r="1188" spans="1:21">
      <c r="A1188" s="25" t="str">
        <f>IF('PART III-DEMOGRAPHICS'!A1198="","",'PART III-DEMOGRAPHICS'!A1198)</f>
        <v/>
      </c>
      <c r="B1188" s="28"/>
      <c r="C1188" s="27"/>
      <c r="D1188" s="28"/>
      <c r="E1188" s="21"/>
      <c r="F1188" s="36" t="str">
        <f t="shared" si="40"/>
        <v>Did Not</v>
      </c>
      <c r="G1188" s="28"/>
      <c r="H1188" s="28"/>
      <c r="I1188" s="28"/>
      <c r="J1188" s="28"/>
      <c r="K1188" s="28"/>
      <c r="L1188" s="28"/>
      <c r="M1188" s="28"/>
      <c r="N1188" s="21"/>
      <c r="O1188" s="28"/>
      <c r="P1188" s="38"/>
      <c r="Q1188" s="21"/>
      <c r="R1188" s="21"/>
      <c r="S1188" s="47"/>
      <c r="T1188" s="25">
        <f t="shared" si="39"/>
        <v>0</v>
      </c>
      <c r="U1188" s="25" t="str">
        <f>IF('PART III-DEMOGRAPHICS'!Q1198="","",'PART III-DEMOGRAPHICS'!Q1198)</f>
        <v/>
      </c>
    </row>
    <row r="1189" spans="1:21">
      <c r="A1189" s="25" t="str">
        <f>IF('PART III-DEMOGRAPHICS'!A1199="","",'PART III-DEMOGRAPHICS'!A1199)</f>
        <v/>
      </c>
      <c r="B1189" s="28"/>
      <c r="C1189" s="27"/>
      <c r="D1189" s="28"/>
      <c r="E1189" s="21"/>
      <c r="F1189" s="36" t="str">
        <f t="shared" si="40"/>
        <v>Did Not</v>
      </c>
      <c r="G1189" s="28"/>
      <c r="H1189" s="28"/>
      <c r="I1189" s="28"/>
      <c r="J1189" s="28"/>
      <c r="K1189" s="28"/>
      <c r="L1189" s="28"/>
      <c r="M1189" s="28"/>
      <c r="N1189" s="21"/>
      <c r="O1189" s="28"/>
      <c r="P1189" s="38"/>
      <c r="Q1189" s="21"/>
      <c r="R1189" s="21"/>
      <c r="S1189" s="47"/>
      <c r="T1189" s="25">
        <f t="shared" si="39"/>
        <v>0</v>
      </c>
      <c r="U1189" s="25" t="str">
        <f>IF('PART III-DEMOGRAPHICS'!Q1199="","",'PART III-DEMOGRAPHICS'!Q1199)</f>
        <v/>
      </c>
    </row>
    <row r="1190" spans="1:21">
      <c r="A1190" s="25" t="str">
        <f>IF('PART III-DEMOGRAPHICS'!A1200="","",'PART III-DEMOGRAPHICS'!A1200)</f>
        <v/>
      </c>
      <c r="B1190" s="28"/>
      <c r="C1190" s="27"/>
      <c r="D1190" s="28"/>
      <c r="E1190" s="21"/>
      <c r="F1190" s="36" t="str">
        <f t="shared" si="40"/>
        <v>Did Not</v>
      </c>
      <c r="G1190" s="28"/>
      <c r="H1190" s="28"/>
      <c r="I1190" s="28"/>
      <c r="J1190" s="28"/>
      <c r="K1190" s="28"/>
      <c r="L1190" s="28"/>
      <c r="M1190" s="28"/>
      <c r="N1190" s="21"/>
      <c r="O1190" s="28"/>
      <c r="P1190" s="38"/>
      <c r="Q1190" s="21"/>
      <c r="R1190" s="21"/>
      <c r="S1190" s="47"/>
      <c r="T1190" s="25">
        <f t="shared" si="39"/>
        <v>0</v>
      </c>
      <c r="U1190" s="25" t="str">
        <f>IF('PART III-DEMOGRAPHICS'!Q1200="","",'PART III-DEMOGRAPHICS'!Q1200)</f>
        <v/>
      </c>
    </row>
    <row r="1191" spans="1:21">
      <c r="A1191" s="25" t="str">
        <f>IF('PART III-DEMOGRAPHICS'!A1201="","",'PART III-DEMOGRAPHICS'!A1201)</f>
        <v/>
      </c>
      <c r="B1191" s="28"/>
      <c r="C1191" s="27"/>
      <c r="D1191" s="28"/>
      <c r="E1191" s="21"/>
      <c r="F1191" s="36" t="str">
        <f t="shared" si="40"/>
        <v>Did Not</v>
      </c>
      <c r="G1191" s="28"/>
      <c r="H1191" s="28"/>
      <c r="I1191" s="28"/>
      <c r="J1191" s="28"/>
      <c r="K1191" s="28"/>
      <c r="L1191" s="28"/>
      <c r="M1191" s="28"/>
      <c r="N1191" s="21"/>
      <c r="O1191" s="28"/>
      <c r="P1191" s="38"/>
      <c r="Q1191" s="21"/>
      <c r="R1191" s="21"/>
      <c r="S1191" s="47"/>
      <c r="T1191" s="25">
        <f t="shared" si="39"/>
        <v>0</v>
      </c>
      <c r="U1191" s="25" t="str">
        <f>IF('PART III-DEMOGRAPHICS'!Q1201="","",'PART III-DEMOGRAPHICS'!Q1201)</f>
        <v/>
      </c>
    </row>
    <row r="1192" spans="1:21">
      <c r="A1192" s="25" t="str">
        <f>IF('PART III-DEMOGRAPHICS'!A1202="","",'PART III-DEMOGRAPHICS'!A1202)</f>
        <v/>
      </c>
      <c r="B1192" s="28"/>
      <c r="C1192" s="27"/>
      <c r="D1192" s="28"/>
      <c r="E1192" s="21"/>
      <c r="F1192" s="36" t="str">
        <f t="shared" si="40"/>
        <v>Did Not</v>
      </c>
      <c r="G1192" s="28"/>
      <c r="H1192" s="28"/>
      <c r="I1192" s="28"/>
      <c r="J1192" s="28"/>
      <c r="K1192" s="28"/>
      <c r="L1192" s="28"/>
      <c r="M1192" s="28"/>
      <c r="N1192" s="21"/>
      <c r="O1192" s="28"/>
      <c r="P1192" s="38"/>
      <c r="Q1192" s="21"/>
      <c r="R1192" s="21"/>
      <c r="S1192" s="47"/>
      <c r="T1192" s="25">
        <f t="shared" si="39"/>
        <v>0</v>
      </c>
      <c r="U1192" s="25" t="str">
        <f>IF('PART III-DEMOGRAPHICS'!Q1202="","",'PART III-DEMOGRAPHICS'!Q1202)</f>
        <v/>
      </c>
    </row>
    <row r="1193" spans="1:21">
      <c r="A1193" s="25" t="str">
        <f>IF('PART III-DEMOGRAPHICS'!A1203="","",'PART III-DEMOGRAPHICS'!A1203)</f>
        <v/>
      </c>
      <c r="B1193" s="28"/>
      <c r="C1193" s="27"/>
      <c r="D1193" s="28"/>
      <c r="E1193" s="21"/>
      <c r="F1193" s="36" t="str">
        <f t="shared" si="40"/>
        <v>Did Not</v>
      </c>
      <c r="G1193" s="28"/>
      <c r="H1193" s="28"/>
      <c r="I1193" s="28"/>
      <c r="J1193" s="28"/>
      <c r="K1193" s="28"/>
      <c r="L1193" s="28"/>
      <c r="M1193" s="28"/>
      <c r="N1193" s="21"/>
      <c r="O1193" s="28"/>
      <c r="P1193" s="38"/>
      <c r="Q1193" s="21"/>
      <c r="R1193" s="21"/>
      <c r="S1193" s="47"/>
      <c r="T1193" s="25">
        <f t="shared" si="39"/>
        <v>0</v>
      </c>
      <c r="U1193" s="25" t="str">
        <f>IF('PART III-DEMOGRAPHICS'!Q1203="","",'PART III-DEMOGRAPHICS'!Q1203)</f>
        <v/>
      </c>
    </row>
    <row r="1194" spans="1:21">
      <c r="A1194" s="25" t="str">
        <f>IF('PART III-DEMOGRAPHICS'!A1204="","",'PART III-DEMOGRAPHICS'!A1204)</f>
        <v/>
      </c>
      <c r="B1194" s="28"/>
      <c r="C1194" s="27"/>
      <c r="D1194" s="28"/>
      <c r="E1194" s="21"/>
      <c r="F1194" s="36" t="str">
        <f t="shared" si="40"/>
        <v>Did Not</v>
      </c>
      <c r="G1194" s="28"/>
      <c r="H1194" s="28"/>
      <c r="I1194" s="28"/>
      <c r="J1194" s="28"/>
      <c r="K1194" s="28"/>
      <c r="L1194" s="28"/>
      <c r="M1194" s="28"/>
      <c r="N1194" s="21"/>
      <c r="O1194" s="28"/>
      <c r="P1194" s="38"/>
      <c r="Q1194" s="21"/>
      <c r="R1194" s="21"/>
      <c r="S1194" s="47"/>
      <c r="T1194" s="25">
        <f t="shared" si="39"/>
        <v>0</v>
      </c>
      <c r="U1194" s="25" t="str">
        <f>IF('PART III-DEMOGRAPHICS'!Q1204="","",'PART III-DEMOGRAPHICS'!Q1204)</f>
        <v/>
      </c>
    </row>
    <row r="1195" spans="1:21">
      <c r="A1195" s="25" t="str">
        <f>IF('PART III-DEMOGRAPHICS'!A1205="","",'PART III-DEMOGRAPHICS'!A1205)</f>
        <v/>
      </c>
      <c r="B1195" s="28"/>
      <c r="C1195" s="27"/>
      <c r="D1195" s="28"/>
      <c r="E1195" s="21"/>
      <c r="F1195" s="36" t="str">
        <f t="shared" si="40"/>
        <v>Did Not</v>
      </c>
      <c r="G1195" s="28"/>
      <c r="H1195" s="28"/>
      <c r="I1195" s="28"/>
      <c r="J1195" s="28"/>
      <c r="K1195" s="28"/>
      <c r="L1195" s="28"/>
      <c r="M1195" s="28"/>
      <c r="N1195" s="21"/>
      <c r="O1195" s="28"/>
      <c r="P1195" s="38"/>
      <c r="Q1195" s="21"/>
      <c r="R1195" s="21"/>
      <c r="S1195" s="47"/>
      <c r="T1195" s="25">
        <f t="shared" si="39"/>
        <v>0</v>
      </c>
      <c r="U1195" s="25" t="str">
        <f>IF('PART III-DEMOGRAPHICS'!Q1205="","",'PART III-DEMOGRAPHICS'!Q1205)</f>
        <v/>
      </c>
    </row>
    <row r="1196" spans="1:21">
      <c r="A1196" s="25" t="str">
        <f>IF('PART III-DEMOGRAPHICS'!A1206="","",'PART III-DEMOGRAPHICS'!A1206)</f>
        <v/>
      </c>
      <c r="B1196" s="28"/>
      <c r="C1196" s="27"/>
      <c r="D1196" s="28"/>
      <c r="E1196" s="21"/>
      <c r="F1196" s="36" t="str">
        <f t="shared" si="40"/>
        <v>Did Not</v>
      </c>
      <c r="G1196" s="28"/>
      <c r="H1196" s="28"/>
      <c r="I1196" s="28"/>
      <c r="J1196" s="28"/>
      <c r="K1196" s="28"/>
      <c r="L1196" s="28"/>
      <c r="M1196" s="28"/>
      <c r="N1196" s="21"/>
      <c r="O1196" s="28"/>
      <c r="P1196" s="38"/>
      <c r="Q1196" s="21"/>
      <c r="R1196" s="21"/>
      <c r="S1196" s="47"/>
      <c r="T1196" s="25">
        <f t="shared" si="39"/>
        <v>0</v>
      </c>
      <c r="U1196" s="25" t="str">
        <f>IF('PART III-DEMOGRAPHICS'!Q1206="","",'PART III-DEMOGRAPHICS'!Q1206)</f>
        <v/>
      </c>
    </row>
    <row r="1197" spans="1:21">
      <c r="A1197" s="25" t="str">
        <f>IF('PART III-DEMOGRAPHICS'!A1207="","",'PART III-DEMOGRAPHICS'!A1207)</f>
        <v/>
      </c>
      <c r="B1197" s="28"/>
      <c r="C1197" s="27"/>
      <c r="D1197" s="28"/>
      <c r="E1197" s="21"/>
      <c r="F1197" s="36" t="str">
        <f t="shared" si="40"/>
        <v>Did Not</v>
      </c>
      <c r="G1197" s="28"/>
      <c r="H1197" s="28"/>
      <c r="I1197" s="28"/>
      <c r="J1197" s="28"/>
      <c r="K1197" s="28"/>
      <c r="L1197" s="28"/>
      <c r="M1197" s="28"/>
      <c r="N1197" s="21"/>
      <c r="O1197" s="28"/>
      <c r="P1197" s="38"/>
      <c r="Q1197" s="21"/>
      <c r="R1197" s="21"/>
      <c r="S1197" s="47"/>
      <c r="T1197" s="25">
        <f t="shared" si="39"/>
        <v>0</v>
      </c>
      <c r="U1197" s="25" t="str">
        <f>IF('PART III-DEMOGRAPHICS'!Q1207="","",'PART III-DEMOGRAPHICS'!Q1207)</f>
        <v/>
      </c>
    </row>
    <row r="1198" spans="1:21">
      <c r="A1198" s="25" t="str">
        <f>IF('PART III-DEMOGRAPHICS'!A1208="","",'PART III-DEMOGRAPHICS'!A1208)</f>
        <v/>
      </c>
      <c r="B1198" s="28"/>
      <c r="C1198" s="27"/>
      <c r="D1198" s="28"/>
      <c r="E1198" s="21"/>
      <c r="F1198" s="36" t="str">
        <f t="shared" si="40"/>
        <v>Did Not</v>
      </c>
      <c r="G1198" s="28"/>
      <c r="H1198" s="28"/>
      <c r="I1198" s="28"/>
      <c r="J1198" s="28"/>
      <c r="K1198" s="28"/>
      <c r="L1198" s="28"/>
      <c r="M1198" s="28"/>
      <c r="N1198" s="21"/>
      <c r="O1198" s="28"/>
      <c r="P1198" s="38"/>
      <c r="Q1198" s="21"/>
      <c r="R1198" s="21"/>
      <c r="S1198" s="47"/>
      <c r="T1198" s="25">
        <f t="shared" si="39"/>
        <v>0</v>
      </c>
      <c r="U1198" s="25" t="str">
        <f>IF('PART III-DEMOGRAPHICS'!Q1208="","",'PART III-DEMOGRAPHICS'!Q1208)</f>
        <v/>
      </c>
    </row>
    <row r="1199" spans="1:21">
      <c r="A1199" s="25" t="str">
        <f>IF('PART III-DEMOGRAPHICS'!A1209="","",'PART III-DEMOGRAPHICS'!A1209)</f>
        <v/>
      </c>
      <c r="B1199" s="28"/>
      <c r="C1199" s="27"/>
      <c r="D1199" s="28"/>
      <c r="E1199" s="21"/>
      <c r="F1199" s="36" t="str">
        <f t="shared" si="40"/>
        <v>Did Not</v>
      </c>
      <c r="G1199" s="28"/>
      <c r="H1199" s="28"/>
      <c r="I1199" s="28"/>
      <c r="J1199" s="28"/>
      <c r="K1199" s="28"/>
      <c r="L1199" s="28"/>
      <c r="M1199" s="28"/>
      <c r="N1199" s="21"/>
      <c r="O1199" s="28"/>
      <c r="P1199" s="38"/>
      <c r="Q1199" s="21"/>
      <c r="R1199" s="21"/>
      <c r="S1199" s="47"/>
      <c r="T1199" s="25">
        <f t="shared" si="39"/>
        <v>0</v>
      </c>
      <c r="U1199" s="25" t="str">
        <f>IF('PART III-DEMOGRAPHICS'!Q1209="","",'PART III-DEMOGRAPHICS'!Q1209)</f>
        <v/>
      </c>
    </row>
    <row r="1200" spans="1:21">
      <c r="A1200" s="25" t="str">
        <f>IF('PART III-DEMOGRAPHICS'!A1210="","",'PART III-DEMOGRAPHICS'!A1210)</f>
        <v/>
      </c>
      <c r="B1200" s="28"/>
      <c r="C1200" s="27"/>
      <c r="D1200" s="28"/>
      <c r="E1200" s="21"/>
      <c r="F1200" s="36" t="str">
        <f t="shared" si="40"/>
        <v>Did Not</v>
      </c>
      <c r="G1200" s="28"/>
      <c r="H1200" s="28"/>
      <c r="I1200" s="28"/>
      <c r="J1200" s="28"/>
      <c r="K1200" s="28"/>
      <c r="L1200" s="28"/>
      <c r="M1200" s="28"/>
      <c r="N1200" s="21"/>
      <c r="O1200" s="28"/>
      <c r="P1200" s="38"/>
      <c r="Q1200" s="21"/>
      <c r="R1200" s="21"/>
      <c r="S1200" s="47"/>
      <c r="T1200" s="25">
        <f t="shared" si="39"/>
        <v>0</v>
      </c>
      <c r="U1200" s="25" t="str">
        <f>IF('PART III-DEMOGRAPHICS'!Q1210="","",'PART III-DEMOGRAPHICS'!Q1210)</f>
        <v/>
      </c>
    </row>
    <row r="1201" spans="1:21">
      <c r="A1201" s="25" t="str">
        <f>IF('PART III-DEMOGRAPHICS'!A1211="","",'PART III-DEMOGRAPHICS'!A1211)</f>
        <v/>
      </c>
      <c r="B1201" s="28"/>
      <c r="C1201" s="27"/>
      <c r="D1201" s="28"/>
      <c r="E1201" s="21"/>
      <c r="F1201" s="36" t="str">
        <f t="shared" si="40"/>
        <v>Did Not</v>
      </c>
      <c r="G1201" s="28"/>
      <c r="H1201" s="28"/>
      <c r="I1201" s="28"/>
      <c r="J1201" s="28"/>
      <c r="K1201" s="28"/>
      <c r="L1201" s="28"/>
      <c r="M1201" s="28"/>
      <c r="N1201" s="21"/>
      <c r="O1201" s="28"/>
      <c r="P1201" s="38"/>
      <c r="Q1201" s="21"/>
      <c r="R1201" s="21"/>
      <c r="S1201" s="47"/>
      <c r="T1201" s="25">
        <f t="shared" si="39"/>
        <v>0</v>
      </c>
      <c r="U1201" s="25" t="str">
        <f>IF('PART III-DEMOGRAPHICS'!Q1211="","",'PART III-DEMOGRAPHICS'!Q1211)</f>
        <v/>
      </c>
    </row>
    <row r="1202" spans="1:21">
      <c r="A1202" s="25" t="str">
        <f>IF('PART III-DEMOGRAPHICS'!A1212="","",'PART III-DEMOGRAPHICS'!A1212)</f>
        <v/>
      </c>
      <c r="B1202" s="28"/>
      <c r="C1202" s="27"/>
      <c r="D1202" s="28"/>
      <c r="E1202" s="21"/>
      <c r="F1202" s="36" t="str">
        <f t="shared" si="40"/>
        <v>Did Not</v>
      </c>
      <c r="G1202" s="28"/>
      <c r="H1202" s="28"/>
      <c r="I1202" s="28"/>
      <c r="J1202" s="28"/>
      <c r="K1202" s="28"/>
      <c r="L1202" s="28"/>
      <c r="M1202" s="28"/>
      <c r="N1202" s="21"/>
      <c r="O1202" s="28"/>
      <c r="P1202" s="38"/>
      <c r="Q1202" s="21"/>
      <c r="R1202" s="21"/>
      <c r="S1202" s="47"/>
      <c r="T1202" s="25">
        <f t="shared" si="39"/>
        <v>0</v>
      </c>
      <c r="U1202" s="25" t="str">
        <f>IF('PART III-DEMOGRAPHICS'!Q1212="","",'PART III-DEMOGRAPHICS'!Q1212)</f>
        <v/>
      </c>
    </row>
    <row r="1203" spans="1:21">
      <c r="A1203" s="25" t="str">
        <f>IF('PART III-DEMOGRAPHICS'!A1213="","",'PART III-DEMOGRAPHICS'!A1213)</f>
        <v/>
      </c>
      <c r="B1203" s="28"/>
      <c r="C1203" s="27"/>
      <c r="D1203" s="28"/>
      <c r="E1203" s="21"/>
      <c r="F1203" s="36" t="str">
        <f t="shared" si="40"/>
        <v>Did Not</v>
      </c>
      <c r="G1203" s="28"/>
      <c r="H1203" s="28"/>
      <c r="I1203" s="28"/>
      <c r="J1203" s="28"/>
      <c r="K1203" s="28"/>
      <c r="L1203" s="28"/>
      <c r="M1203" s="28"/>
      <c r="N1203" s="21"/>
      <c r="O1203" s="28"/>
      <c r="P1203" s="38"/>
      <c r="Q1203" s="21"/>
      <c r="R1203" s="21"/>
      <c r="S1203" s="47"/>
      <c r="T1203" s="25">
        <f t="shared" si="39"/>
        <v>0</v>
      </c>
      <c r="U1203" s="25" t="str">
        <f>IF('PART III-DEMOGRAPHICS'!Q1213="","",'PART III-DEMOGRAPHICS'!Q1213)</f>
        <v/>
      </c>
    </row>
    <row r="1204" spans="1:21">
      <c r="A1204" s="25" t="str">
        <f>IF('PART III-DEMOGRAPHICS'!A1214="","",'PART III-DEMOGRAPHICS'!A1214)</f>
        <v/>
      </c>
      <c r="B1204" s="28"/>
      <c r="C1204" s="27"/>
      <c r="D1204" s="28"/>
      <c r="E1204" s="21"/>
      <c r="F1204" s="36" t="str">
        <f t="shared" si="40"/>
        <v>Did Not</v>
      </c>
      <c r="G1204" s="28"/>
      <c r="H1204" s="28"/>
      <c r="I1204" s="28"/>
      <c r="J1204" s="28"/>
      <c r="K1204" s="28"/>
      <c r="L1204" s="28"/>
      <c r="M1204" s="28"/>
      <c r="N1204" s="21"/>
      <c r="O1204" s="28"/>
      <c r="P1204" s="38"/>
      <c r="Q1204" s="21"/>
      <c r="R1204" s="21"/>
      <c r="S1204" s="47"/>
      <c r="T1204" s="25">
        <f t="shared" si="39"/>
        <v>0</v>
      </c>
      <c r="U1204" s="25" t="str">
        <f>IF('PART III-DEMOGRAPHICS'!Q1214="","",'PART III-DEMOGRAPHICS'!Q1214)</f>
        <v/>
      </c>
    </row>
    <row r="1205" spans="1:21">
      <c r="A1205" s="25" t="str">
        <f>IF('PART III-DEMOGRAPHICS'!A1215="","",'PART III-DEMOGRAPHICS'!A1215)</f>
        <v/>
      </c>
      <c r="B1205" s="28"/>
      <c r="C1205" s="27"/>
      <c r="D1205" s="28"/>
      <c r="E1205" s="21"/>
      <c r="F1205" s="36" t="str">
        <f t="shared" si="40"/>
        <v>Did Not</v>
      </c>
      <c r="G1205" s="28"/>
      <c r="H1205" s="28"/>
      <c r="I1205" s="28"/>
      <c r="J1205" s="28"/>
      <c r="K1205" s="28"/>
      <c r="L1205" s="28"/>
      <c r="M1205" s="28"/>
      <c r="N1205" s="21"/>
      <c r="O1205" s="28"/>
      <c r="P1205" s="38"/>
      <c r="Q1205" s="21"/>
      <c r="R1205" s="21"/>
      <c r="S1205" s="47"/>
      <c r="T1205" s="25">
        <f t="shared" si="39"/>
        <v>0</v>
      </c>
      <c r="U1205" s="25" t="str">
        <f>IF('PART III-DEMOGRAPHICS'!Q1215="","",'PART III-DEMOGRAPHICS'!Q1215)</f>
        <v/>
      </c>
    </row>
    <row r="1206" spans="1:21">
      <c r="A1206" s="25" t="str">
        <f>IF('PART III-DEMOGRAPHICS'!A1216="","",'PART III-DEMOGRAPHICS'!A1216)</f>
        <v/>
      </c>
      <c r="B1206" s="28"/>
      <c r="C1206" s="27"/>
      <c r="D1206" s="28"/>
      <c r="E1206" s="21"/>
      <c r="F1206" s="36" t="str">
        <f t="shared" si="40"/>
        <v>Did Not</v>
      </c>
      <c r="G1206" s="28"/>
      <c r="H1206" s="28"/>
      <c r="I1206" s="28"/>
      <c r="J1206" s="28"/>
      <c r="K1206" s="28"/>
      <c r="L1206" s="28"/>
      <c r="M1206" s="28"/>
      <c r="N1206" s="21"/>
      <c r="O1206" s="28"/>
      <c r="P1206" s="38"/>
      <c r="Q1206" s="21"/>
      <c r="R1206" s="21"/>
      <c r="S1206" s="47"/>
      <c r="T1206" s="25">
        <f t="shared" si="39"/>
        <v>0</v>
      </c>
      <c r="U1206" s="25" t="str">
        <f>IF('PART III-DEMOGRAPHICS'!Q1216="","",'PART III-DEMOGRAPHICS'!Q1216)</f>
        <v/>
      </c>
    </row>
    <row r="1207" spans="1:21">
      <c r="A1207" s="25" t="str">
        <f>IF('PART III-DEMOGRAPHICS'!A1217="","",'PART III-DEMOGRAPHICS'!A1217)</f>
        <v/>
      </c>
      <c r="B1207" s="28"/>
      <c r="C1207" s="27"/>
      <c r="D1207" s="28"/>
      <c r="E1207" s="21"/>
      <c r="F1207" s="36" t="str">
        <f t="shared" si="40"/>
        <v>Did Not</v>
      </c>
      <c r="G1207" s="28"/>
      <c r="H1207" s="28"/>
      <c r="I1207" s="28"/>
      <c r="J1207" s="28"/>
      <c r="K1207" s="28"/>
      <c r="L1207" s="28"/>
      <c r="M1207" s="28"/>
      <c r="N1207" s="21"/>
      <c r="O1207" s="28"/>
      <c r="P1207" s="38"/>
      <c r="Q1207" s="21"/>
      <c r="R1207" s="21"/>
      <c r="S1207" s="47"/>
      <c r="T1207" s="25">
        <f t="shared" si="39"/>
        <v>0</v>
      </c>
      <c r="U1207" s="25" t="str">
        <f>IF('PART III-DEMOGRAPHICS'!Q1217="","",'PART III-DEMOGRAPHICS'!Q1217)</f>
        <v/>
      </c>
    </row>
    <row r="1208" spans="1:21">
      <c r="A1208" s="25" t="str">
        <f>IF('PART III-DEMOGRAPHICS'!A1218="","",'PART III-DEMOGRAPHICS'!A1218)</f>
        <v/>
      </c>
      <c r="B1208" s="28"/>
      <c r="C1208" s="27"/>
      <c r="D1208" s="28"/>
      <c r="E1208" s="21"/>
      <c r="F1208" s="36" t="str">
        <f t="shared" si="40"/>
        <v>Did Not</v>
      </c>
      <c r="G1208" s="28"/>
      <c r="H1208" s="28"/>
      <c r="I1208" s="28"/>
      <c r="J1208" s="28"/>
      <c r="K1208" s="28"/>
      <c r="L1208" s="28"/>
      <c r="M1208" s="28"/>
      <c r="N1208" s="21"/>
      <c r="O1208" s="28"/>
      <c r="P1208" s="38"/>
      <c r="Q1208" s="21"/>
      <c r="R1208" s="21"/>
      <c r="S1208" s="47"/>
      <c r="T1208" s="25">
        <f t="shared" si="39"/>
        <v>0</v>
      </c>
      <c r="U1208" s="25" t="str">
        <f>IF('PART III-DEMOGRAPHICS'!Q1218="","",'PART III-DEMOGRAPHICS'!Q1218)</f>
        <v/>
      </c>
    </row>
    <row r="1209" spans="1:21">
      <c r="A1209" s="25" t="str">
        <f>IF('PART III-DEMOGRAPHICS'!A1219="","",'PART III-DEMOGRAPHICS'!A1219)</f>
        <v/>
      </c>
      <c r="B1209" s="28"/>
      <c r="C1209" s="27"/>
      <c r="D1209" s="28"/>
      <c r="E1209" s="21"/>
      <c r="F1209" s="36" t="str">
        <f t="shared" si="40"/>
        <v>Did Not</v>
      </c>
      <c r="G1209" s="28"/>
      <c r="H1209" s="28"/>
      <c r="I1209" s="28"/>
      <c r="J1209" s="28"/>
      <c r="K1209" s="28"/>
      <c r="L1209" s="28"/>
      <c r="M1209" s="28"/>
      <c r="N1209" s="21"/>
      <c r="O1209" s="28"/>
      <c r="P1209" s="38"/>
      <c r="Q1209" s="21"/>
      <c r="R1209" s="21"/>
      <c r="S1209" s="47"/>
      <c r="T1209" s="25">
        <f t="shared" si="39"/>
        <v>0</v>
      </c>
      <c r="U1209" s="25" t="str">
        <f>IF('PART III-DEMOGRAPHICS'!Q1219="","",'PART III-DEMOGRAPHICS'!Q1219)</f>
        <v/>
      </c>
    </row>
    <row r="1210" spans="1:21">
      <c r="A1210" s="25" t="str">
        <f>IF('PART III-DEMOGRAPHICS'!A1220="","",'PART III-DEMOGRAPHICS'!A1220)</f>
        <v/>
      </c>
      <c r="B1210" s="28"/>
      <c r="C1210" s="27"/>
      <c r="D1210" s="28"/>
      <c r="E1210" s="21"/>
      <c r="F1210" s="36" t="str">
        <f t="shared" si="40"/>
        <v>Did Not</v>
      </c>
      <c r="G1210" s="28"/>
      <c r="H1210" s="28"/>
      <c r="I1210" s="28"/>
      <c r="J1210" s="28"/>
      <c r="K1210" s="28"/>
      <c r="L1210" s="28"/>
      <c r="M1210" s="28"/>
      <c r="N1210" s="21"/>
      <c r="O1210" s="28"/>
      <c r="P1210" s="38"/>
      <c r="Q1210" s="21"/>
      <c r="R1210" s="21"/>
      <c r="S1210" s="47"/>
      <c r="T1210" s="25">
        <f t="shared" si="39"/>
        <v>0</v>
      </c>
      <c r="U1210" s="25" t="str">
        <f>IF('PART III-DEMOGRAPHICS'!Q1220="","",'PART III-DEMOGRAPHICS'!Q1220)</f>
        <v/>
      </c>
    </row>
    <row r="1211" spans="1:21">
      <c r="A1211" s="25" t="str">
        <f>IF('PART III-DEMOGRAPHICS'!A1221="","",'PART III-DEMOGRAPHICS'!A1221)</f>
        <v/>
      </c>
      <c r="B1211" s="28"/>
      <c r="C1211" s="27"/>
      <c r="D1211" s="28"/>
      <c r="E1211" s="21"/>
      <c r="F1211" s="36" t="str">
        <f t="shared" si="40"/>
        <v>Did Not</v>
      </c>
      <c r="G1211" s="28"/>
      <c r="H1211" s="28"/>
      <c r="I1211" s="28"/>
      <c r="J1211" s="28"/>
      <c r="K1211" s="28"/>
      <c r="L1211" s="28"/>
      <c r="M1211" s="28"/>
      <c r="N1211" s="21"/>
      <c r="O1211" s="28"/>
      <c r="P1211" s="38"/>
      <c r="Q1211" s="21"/>
      <c r="R1211" s="21"/>
      <c r="S1211" s="47"/>
      <c r="T1211" s="25">
        <f t="shared" si="39"/>
        <v>0</v>
      </c>
      <c r="U1211" s="25" t="str">
        <f>IF('PART III-DEMOGRAPHICS'!Q1221="","",'PART III-DEMOGRAPHICS'!Q1221)</f>
        <v/>
      </c>
    </row>
    <row r="1212" spans="1:21">
      <c r="A1212" s="25" t="str">
        <f>IF('PART III-DEMOGRAPHICS'!A1222="","",'PART III-DEMOGRAPHICS'!A1222)</f>
        <v/>
      </c>
      <c r="B1212" s="28"/>
      <c r="C1212" s="27"/>
      <c r="D1212" s="28"/>
      <c r="E1212" s="21"/>
      <c r="F1212" s="36" t="str">
        <f t="shared" si="40"/>
        <v>Did Not</v>
      </c>
      <c r="G1212" s="28"/>
      <c r="H1212" s="28"/>
      <c r="I1212" s="28"/>
      <c r="J1212" s="28"/>
      <c r="K1212" s="28"/>
      <c r="L1212" s="28"/>
      <c r="M1212" s="28"/>
      <c r="N1212" s="21"/>
      <c r="O1212" s="28"/>
      <c r="P1212" s="38"/>
      <c r="Q1212" s="21"/>
      <c r="R1212" s="21"/>
      <c r="S1212" s="47"/>
      <c r="T1212" s="25">
        <f t="shared" si="39"/>
        <v>0</v>
      </c>
      <c r="U1212" s="25" t="str">
        <f>IF('PART III-DEMOGRAPHICS'!Q1222="","",'PART III-DEMOGRAPHICS'!Q1222)</f>
        <v/>
      </c>
    </row>
    <row r="1213" spans="1:21">
      <c r="A1213" s="25" t="str">
        <f>IF('PART III-DEMOGRAPHICS'!A1223="","",'PART III-DEMOGRAPHICS'!A1223)</f>
        <v/>
      </c>
      <c r="B1213" s="28"/>
      <c r="C1213" s="27"/>
      <c r="D1213" s="28"/>
      <c r="E1213" s="21"/>
      <c r="F1213" s="36" t="str">
        <f t="shared" si="40"/>
        <v>Did Not</v>
      </c>
      <c r="G1213" s="28"/>
      <c r="H1213" s="28"/>
      <c r="I1213" s="28"/>
      <c r="J1213" s="28"/>
      <c r="K1213" s="28"/>
      <c r="L1213" s="28"/>
      <c r="M1213" s="28"/>
      <c r="N1213" s="21"/>
      <c r="O1213" s="28"/>
      <c r="P1213" s="38"/>
      <c r="Q1213" s="21"/>
      <c r="R1213" s="21"/>
      <c r="S1213" s="47"/>
      <c r="T1213" s="25">
        <f t="shared" si="39"/>
        <v>0</v>
      </c>
      <c r="U1213" s="25" t="str">
        <f>IF('PART III-DEMOGRAPHICS'!Q1223="","",'PART III-DEMOGRAPHICS'!Q1223)</f>
        <v/>
      </c>
    </row>
    <row r="1214" spans="1:21">
      <c r="A1214" s="25" t="str">
        <f>IF('PART III-DEMOGRAPHICS'!A1224="","",'PART III-DEMOGRAPHICS'!A1224)</f>
        <v/>
      </c>
      <c r="B1214" s="28"/>
      <c r="C1214" s="27"/>
      <c r="D1214" s="28"/>
      <c r="E1214" s="21"/>
      <c r="F1214" s="36" t="str">
        <f t="shared" si="40"/>
        <v>Did Not</v>
      </c>
      <c r="G1214" s="28"/>
      <c r="H1214" s="28"/>
      <c r="I1214" s="28"/>
      <c r="J1214" s="28"/>
      <c r="K1214" s="28"/>
      <c r="L1214" s="28"/>
      <c r="M1214" s="28"/>
      <c r="N1214" s="21"/>
      <c r="O1214" s="28"/>
      <c r="P1214" s="38"/>
      <c r="Q1214" s="21"/>
      <c r="R1214" s="21"/>
      <c r="S1214" s="47"/>
      <c r="T1214" s="25">
        <f t="shared" si="39"/>
        <v>0</v>
      </c>
      <c r="U1214" s="25" t="str">
        <f>IF('PART III-DEMOGRAPHICS'!Q1224="","",'PART III-DEMOGRAPHICS'!Q1224)</f>
        <v/>
      </c>
    </row>
    <row r="1215" spans="1:21">
      <c r="A1215" s="25" t="str">
        <f>IF('PART III-DEMOGRAPHICS'!A1225="","",'PART III-DEMOGRAPHICS'!A1225)</f>
        <v/>
      </c>
      <c r="B1215" s="28"/>
      <c r="C1215" s="27"/>
      <c r="D1215" s="28"/>
      <c r="E1215" s="21"/>
      <c r="F1215" s="36" t="str">
        <f t="shared" si="40"/>
        <v>Did Not</v>
      </c>
      <c r="G1215" s="28"/>
      <c r="H1215" s="28"/>
      <c r="I1215" s="28"/>
      <c r="J1215" s="28"/>
      <c r="K1215" s="28"/>
      <c r="L1215" s="28"/>
      <c r="M1215" s="28"/>
      <c r="N1215" s="21"/>
      <c r="O1215" s="28"/>
      <c r="P1215" s="38"/>
      <c r="Q1215" s="21"/>
      <c r="R1215" s="21"/>
      <c r="S1215" s="47"/>
      <c r="T1215" s="25">
        <f t="shared" si="39"/>
        <v>0</v>
      </c>
      <c r="U1215" s="25" t="str">
        <f>IF('PART III-DEMOGRAPHICS'!Q1225="","",'PART III-DEMOGRAPHICS'!Q1225)</f>
        <v/>
      </c>
    </row>
    <row r="1216" spans="1:21">
      <c r="A1216" s="25" t="str">
        <f>IF('PART III-DEMOGRAPHICS'!A1226="","",'PART III-DEMOGRAPHICS'!A1226)</f>
        <v/>
      </c>
      <c r="B1216" s="28"/>
      <c r="C1216" s="27"/>
      <c r="D1216" s="28"/>
      <c r="E1216" s="21"/>
      <c r="F1216" s="36" t="str">
        <f t="shared" si="40"/>
        <v>Did Not</v>
      </c>
      <c r="G1216" s="28"/>
      <c r="H1216" s="28"/>
      <c r="I1216" s="28"/>
      <c r="J1216" s="28"/>
      <c r="K1216" s="28"/>
      <c r="L1216" s="28"/>
      <c r="M1216" s="28"/>
      <c r="N1216" s="21"/>
      <c r="O1216" s="28"/>
      <c r="P1216" s="38"/>
      <c r="Q1216" s="21"/>
      <c r="R1216" s="21"/>
      <c r="S1216" s="47"/>
      <c r="T1216" s="25">
        <f t="shared" si="39"/>
        <v>0</v>
      </c>
      <c r="U1216" s="25" t="str">
        <f>IF('PART III-DEMOGRAPHICS'!Q1226="","",'PART III-DEMOGRAPHICS'!Q1226)</f>
        <v/>
      </c>
    </row>
    <row r="1217" spans="1:21">
      <c r="A1217" s="25" t="str">
        <f>IF('PART III-DEMOGRAPHICS'!A1227="","",'PART III-DEMOGRAPHICS'!A1227)</f>
        <v/>
      </c>
      <c r="B1217" s="28"/>
      <c r="C1217" s="27"/>
      <c r="D1217" s="28"/>
      <c r="E1217" s="21"/>
      <c r="F1217" s="36" t="str">
        <f t="shared" si="40"/>
        <v>Did Not</v>
      </c>
      <c r="G1217" s="28"/>
      <c r="H1217" s="28"/>
      <c r="I1217" s="28"/>
      <c r="J1217" s="28"/>
      <c r="K1217" s="28"/>
      <c r="L1217" s="28"/>
      <c r="M1217" s="28"/>
      <c r="N1217" s="21"/>
      <c r="O1217" s="28"/>
      <c r="P1217" s="38"/>
      <c r="Q1217" s="21"/>
      <c r="R1217" s="21"/>
      <c r="S1217" s="47"/>
      <c r="T1217" s="25">
        <f t="shared" si="39"/>
        <v>0</v>
      </c>
      <c r="U1217" s="25" t="str">
        <f>IF('PART III-DEMOGRAPHICS'!Q1227="","",'PART III-DEMOGRAPHICS'!Q1227)</f>
        <v/>
      </c>
    </row>
    <row r="1218" spans="1:21">
      <c r="A1218" s="25" t="str">
        <f>IF('PART III-DEMOGRAPHICS'!A1228="","",'PART III-DEMOGRAPHICS'!A1228)</f>
        <v/>
      </c>
      <c r="B1218" s="28"/>
      <c r="C1218" s="27"/>
      <c r="D1218" s="28"/>
      <c r="E1218" s="21"/>
      <c r="F1218" s="36" t="str">
        <f t="shared" si="40"/>
        <v>Did Not</v>
      </c>
      <c r="G1218" s="28"/>
      <c r="H1218" s="28"/>
      <c r="I1218" s="28"/>
      <c r="J1218" s="28"/>
      <c r="K1218" s="28"/>
      <c r="L1218" s="28"/>
      <c r="M1218" s="28"/>
      <c r="N1218" s="21"/>
      <c r="O1218" s="28"/>
      <c r="P1218" s="38"/>
      <c r="Q1218" s="21"/>
      <c r="R1218" s="21"/>
      <c r="S1218" s="47"/>
      <c r="T1218" s="25">
        <f t="shared" si="39"/>
        <v>0</v>
      </c>
      <c r="U1218" s="25" t="str">
        <f>IF('PART III-DEMOGRAPHICS'!Q1228="","",'PART III-DEMOGRAPHICS'!Q1228)</f>
        <v/>
      </c>
    </row>
    <row r="1219" spans="1:21">
      <c r="A1219" s="25" t="str">
        <f>IF('PART III-DEMOGRAPHICS'!A1229="","",'PART III-DEMOGRAPHICS'!A1229)</f>
        <v/>
      </c>
      <c r="B1219" s="28"/>
      <c r="C1219" s="27"/>
      <c r="D1219" s="28"/>
      <c r="E1219" s="21"/>
      <c r="F1219" s="36" t="str">
        <f t="shared" si="40"/>
        <v>Did Not</v>
      </c>
      <c r="G1219" s="28"/>
      <c r="H1219" s="28"/>
      <c r="I1219" s="28"/>
      <c r="J1219" s="28"/>
      <c r="K1219" s="28"/>
      <c r="L1219" s="28"/>
      <c r="M1219" s="28"/>
      <c r="N1219" s="21"/>
      <c r="O1219" s="28"/>
      <c r="P1219" s="38"/>
      <c r="Q1219" s="21"/>
      <c r="R1219" s="21"/>
      <c r="S1219" s="47"/>
      <c r="T1219" s="25">
        <f t="shared" si="39"/>
        <v>0</v>
      </c>
      <c r="U1219" s="25" t="str">
        <f>IF('PART III-DEMOGRAPHICS'!Q1229="","",'PART III-DEMOGRAPHICS'!Q1229)</f>
        <v/>
      </c>
    </row>
    <row r="1220" spans="1:21">
      <c r="A1220" s="25" t="str">
        <f>IF('PART III-DEMOGRAPHICS'!A1230="","",'PART III-DEMOGRAPHICS'!A1230)</f>
        <v/>
      </c>
      <c r="B1220" s="28"/>
      <c r="C1220" s="27"/>
      <c r="D1220" s="28"/>
      <c r="E1220" s="21"/>
      <c r="F1220" s="36" t="str">
        <f t="shared" si="40"/>
        <v>Did Not</v>
      </c>
      <c r="G1220" s="28"/>
      <c r="H1220" s="28"/>
      <c r="I1220" s="28"/>
      <c r="J1220" s="28"/>
      <c r="K1220" s="28"/>
      <c r="L1220" s="28"/>
      <c r="M1220" s="28"/>
      <c r="N1220" s="21"/>
      <c r="O1220" s="28"/>
      <c r="P1220" s="38"/>
      <c r="Q1220" s="21"/>
      <c r="R1220" s="21"/>
      <c r="S1220" s="47"/>
      <c r="T1220" s="25">
        <f t="shared" si="39"/>
        <v>0</v>
      </c>
      <c r="U1220" s="25" t="str">
        <f>IF('PART III-DEMOGRAPHICS'!Q1230="","",'PART III-DEMOGRAPHICS'!Q1230)</f>
        <v/>
      </c>
    </row>
    <row r="1221" spans="1:21">
      <c r="A1221" s="25" t="str">
        <f>IF('PART III-DEMOGRAPHICS'!A1231="","",'PART III-DEMOGRAPHICS'!A1231)</f>
        <v/>
      </c>
      <c r="B1221" s="28"/>
      <c r="C1221" s="27"/>
      <c r="D1221" s="28"/>
      <c r="E1221" s="21"/>
      <c r="F1221" s="36" t="str">
        <f t="shared" si="40"/>
        <v>Did Not</v>
      </c>
      <c r="G1221" s="28"/>
      <c r="H1221" s="28"/>
      <c r="I1221" s="28"/>
      <c r="J1221" s="28"/>
      <c r="K1221" s="28"/>
      <c r="L1221" s="28"/>
      <c r="M1221" s="28"/>
      <c r="N1221" s="21"/>
      <c r="O1221" s="28"/>
      <c r="P1221" s="38"/>
      <c r="Q1221" s="21"/>
      <c r="R1221" s="21"/>
      <c r="S1221" s="47"/>
      <c r="T1221" s="25">
        <f t="shared" si="39"/>
        <v>0</v>
      </c>
      <c r="U1221" s="25" t="str">
        <f>IF('PART III-DEMOGRAPHICS'!Q1231="","",'PART III-DEMOGRAPHICS'!Q1231)</f>
        <v/>
      </c>
    </row>
    <row r="1222" spans="1:21">
      <c r="A1222" s="25" t="str">
        <f>IF('PART III-DEMOGRAPHICS'!A1232="","",'PART III-DEMOGRAPHICS'!A1232)</f>
        <v/>
      </c>
      <c r="B1222" s="28"/>
      <c r="C1222" s="27"/>
      <c r="D1222" s="28"/>
      <c r="E1222" s="21"/>
      <c r="F1222" s="36" t="str">
        <f t="shared" si="40"/>
        <v>Did Not</v>
      </c>
      <c r="G1222" s="28"/>
      <c r="H1222" s="28"/>
      <c r="I1222" s="28"/>
      <c r="J1222" s="28"/>
      <c r="K1222" s="28"/>
      <c r="L1222" s="28"/>
      <c r="M1222" s="28"/>
      <c r="N1222" s="21"/>
      <c r="O1222" s="28"/>
      <c r="P1222" s="38"/>
      <c r="Q1222" s="21"/>
      <c r="R1222" s="21"/>
      <c r="S1222" s="47"/>
      <c r="T1222" s="25">
        <f t="shared" si="39"/>
        <v>0</v>
      </c>
      <c r="U1222" s="25" t="str">
        <f>IF('PART III-DEMOGRAPHICS'!Q1232="","",'PART III-DEMOGRAPHICS'!Q1232)</f>
        <v/>
      </c>
    </row>
    <row r="1223" spans="1:21">
      <c r="A1223" s="25" t="str">
        <f>IF('PART III-DEMOGRAPHICS'!A1233="","",'PART III-DEMOGRAPHICS'!A1233)</f>
        <v/>
      </c>
      <c r="B1223" s="28"/>
      <c r="C1223" s="27"/>
      <c r="D1223" s="28"/>
      <c r="E1223" s="21"/>
      <c r="F1223" s="36" t="str">
        <f t="shared" si="40"/>
        <v>Did Not</v>
      </c>
      <c r="G1223" s="28"/>
      <c r="H1223" s="28"/>
      <c r="I1223" s="28"/>
      <c r="J1223" s="28"/>
      <c r="K1223" s="28"/>
      <c r="L1223" s="28"/>
      <c r="M1223" s="28"/>
      <c r="N1223" s="21"/>
      <c r="O1223" s="28"/>
      <c r="P1223" s="38"/>
      <c r="Q1223" s="21"/>
      <c r="R1223" s="21"/>
      <c r="S1223" s="47"/>
      <c r="T1223" s="25">
        <f t="shared" ref="T1223:T1286" si="41">COUNTIF(A1223:R1223,"Yes")</f>
        <v>0</v>
      </c>
      <c r="U1223" s="25" t="str">
        <f>IF('PART III-DEMOGRAPHICS'!Q1233="","",'PART III-DEMOGRAPHICS'!Q1233)</f>
        <v/>
      </c>
    </row>
    <row r="1224" spans="1:21">
      <c r="A1224" s="25" t="str">
        <f>IF('PART III-DEMOGRAPHICS'!A1234="","",'PART III-DEMOGRAPHICS'!A1234)</f>
        <v/>
      </c>
      <c r="B1224" s="28"/>
      <c r="C1224" s="27"/>
      <c r="D1224" s="28"/>
      <c r="E1224" s="21"/>
      <c r="F1224" s="36" t="str">
        <f t="shared" si="40"/>
        <v>Did Not</v>
      </c>
      <c r="G1224" s="28"/>
      <c r="H1224" s="28"/>
      <c r="I1224" s="28"/>
      <c r="J1224" s="28"/>
      <c r="K1224" s="28"/>
      <c r="L1224" s="28"/>
      <c r="M1224" s="28"/>
      <c r="N1224" s="21"/>
      <c r="O1224" s="28"/>
      <c r="P1224" s="38"/>
      <c r="Q1224" s="21"/>
      <c r="R1224" s="21"/>
      <c r="S1224" s="47"/>
      <c r="T1224" s="25">
        <f t="shared" si="41"/>
        <v>0</v>
      </c>
      <c r="U1224" s="25" t="str">
        <f>IF('PART III-DEMOGRAPHICS'!Q1234="","",'PART III-DEMOGRAPHICS'!Q1234)</f>
        <v/>
      </c>
    </row>
    <row r="1225" spans="1:21">
      <c r="A1225" s="25" t="str">
        <f>IF('PART III-DEMOGRAPHICS'!A1235="","",'PART III-DEMOGRAPHICS'!A1235)</f>
        <v/>
      </c>
      <c r="B1225" s="28"/>
      <c r="C1225" s="27"/>
      <c r="D1225" s="28"/>
      <c r="E1225" s="21"/>
      <c r="F1225" s="36" t="str">
        <f t="shared" si="40"/>
        <v>Did Not</v>
      </c>
      <c r="G1225" s="28"/>
      <c r="H1225" s="28"/>
      <c r="I1225" s="28"/>
      <c r="J1225" s="28"/>
      <c r="K1225" s="28"/>
      <c r="L1225" s="28"/>
      <c r="M1225" s="28"/>
      <c r="N1225" s="21"/>
      <c r="O1225" s="28"/>
      <c r="P1225" s="38"/>
      <c r="Q1225" s="21"/>
      <c r="R1225" s="21"/>
      <c r="S1225" s="47"/>
      <c r="T1225" s="25">
        <f t="shared" si="41"/>
        <v>0</v>
      </c>
      <c r="U1225" s="25" t="str">
        <f>IF('PART III-DEMOGRAPHICS'!Q1235="","",'PART III-DEMOGRAPHICS'!Q1235)</f>
        <v/>
      </c>
    </row>
    <row r="1226" spans="1:21">
      <c r="A1226" s="25" t="str">
        <f>IF('PART III-DEMOGRAPHICS'!A1236="","",'PART III-DEMOGRAPHICS'!A1236)</f>
        <v/>
      </c>
      <c r="B1226" s="28"/>
      <c r="C1226" s="27"/>
      <c r="D1226" s="28"/>
      <c r="E1226" s="21"/>
      <c r="F1226" s="36" t="str">
        <f t="shared" si="40"/>
        <v>Did Not</v>
      </c>
      <c r="G1226" s="28"/>
      <c r="H1226" s="28"/>
      <c r="I1226" s="28"/>
      <c r="J1226" s="28"/>
      <c r="K1226" s="28"/>
      <c r="L1226" s="28"/>
      <c r="M1226" s="28"/>
      <c r="N1226" s="21"/>
      <c r="O1226" s="28"/>
      <c r="P1226" s="38"/>
      <c r="Q1226" s="21"/>
      <c r="R1226" s="21"/>
      <c r="S1226" s="47"/>
      <c r="T1226" s="25">
        <f t="shared" si="41"/>
        <v>0</v>
      </c>
      <c r="U1226" s="25" t="str">
        <f>IF('PART III-DEMOGRAPHICS'!Q1236="","",'PART III-DEMOGRAPHICS'!Q1236)</f>
        <v/>
      </c>
    </row>
    <row r="1227" spans="1:21">
      <c r="A1227" s="25" t="str">
        <f>IF('PART III-DEMOGRAPHICS'!A1237="","",'PART III-DEMOGRAPHICS'!A1237)</f>
        <v/>
      </c>
      <c r="B1227" s="28"/>
      <c r="C1227" s="27"/>
      <c r="D1227" s="28"/>
      <c r="E1227" s="21"/>
      <c r="F1227" s="36" t="str">
        <f t="shared" si="40"/>
        <v>Did Not</v>
      </c>
      <c r="G1227" s="28"/>
      <c r="H1227" s="28"/>
      <c r="I1227" s="28"/>
      <c r="J1227" s="28"/>
      <c r="K1227" s="28"/>
      <c r="L1227" s="28"/>
      <c r="M1227" s="28"/>
      <c r="N1227" s="21"/>
      <c r="O1227" s="28"/>
      <c r="P1227" s="38"/>
      <c r="Q1227" s="21"/>
      <c r="R1227" s="21"/>
      <c r="S1227" s="47"/>
      <c r="T1227" s="25">
        <f t="shared" si="41"/>
        <v>0</v>
      </c>
      <c r="U1227" s="25" t="str">
        <f>IF('PART III-DEMOGRAPHICS'!Q1237="","",'PART III-DEMOGRAPHICS'!Q1237)</f>
        <v/>
      </c>
    </row>
    <row r="1228" spans="1:21">
      <c r="A1228" s="25" t="str">
        <f>IF('PART III-DEMOGRAPHICS'!A1238="","",'PART III-DEMOGRAPHICS'!A1238)</f>
        <v/>
      </c>
      <c r="B1228" s="28"/>
      <c r="C1228" s="27"/>
      <c r="D1228" s="28"/>
      <c r="E1228" s="21"/>
      <c r="F1228" s="36" t="str">
        <f t="shared" si="40"/>
        <v>Did Not</v>
      </c>
      <c r="G1228" s="28"/>
      <c r="H1228" s="28"/>
      <c r="I1228" s="28"/>
      <c r="J1228" s="28"/>
      <c r="K1228" s="28"/>
      <c r="L1228" s="28"/>
      <c r="M1228" s="28"/>
      <c r="N1228" s="21"/>
      <c r="O1228" s="28"/>
      <c r="P1228" s="38"/>
      <c r="Q1228" s="21"/>
      <c r="R1228" s="21"/>
      <c r="S1228" s="47"/>
      <c r="T1228" s="25">
        <f t="shared" si="41"/>
        <v>0</v>
      </c>
      <c r="U1228" s="25" t="str">
        <f>IF('PART III-DEMOGRAPHICS'!Q1238="","",'PART III-DEMOGRAPHICS'!Q1238)</f>
        <v/>
      </c>
    </row>
    <row r="1229" spans="1:21">
      <c r="A1229" s="25" t="str">
        <f>IF('PART III-DEMOGRAPHICS'!A1239="","",'PART III-DEMOGRAPHICS'!A1239)</f>
        <v/>
      </c>
      <c r="B1229" s="28"/>
      <c r="C1229" s="27"/>
      <c r="D1229" s="28"/>
      <c r="E1229" s="21"/>
      <c r="F1229" s="36" t="str">
        <f t="shared" si="40"/>
        <v>Did Not</v>
      </c>
      <c r="G1229" s="28"/>
      <c r="H1229" s="28"/>
      <c r="I1229" s="28"/>
      <c r="J1229" s="28"/>
      <c r="K1229" s="28"/>
      <c r="L1229" s="28"/>
      <c r="M1229" s="28"/>
      <c r="N1229" s="21"/>
      <c r="O1229" s="28"/>
      <c r="P1229" s="38"/>
      <c r="Q1229" s="21"/>
      <c r="R1229" s="21"/>
      <c r="S1229" s="47"/>
      <c r="T1229" s="25">
        <f t="shared" si="41"/>
        <v>0</v>
      </c>
      <c r="U1229" s="25" t="str">
        <f>IF('PART III-DEMOGRAPHICS'!Q1239="","",'PART III-DEMOGRAPHICS'!Q1239)</f>
        <v/>
      </c>
    </row>
    <row r="1230" spans="1:21">
      <c r="A1230" s="25" t="str">
        <f>IF('PART III-DEMOGRAPHICS'!A1240="","",'PART III-DEMOGRAPHICS'!A1240)</f>
        <v/>
      </c>
      <c r="B1230" s="28"/>
      <c r="C1230" s="27"/>
      <c r="D1230" s="28"/>
      <c r="E1230" s="21"/>
      <c r="F1230" s="36" t="str">
        <f t="shared" ref="F1230:F1293" si="42">IF(OR(G1230="Yes",H1230="Yes",I1230="Yes",J1230="Yes",K1230="Yes",L1230="Yes",M1230="Yes"),"Did","Did Not")</f>
        <v>Did Not</v>
      </c>
      <c r="G1230" s="28"/>
      <c r="H1230" s="28"/>
      <c r="I1230" s="28"/>
      <c r="J1230" s="28"/>
      <c r="K1230" s="28"/>
      <c r="L1230" s="28"/>
      <c r="M1230" s="28"/>
      <c r="N1230" s="21"/>
      <c r="O1230" s="28"/>
      <c r="P1230" s="38"/>
      <c r="Q1230" s="21"/>
      <c r="R1230" s="21"/>
      <c r="S1230" s="47"/>
      <c r="T1230" s="25">
        <f t="shared" si="41"/>
        <v>0</v>
      </c>
      <c r="U1230" s="25" t="str">
        <f>IF('PART III-DEMOGRAPHICS'!Q1240="","",'PART III-DEMOGRAPHICS'!Q1240)</f>
        <v/>
      </c>
    </row>
    <row r="1231" spans="1:21">
      <c r="A1231" s="25" t="str">
        <f>IF('PART III-DEMOGRAPHICS'!A1241="","",'PART III-DEMOGRAPHICS'!A1241)</f>
        <v/>
      </c>
      <c r="B1231" s="28"/>
      <c r="C1231" s="27"/>
      <c r="D1231" s="28"/>
      <c r="E1231" s="21"/>
      <c r="F1231" s="36" t="str">
        <f t="shared" si="42"/>
        <v>Did Not</v>
      </c>
      <c r="G1231" s="28"/>
      <c r="H1231" s="28"/>
      <c r="I1231" s="28"/>
      <c r="J1231" s="28"/>
      <c r="K1231" s="28"/>
      <c r="L1231" s="28"/>
      <c r="M1231" s="28"/>
      <c r="N1231" s="21"/>
      <c r="O1231" s="28"/>
      <c r="P1231" s="38"/>
      <c r="Q1231" s="21"/>
      <c r="R1231" s="21"/>
      <c r="S1231" s="47"/>
      <c r="T1231" s="25">
        <f t="shared" si="41"/>
        <v>0</v>
      </c>
      <c r="U1231" s="25" t="str">
        <f>IF('PART III-DEMOGRAPHICS'!Q1241="","",'PART III-DEMOGRAPHICS'!Q1241)</f>
        <v/>
      </c>
    </row>
    <row r="1232" spans="1:21">
      <c r="A1232" s="25" t="str">
        <f>IF('PART III-DEMOGRAPHICS'!A1242="","",'PART III-DEMOGRAPHICS'!A1242)</f>
        <v/>
      </c>
      <c r="B1232" s="28"/>
      <c r="C1232" s="27"/>
      <c r="D1232" s="28"/>
      <c r="E1232" s="21"/>
      <c r="F1232" s="36" t="str">
        <f t="shared" si="42"/>
        <v>Did Not</v>
      </c>
      <c r="G1232" s="28"/>
      <c r="H1232" s="28"/>
      <c r="I1232" s="28"/>
      <c r="J1232" s="28"/>
      <c r="K1232" s="28"/>
      <c r="L1232" s="28"/>
      <c r="M1232" s="28"/>
      <c r="N1232" s="21"/>
      <c r="O1232" s="28"/>
      <c r="P1232" s="38"/>
      <c r="Q1232" s="21"/>
      <c r="R1232" s="21"/>
      <c r="S1232" s="47"/>
      <c r="T1232" s="25">
        <f t="shared" si="41"/>
        <v>0</v>
      </c>
      <c r="U1232" s="25" t="str">
        <f>IF('PART III-DEMOGRAPHICS'!Q1242="","",'PART III-DEMOGRAPHICS'!Q1242)</f>
        <v/>
      </c>
    </row>
    <row r="1233" spans="1:21">
      <c r="A1233" s="25" t="str">
        <f>IF('PART III-DEMOGRAPHICS'!A1243="","",'PART III-DEMOGRAPHICS'!A1243)</f>
        <v/>
      </c>
      <c r="B1233" s="28"/>
      <c r="C1233" s="27"/>
      <c r="D1233" s="28"/>
      <c r="E1233" s="21"/>
      <c r="F1233" s="36" t="str">
        <f t="shared" si="42"/>
        <v>Did Not</v>
      </c>
      <c r="G1233" s="28"/>
      <c r="H1233" s="28"/>
      <c r="I1233" s="28"/>
      <c r="J1233" s="28"/>
      <c r="K1233" s="28"/>
      <c r="L1233" s="28"/>
      <c r="M1233" s="28"/>
      <c r="N1233" s="21"/>
      <c r="O1233" s="28"/>
      <c r="P1233" s="38"/>
      <c r="Q1233" s="21"/>
      <c r="R1233" s="21"/>
      <c r="S1233" s="47"/>
      <c r="T1233" s="25">
        <f t="shared" si="41"/>
        <v>0</v>
      </c>
      <c r="U1233" s="25" t="str">
        <f>IF('PART III-DEMOGRAPHICS'!Q1243="","",'PART III-DEMOGRAPHICS'!Q1243)</f>
        <v/>
      </c>
    </row>
    <row r="1234" spans="1:21">
      <c r="A1234" s="25" t="str">
        <f>IF('PART III-DEMOGRAPHICS'!A1244="","",'PART III-DEMOGRAPHICS'!A1244)</f>
        <v/>
      </c>
      <c r="B1234" s="28"/>
      <c r="C1234" s="27"/>
      <c r="D1234" s="28"/>
      <c r="E1234" s="21"/>
      <c r="F1234" s="36" t="str">
        <f t="shared" si="42"/>
        <v>Did Not</v>
      </c>
      <c r="G1234" s="28"/>
      <c r="H1234" s="28"/>
      <c r="I1234" s="28"/>
      <c r="J1234" s="28"/>
      <c r="K1234" s="28"/>
      <c r="L1234" s="28"/>
      <c r="M1234" s="28"/>
      <c r="N1234" s="21"/>
      <c r="O1234" s="28"/>
      <c r="P1234" s="38"/>
      <c r="Q1234" s="21"/>
      <c r="R1234" s="21"/>
      <c r="S1234" s="47"/>
      <c r="T1234" s="25">
        <f t="shared" si="41"/>
        <v>0</v>
      </c>
      <c r="U1234" s="25" t="str">
        <f>IF('PART III-DEMOGRAPHICS'!Q1244="","",'PART III-DEMOGRAPHICS'!Q1244)</f>
        <v/>
      </c>
    </row>
    <row r="1235" spans="1:21">
      <c r="A1235" s="25" t="str">
        <f>IF('PART III-DEMOGRAPHICS'!A1245="","",'PART III-DEMOGRAPHICS'!A1245)</f>
        <v/>
      </c>
      <c r="B1235" s="28"/>
      <c r="C1235" s="27"/>
      <c r="D1235" s="28"/>
      <c r="E1235" s="21"/>
      <c r="F1235" s="36" t="str">
        <f t="shared" si="42"/>
        <v>Did Not</v>
      </c>
      <c r="G1235" s="28"/>
      <c r="H1235" s="28"/>
      <c r="I1235" s="28"/>
      <c r="J1235" s="28"/>
      <c r="K1235" s="28"/>
      <c r="L1235" s="28"/>
      <c r="M1235" s="28"/>
      <c r="N1235" s="21"/>
      <c r="O1235" s="28"/>
      <c r="P1235" s="38"/>
      <c r="Q1235" s="21"/>
      <c r="R1235" s="21"/>
      <c r="S1235" s="47"/>
      <c r="T1235" s="25">
        <f t="shared" si="41"/>
        <v>0</v>
      </c>
      <c r="U1235" s="25" t="str">
        <f>IF('PART III-DEMOGRAPHICS'!Q1245="","",'PART III-DEMOGRAPHICS'!Q1245)</f>
        <v/>
      </c>
    </row>
    <row r="1236" spans="1:21">
      <c r="A1236" s="25" t="str">
        <f>IF('PART III-DEMOGRAPHICS'!A1246="","",'PART III-DEMOGRAPHICS'!A1246)</f>
        <v/>
      </c>
      <c r="B1236" s="28"/>
      <c r="C1236" s="27"/>
      <c r="D1236" s="28"/>
      <c r="E1236" s="21"/>
      <c r="F1236" s="36" t="str">
        <f t="shared" si="42"/>
        <v>Did Not</v>
      </c>
      <c r="G1236" s="28"/>
      <c r="H1236" s="28"/>
      <c r="I1236" s="28"/>
      <c r="J1236" s="28"/>
      <c r="K1236" s="28"/>
      <c r="L1236" s="28"/>
      <c r="M1236" s="28"/>
      <c r="N1236" s="21"/>
      <c r="O1236" s="28"/>
      <c r="P1236" s="38"/>
      <c r="Q1236" s="21"/>
      <c r="R1236" s="21"/>
      <c r="S1236" s="47"/>
      <c r="T1236" s="25">
        <f t="shared" si="41"/>
        <v>0</v>
      </c>
      <c r="U1236" s="25" t="str">
        <f>IF('PART III-DEMOGRAPHICS'!Q1246="","",'PART III-DEMOGRAPHICS'!Q1246)</f>
        <v/>
      </c>
    </row>
    <row r="1237" spans="1:21">
      <c r="A1237" s="25" t="str">
        <f>IF('PART III-DEMOGRAPHICS'!A1247="","",'PART III-DEMOGRAPHICS'!A1247)</f>
        <v/>
      </c>
      <c r="B1237" s="28"/>
      <c r="C1237" s="27"/>
      <c r="D1237" s="28"/>
      <c r="E1237" s="21"/>
      <c r="F1237" s="36" t="str">
        <f t="shared" si="42"/>
        <v>Did Not</v>
      </c>
      <c r="G1237" s="28"/>
      <c r="H1237" s="28"/>
      <c r="I1237" s="28"/>
      <c r="J1237" s="28"/>
      <c r="K1237" s="28"/>
      <c r="L1237" s="28"/>
      <c r="M1237" s="28"/>
      <c r="N1237" s="21"/>
      <c r="O1237" s="28"/>
      <c r="P1237" s="38"/>
      <c r="Q1237" s="21"/>
      <c r="R1237" s="21"/>
      <c r="S1237" s="47"/>
      <c r="T1237" s="25">
        <f t="shared" si="41"/>
        <v>0</v>
      </c>
      <c r="U1237" s="25" t="str">
        <f>IF('PART III-DEMOGRAPHICS'!Q1247="","",'PART III-DEMOGRAPHICS'!Q1247)</f>
        <v/>
      </c>
    </row>
    <row r="1238" spans="1:21">
      <c r="A1238" s="25" t="str">
        <f>IF('PART III-DEMOGRAPHICS'!A1248="","",'PART III-DEMOGRAPHICS'!A1248)</f>
        <v/>
      </c>
      <c r="B1238" s="28"/>
      <c r="C1238" s="27"/>
      <c r="D1238" s="28"/>
      <c r="E1238" s="21"/>
      <c r="F1238" s="36" t="str">
        <f t="shared" si="42"/>
        <v>Did Not</v>
      </c>
      <c r="G1238" s="28"/>
      <c r="H1238" s="28"/>
      <c r="I1238" s="28"/>
      <c r="J1238" s="28"/>
      <c r="K1238" s="28"/>
      <c r="L1238" s="28"/>
      <c r="M1238" s="28"/>
      <c r="N1238" s="21"/>
      <c r="O1238" s="28"/>
      <c r="P1238" s="38"/>
      <c r="Q1238" s="21"/>
      <c r="R1238" s="21"/>
      <c r="S1238" s="47"/>
      <c r="T1238" s="25">
        <f t="shared" si="41"/>
        <v>0</v>
      </c>
      <c r="U1238" s="25" t="str">
        <f>IF('PART III-DEMOGRAPHICS'!Q1248="","",'PART III-DEMOGRAPHICS'!Q1248)</f>
        <v/>
      </c>
    </row>
    <row r="1239" spans="1:21">
      <c r="A1239" s="25" t="str">
        <f>IF('PART III-DEMOGRAPHICS'!A1249="","",'PART III-DEMOGRAPHICS'!A1249)</f>
        <v/>
      </c>
      <c r="B1239" s="28"/>
      <c r="C1239" s="27"/>
      <c r="D1239" s="28"/>
      <c r="E1239" s="21"/>
      <c r="F1239" s="36" t="str">
        <f t="shared" si="42"/>
        <v>Did Not</v>
      </c>
      <c r="G1239" s="28"/>
      <c r="H1239" s="28"/>
      <c r="I1239" s="28"/>
      <c r="J1239" s="28"/>
      <c r="K1239" s="28"/>
      <c r="L1239" s="28"/>
      <c r="M1239" s="28"/>
      <c r="N1239" s="21"/>
      <c r="O1239" s="28"/>
      <c r="P1239" s="38"/>
      <c r="Q1239" s="21"/>
      <c r="R1239" s="21"/>
      <c r="S1239" s="47"/>
      <c r="T1239" s="25">
        <f t="shared" si="41"/>
        <v>0</v>
      </c>
      <c r="U1239" s="25" t="str">
        <f>IF('PART III-DEMOGRAPHICS'!Q1249="","",'PART III-DEMOGRAPHICS'!Q1249)</f>
        <v/>
      </c>
    </row>
    <row r="1240" spans="1:21">
      <c r="A1240" s="25" t="str">
        <f>IF('PART III-DEMOGRAPHICS'!A1250="","",'PART III-DEMOGRAPHICS'!A1250)</f>
        <v/>
      </c>
      <c r="B1240" s="28"/>
      <c r="C1240" s="27"/>
      <c r="D1240" s="28"/>
      <c r="E1240" s="21"/>
      <c r="F1240" s="36" t="str">
        <f t="shared" si="42"/>
        <v>Did Not</v>
      </c>
      <c r="G1240" s="28"/>
      <c r="H1240" s="28"/>
      <c r="I1240" s="28"/>
      <c r="J1240" s="28"/>
      <c r="K1240" s="28"/>
      <c r="L1240" s="28"/>
      <c r="M1240" s="28"/>
      <c r="N1240" s="21"/>
      <c r="O1240" s="28"/>
      <c r="P1240" s="38"/>
      <c r="Q1240" s="21"/>
      <c r="R1240" s="21"/>
      <c r="S1240" s="47"/>
      <c r="T1240" s="25">
        <f t="shared" si="41"/>
        <v>0</v>
      </c>
      <c r="U1240" s="25" t="str">
        <f>IF('PART III-DEMOGRAPHICS'!Q1250="","",'PART III-DEMOGRAPHICS'!Q1250)</f>
        <v/>
      </c>
    </row>
    <row r="1241" spans="1:21">
      <c r="A1241" s="25" t="str">
        <f>IF('PART III-DEMOGRAPHICS'!A1251="","",'PART III-DEMOGRAPHICS'!A1251)</f>
        <v/>
      </c>
      <c r="B1241" s="28"/>
      <c r="C1241" s="27"/>
      <c r="D1241" s="28"/>
      <c r="E1241" s="21"/>
      <c r="F1241" s="36" t="str">
        <f t="shared" si="42"/>
        <v>Did Not</v>
      </c>
      <c r="G1241" s="28"/>
      <c r="H1241" s="28"/>
      <c r="I1241" s="28"/>
      <c r="J1241" s="28"/>
      <c r="K1241" s="28"/>
      <c r="L1241" s="28"/>
      <c r="M1241" s="28"/>
      <c r="N1241" s="21"/>
      <c r="O1241" s="28"/>
      <c r="P1241" s="38"/>
      <c r="Q1241" s="21"/>
      <c r="R1241" s="21"/>
      <c r="S1241" s="47"/>
      <c r="T1241" s="25">
        <f t="shared" si="41"/>
        <v>0</v>
      </c>
      <c r="U1241" s="25" t="str">
        <f>IF('PART III-DEMOGRAPHICS'!Q1251="","",'PART III-DEMOGRAPHICS'!Q1251)</f>
        <v/>
      </c>
    </row>
    <row r="1242" spans="1:21">
      <c r="A1242" s="25" t="str">
        <f>IF('PART III-DEMOGRAPHICS'!A1252="","",'PART III-DEMOGRAPHICS'!A1252)</f>
        <v/>
      </c>
      <c r="B1242" s="28"/>
      <c r="C1242" s="27"/>
      <c r="D1242" s="28"/>
      <c r="E1242" s="21"/>
      <c r="F1242" s="36" t="str">
        <f t="shared" si="42"/>
        <v>Did Not</v>
      </c>
      <c r="G1242" s="28"/>
      <c r="H1242" s="28"/>
      <c r="I1242" s="28"/>
      <c r="J1242" s="28"/>
      <c r="K1242" s="28"/>
      <c r="L1242" s="28"/>
      <c r="M1242" s="28"/>
      <c r="N1242" s="21"/>
      <c r="O1242" s="28"/>
      <c r="P1242" s="38"/>
      <c r="Q1242" s="21"/>
      <c r="R1242" s="21"/>
      <c r="S1242" s="47"/>
      <c r="T1242" s="25">
        <f t="shared" si="41"/>
        <v>0</v>
      </c>
      <c r="U1242" s="25" t="str">
        <f>IF('PART III-DEMOGRAPHICS'!Q1252="","",'PART III-DEMOGRAPHICS'!Q1252)</f>
        <v/>
      </c>
    </row>
    <row r="1243" spans="1:21">
      <c r="A1243" s="25" t="str">
        <f>IF('PART III-DEMOGRAPHICS'!A1253="","",'PART III-DEMOGRAPHICS'!A1253)</f>
        <v/>
      </c>
      <c r="B1243" s="28"/>
      <c r="C1243" s="27"/>
      <c r="D1243" s="28"/>
      <c r="E1243" s="21"/>
      <c r="F1243" s="36" t="str">
        <f t="shared" si="42"/>
        <v>Did Not</v>
      </c>
      <c r="G1243" s="28"/>
      <c r="H1243" s="28"/>
      <c r="I1243" s="28"/>
      <c r="J1243" s="28"/>
      <c r="K1243" s="28"/>
      <c r="L1243" s="28"/>
      <c r="M1243" s="28"/>
      <c r="N1243" s="21"/>
      <c r="O1243" s="28"/>
      <c r="P1243" s="38"/>
      <c r="Q1243" s="21"/>
      <c r="R1243" s="21"/>
      <c r="S1243" s="47"/>
      <c r="T1243" s="25">
        <f t="shared" si="41"/>
        <v>0</v>
      </c>
      <c r="U1243" s="25" t="str">
        <f>IF('PART III-DEMOGRAPHICS'!Q1253="","",'PART III-DEMOGRAPHICS'!Q1253)</f>
        <v/>
      </c>
    </row>
    <row r="1244" spans="1:21">
      <c r="A1244" s="25" t="str">
        <f>IF('PART III-DEMOGRAPHICS'!A1254="","",'PART III-DEMOGRAPHICS'!A1254)</f>
        <v/>
      </c>
      <c r="B1244" s="28"/>
      <c r="C1244" s="27"/>
      <c r="D1244" s="28"/>
      <c r="E1244" s="21"/>
      <c r="F1244" s="36" t="str">
        <f t="shared" si="42"/>
        <v>Did Not</v>
      </c>
      <c r="G1244" s="28"/>
      <c r="H1244" s="28"/>
      <c r="I1244" s="28"/>
      <c r="J1244" s="28"/>
      <c r="K1244" s="28"/>
      <c r="L1244" s="28"/>
      <c r="M1244" s="28"/>
      <c r="N1244" s="21"/>
      <c r="O1244" s="28"/>
      <c r="P1244" s="38"/>
      <c r="Q1244" s="21"/>
      <c r="R1244" s="21"/>
      <c r="S1244" s="47"/>
      <c r="T1244" s="25">
        <f t="shared" si="41"/>
        <v>0</v>
      </c>
      <c r="U1244" s="25" t="str">
        <f>IF('PART III-DEMOGRAPHICS'!Q1254="","",'PART III-DEMOGRAPHICS'!Q1254)</f>
        <v/>
      </c>
    </row>
    <row r="1245" spans="1:21">
      <c r="A1245" s="25" t="str">
        <f>IF('PART III-DEMOGRAPHICS'!A1255="","",'PART III-DEMOGRAPHICS'!A1255)</f>
        <v/>
      </c>
      <c r="B1245" s="28"/>
      <c r="C1245" s="27"/>
      <c r="D1245" s="28"/>
      <c r="E1245" s="21"/>
      <c r="F1245" s="36" t="str">
        <f t="shared" si="42"/>
        <v>Did Not</v>
      </c>
      <c r="G1245" s="28"/>
      <c r="H1245" s="28"/>
      <c r="I1245" s="28"/>
      <c r="J1245" s="28"/>
      <c r="K1245" s="28"/>
      <c r="L1245" s="28"/>
      <c r="M1245" s="28"/>
      <c r="N1245" s="21"/>
      <c r="O1245" s="28"/>
      <c r="P1245" s="38"/>
      <c r="Q1245" s="21"/>
      <c r="R1245" s="21"/>
      <c r="S1245" s="47"/>
      <c r="T1245" s="25">
        <f t="shared" si="41"/>
        <v>0</v>
      </c>
      <c r="U1245" s="25" t="str">
        <f>IF('PART III-DEMOGRAPHICS'!Q1255="","",'PART III-DEMOGRAPHICS'!Q1255)</f>
        <v/>
      </c>
    </row>
    <row r="1246" spans="1:21">
      <c r="A1246" s="25" t="str">
        <f>IF('PART III-DEMOGRAPHICS'!A1256="","",'PART III-DEMOGRAPHICS'!A1256)</f>
        <v/>
      </c>
      <c r="B1246" s="28"/>
      <c r="C1246" s="27"/>
      <c r="D1246" s="28"/>
      <c r="E1246" s="21"/>
      <c r="F1246" s="36" t="str">
        <f t="shared" si="42"/>
        <v>Did Not</v>
      </c>
      <c r="G1246" s="28"/>
      <c r="H1246" s="28"/>
      <c r="I1246" s="28"/>
      <c r="J1246" s="28"/>
      <c r="K1246" s="28"/>
      <c r="L1246" s="28"/>
      <c r="M1246" s="28"/>
      <c r="N1246" s="21"/>
      <c r="O1246" s="28"/>
      <c r="P1246" s="38"/>
      <c r="Q1246" s="21"/>
      <c r="R1246" s="21"/>
      <c r="S1246" s="47"/>
      <c r="T1246" s="25">
        <f t="shared" si="41"/>
        <v>0</v>
      </c>
      <c r="U1246" s="25" t="str">
        <f>IF('PART III-DEMOGRAPHICS'!Q1256="","",'PART III-DEMOGRAPHICS'!Q1256)</f>
        <v/>
      </c>
    </row>
    <row r="1247" spans="1:21">
      <c r="A1247" s="25" t="str">
        <f>IF('PART III-DEMOGRAPHICS'!A1257="","",'PART III-DEMOGRAPHICS'!A1257)</f>
        <v/>
      </c>
      <c r="B1247" s="28"/>
      <c r="C1247" s="27"/>
      <c r="D1247" s="28"/>
      <c r="E1247" s="21"/>
      <c r="F1247" s="36" t="str">
        <f t="shared" si="42"/>
        <v>Did Not</v>
      </c>
      <c r="G1247" s="28"/>
      <c r="H1247" s="28"/>
      <c r="I1247" s="28"/>
      <c r="J1247" s="28"/>
      <c r="K1247" s="28"/>
      <c r="L1247" s="28"/>
      <c r="M1247" s="28"/>
      <c r="N1247" s="21"/>
      <c r="O1247" s="28"/>
      <c r="P1247" s="38"/>
      <c r="Q1247" s="21"/>
      <c r="R1247" s="21"/>
      <c r="S1247" s="47"/>
      <c r="T1247" s="25">
        <f t="shared" si="41"/>
        <v>0</v>
      </c>
      <c r="U1247" s="25" t="str">
        <f>IF('PART III-DEMOGRAPHICS'!Q1257="","",'PART III-DEMOGRAPHICS'!Q1257)</f>
        <v/>
      </c>
    </row>
    <row r="1248" spans="1:21">
      <c r="A1248" s="25" t="str">
        <f>IF('PART III-DEMOGRAPHICS'!A1258="","",'PART III-DEMOGRAPHICS'!A1258)</f>
        <v/>
      </c>
      <c r="B1248" s="28"/>
      <c r="C1248" s="27"/>
      <c r="D1248" s="28"/>
      <c r="E1248" s="21"/>
      <c r="F1248" s="36" t="str">
        <f t="shared" si="42"/>
        <v>Did Not</v>
      </c>
      <c r="G1248" s="28"/>
      <c r="H1248" s="28"/>
      <c r="I1248" s="28"/>
      <c r="J1248" s="28"/>
      <c r="K1248" s="28"/>
      <c r="L1248" s="28"/>
      <c r="M1248" s="28"/>
      <c r="N1248" s="21"/>
      <c r="O1248" s="28"/>
      <c r="P1248" s="38"/>
      <c r="Q1248" s="21"/>
      <c r="R1248" s="21"/>
      <c r="S1248" s="47"/>
      <c r="T1248" s="25">
        <f t="shared" si="41"/>
        <v>0</v>
      </c>
      <c r="U1248" s="25" t="str">
        <f>IF('PART III-DEMOGRAPHICS'!Q1258="","",'PART III-DEMOGRAPHICS'!Q1258)</f>
        <v/>
      </c>
    </row>
    <row r="1249" spans="1:21">
      <c r="A1249" s="25" t="str">
        <f>IF('PART III-DEMOGRAPHICS'!A1259="","",'PART III-DEMOGRAPHICS'!A1259)</f>
        <v/>
      </c>
      <c r="B1249" s="28"/>
      <c r="C1249" s="27"/>
      <c r="D1249" s="28"/>
      <c r="E1249" s="21"/>
      <c r="F1249" s="36" t="str">
        <f t="shared" si="42"/>
        <v>Did Not</v>
      </c>
      <c r="G1249" s="28"/>
      <c r="H1249" s="28"/>
      <c r="I1249" s="28"/>
      <c r="J1249" s="28"/>
      <c r="K1249" s="28"/>
      <c r="L1249" s="28"/>
      <c r="M1249" s="28"/>
      <c r="N1249" s="21"/>
      <c r="O1249" s="28"/>
      <c r="P1249" s="38"/>
      <c r="Q1249" s="21"/>
      <c r="R1249" s="21"/>
      <c r="S1249" s="47"/>
      <c r="T1249" s="25">
        <f t="shared" si="41"/>
        <v>0</v>
      </c>
      <c r="U1249" s="25" t="str">
        <f>IF('PART III-DEMOGRAPHICS'!Q1259="","",'PART III-DEMOGRAPHICS'!Q1259)</f>
        <v/>
      </c>
    </row>
    <row r="1250" spans="1:21">
      <c r="A1250" s="25" t="str">
        <f>IF('PART III-DEMOGRAPHICS'!A1260="","",'PART III-DEMOGRAPHICS'!A1260)</f>
        <v/>
      </c>
      <c r="B1250" s="28"/>
      <c r="C1250" s="27"/>
      <c r="D1250" s="28"/>
      <c r="E1250" s="21"/>
      <c r="F1250" s="36" t="str">
        <f t="shared" si="42"/>
        <v>Did Not</v>
      </c>
      <c r="G1250" s="28"/>
      <c r="H1250" s="28"/>
      <c r="I1250" s="28"/>
      <c r="J1250" s="28"/>
      <c r="K1250" s="28"/>
      <c r="L1250" s="28"/>
      <c r="M1250" s="28"/>
      <c r="N1250" s="21"/>
      <c r="O1250" s="28"/>
      <c r="P1250" s="38"/>
      <c r="Q1250" s="21"/>
      <c r="R1250" s="21"/>
      <c r="S1250" s="47"/>
      <c r="T1250" s="25">
        <f t="shared" si="41"/>
        <v>0</v>
      </c>
      <c r="U1250" s="25" t="str">
        <f>IF('PART III-DEMOGRAPHICS'!Q1260="","",'PART III-DEMOGRAPHICS'!Q1260)</f>
        <v/>
      </c>
    </row>
    <row r="1251" spans="1:21">
      <c r="A1251" s="25" t="str">
        <f>IF('PART III-DEMOGRAPHICS'!A1261="","",'PART III-DEMOGRAPHICS'!A1261)</f>
        <v/>
      </c>
      <c r="B1251" s="28"/>
      <c r="C1251" s="27"/>
      <c r="D1251" s="28"/>
      <c r="E1251" s="21"/>
      <c r="F1251" s="36" t="str">
        <f t="shared" si="42"/>
        <v>Did Not</v>
      </c>
      <c r="G1251" s="28"/>
      <c r="H1251" s="28"/>
      <c r="I1251" s="28"/>
      <c r="J1251" s="28"/>
      <c r="K1251" s="28"/>
      <c r="L1251" s="28"/>
      <c r="M1251" s="28"/>
      <c r="N1251" s="21"/>
      <c r="O1251" s="28"/>
      <c r="P1251" s="38"/>
      <c r="Q1251" s="21"/>
      <c r="R1251" s="21"/>
      <c r="S1251" s="47"/>
      <c r="T1251" s="25">
        <f t="shared" si="41"/>
        <v>0</v>
      </c>
      <c r="U1251" s="25" t="str">
        <f>IF('PART III-DEMOGRAPHICS'!Q1261="","",'PART III-DEMOGRAPHICS'!Q1261)</f>
        <v/>
      </c>
    </row>
    <row r="1252" spans="1:21">
      <c r="A1252" s="25" t="str">
        <f>IF('PART III-DEMOGRAPHICS'!A1262="","",'PART III-DEMOGRAPHICS'!A1262)</f>
        <v/>
      </c>
      <c r="B1252" s="28"/>
      <c r="C1252" s="27"/>
      <c r="D1252" s="28"/>
      <c r="E1252" s="21"/>
      <c r="F1252" s="36" t="str">
        <f t="shared" si="42"/>
        <v>Did Not</v>
      </c>
      <c r="G1252" s="28"/>
      <c r="H1252" s="28"/>
      <c r="I1252" s="28"/>
      <c r="J1252" s="28"/>
      <c r="K1252" s="28"/>
      <c r="L1252" s="28"/>
      <c r="M1252" s="28"/>
      <c r="N1252" s="21"/>
      <c r="O1252" s="28"/>
      <c r="P1252" s="38"/>
      <c r="Q1252" s="21"/>
      <c r="R1252" s="21"/>
      <c r="S1252" s="47"/>
      <c r="T1252" s="25">
        <f t="shared" si="41"/>
        <v>0</v>
      </c>
      <c r="U1252" s="25" t="str">
        <f>IF('PART III-DEMOGRAPHICS'!Q1262="","",'PART III-DEMOGRAPHICS'!Q1262)</f>
        <v/>
      </c>
    </row>
    <row r="1253" spans="1:21">
      <c r="A1253" s="25" t="str">
        <f>IF('PART III-DEMOGRAPHICS'!A1263="","",'PART III-DEMOGRAPHICS'!A1263)</f>
        <v/>
      </c>
      <c r="B1253" s="28"/>
      <c r="C1253" s="27"/>
      <c r="D1253" s="28"/>
      <c r="E1253" s="21"/>
      <c r="F1253" s="36" t="str">
        <f t="shared" si="42"/>
        <v>Did Not</v>
      </c>
      <c r="G1253" s="28"/>
      <c r="H1253" s="28"/>
      <c r="I1253" s="28"/>
      <c r="J1253" s="28"/>
      <c r="K1253" s="28"/>
      <c r="L1253" s="28"/>
      <c r="M1253" s="28"/>
      <c r="N1253" s="21"/>
      <c r="O1253" s="28"/>
      <c r="P1253" s="38"/>
      <c r="Q1253" s="21"/>
      <c r="R1253" s="21"/>
      <c r="S1253" s="47"/>
      <c r="T1253" s="25">
        <f t="shared" si="41"/>
        <v>0</v>
      </c>
      <c r="U1253" s="25" t="str">
        <f>IF('PART III-DEMOGRAPHICS'!Q1263="","",'PART III-DEMOGRAPHICS'!Q1263)</f>
        <v/>
      </c>
    </row>
    <row r="1254" spans="1:21">
      <c r="A1254" s="25" t="str">
        <f>IF('PART III-DEMOGRAPHICS'!A1264="","",'PART III-DEMOGRAPHICS'!A1264)</f>
        <v/>
      </c>
      <c r="B1254" s="28"/>
      <c r="C1254" s="27"/>
      <c r="D1254" s="28"/>
      <c r="E1254" s="21"/>
      <c r="F1254" s="36" t="str">
        <f t="shared" si="42"/>
        <v>Did Not</v>
      </c>
      <c r="G1254" s="28"/>
      <c r="H1254" s="28"/>
      <c r="I1254" s="28"/>
      <c r="J1254" s="28"/>
      <c r="K1254" s="28"/>
      <c r="L1254" s="28"/>
      <c r="M1254" s="28"/>
      <c r="N1254" s="21"/>
      <c r="O1254" s="28"/>
      <c r="P1254" s="38"/>
      <c r="Q1254" s="21"/>
      <c r="R1254" s="21"/>
      <c r="S1254" s="47"/>
      <c r="T1254" s="25">
        <f t="shared" si="41"/>
        <v>0</v>
      </c>
      <c r="U1254" s="25" t="str">
        <f>IF('PART III-DEMOGRAPHICS'!Q1264="","",'PART III-DEMOGRAPHICS'!Q1264)</f>
        <v/>
      </c>
    </row>
    <row r="1255" spans="1:21">
      <c r="A1255" s="25" t="str">
        <f>IF('PART III-DEMOGRAPHICS'!A1265="","",'PART III-DEMOGRAPHICS'!A1265)</f>
        <v/>
      </c>
      <c r="B1255" s="28"/>
      <c r="C1255" s="27"/>
      <c r="D1255" s="28"/>
      <c r="E1255" s="21"/>
      <c r="F1255" s="36" t="str">
        <f t="shared" si="42"/>
        <v>Did Not</v>
      </c>
      <c r="G1255" s="28"/>
      <c r="H1255" s="28"/>
      <c r="I1255" s="28"/>
      <c r="J1255" s="28"/>
      <c r="K1255" s="28"/>
      <c r="L1255" s="28"/>
      <c r="M1255" s="28"/>
      <c r="N1255" s="21"/>
      <c r="O1255" s="28"/>
      <c r="P1255" s="38"/>
      <c r="Q1255" s="21"/>
      <c r="R1255" s="21"/>
      <c r="S1255" s="47"/>
      <c r="T1255" s="25">
        <f t="shared" si="41"/>
        <v>0</v>
      </c>
      <c r="U1255" s="25" t="str">
        <f>IF('PART III-DEMOGRAPHICS'!Q1265="","",'PART III-DEMOGRAPHICS'!Q1265)</f>
        <v/>
      </c>
    </row>
    <row r="1256" spans="1:21">
      <c r="A1256" s="25" t="str">
        <f>IF('PART III-DEMOGRAPHICS'!A1266="","",'PART III-DEMOGRAPHICS'!A1266)</f>
        <v/>
      </c>
      <c r="B1256" s="28"/>
      <c r="C1256" s="27"/>
      <c r="D1256" s="28"/>
      <c r="E1256" s="21"/>
      <c r="F1256" s="36" t="str">
        <f t="shared" si="42"/>
        <v>Did Not</v>
      </c>
      <c r="G1256" s="28"/>
      <c r="H1256" s="28"/>
      <c r="I1256" s="28"/>
      <c r="J1256" s="28"/>
      <c r="K1256" s="28"/>
      <c r="L1256" s="28"/>
      <c r="M1256" s="28"/>
      <c r="N1256" s="21"/>
      <c r="O1256" s="28"/>
      <c r="P1256" s="38"/>
      <c r="Q1256" s="21"/>
      <c r="R1256" s="21"/>
      <c r="S1256" s="47"/>
      <c r="T1256" s="25">
        <f t="shared" si="41"/>
        <v>0</v>
      </c>
      <c r="U1256" s="25" t="str">
        <f>IF('PART III-DEMOGRAPHICS'!Q1266="","",'PART III-DEMOGRAPHICS'!Q1266)</f>
        <v/>
      </c>
    </row>
    <row r="1257" spans="1:21">
      <c r="A1257" s="25" t="str">
        <f>IF('PART III-DEMOGRAPHICS'!A1267="","",'PART III-DEMOGRAPHICS'!A1267)</f>
        <v/>
      </c>
      <c r="B1257" s="28"/>
      <c r="C1257" s="27"/>
      <c r="D1257" s="28"/>
      <c r="E1257" s="21"/>
      <c r="F1257" s="36" t="str">
        <f t="shared" si="42"/>
        <v>Did Not</v>
      </c>
      <c r="G1257" s="28"/>
      <c r="H1257" s="28"/>
      <c r="I1257" s="28"/>
      <c r="J1257" s="28"/>
      <c r="K1257" s="28"/>
      <c r="L1257" s="28"/>
      <c r="M1257" s="28"/>
      <c r="N1257" s="21"/>
      <c r="O1257" s="28"/>
      <c r="P1257" s="38"/>
      <c r="Q1257" s="21"/>
      <c r="R1257" s="21"/>
      <c r="S1257" s="47"/>
      <c r="T1257" s="25">
        <f t="shared" si="41"/>
        <v>0</v>
      </c>
      <c r="U1257" s="25" t="str">
        <f>IF('PART III-DEMOGRAPHICS'!Q1267="","",'PART III-DEMOGRAPHICS'!Q1267)</f>
        <v/>
      </c>
    </row>
    <row r="1258" spans="1:21">
      <c r="A1258" s="25" t="str">
        <f>IF('PART III-DEMOGRAPHICS'!A1268="","",'PART III-DEMOGRAPHICS'!A1268)</f>
        <v/>
      </c>
      <c r="B1258" s="28"/>
      <c r="C1258" s="27"/>
      <c r="D1258" s="28"/>
      <c r="E1258" s="21"/>
      <c r="F1258" s="36" t="str">
        <f t="shared" si="42"/>
        <v>Did Not</v>
      </c>
      <c r="G1258" s="28"/>
      <c r="H1258" s="28"/>
      <c r="I1258" s="28"/>
      <c r="J1258" s="28"/>
      <c r="K1258" s="28"/>
      <c r="L1258" s="28"/>
      <c r="M1258" s="28"/>
      <c r="N1258" s="21"/>
      <c r="O1258" s="28"/>
      <c r="P1258" s="38"/>
      <c r="Q1258" s="21"/>
      <c r="R1258" s="21"/>
      <c r="S1258" s="47"/>
      <c r="T1258" s="25">
        <f t="shared" si="41"/>
        <v>0</v>
      </c>
      <c r="U1258" s="25" t="str">
        <f>IF('PART III-DEMOGRAPHICS'!Q1268="","",'PART III-DEMOGRAPHICS'!Q1268)</f>
        <v/>
      </c>
    </row>
    <row r="1259" spans="1:21">
      <c r="A1259" s="25" t="str">
        <f>IF('PART III-DEMOGRAPHICS'!A1269="","",'PART III-DEMOGRAPHICS'!A1269)</f>
        <v/>
      </c>
      <c r="B1259" s="28"/>
      <c r="C1259" s="27"/>
      <c r="D1259" s="28"/>
      <c r="E1259" s="21"/>
      <c r="F1259" s="36" t="str">
        <f t="shared" si="42"/>
        <v>Did Not</v>
      </c>
      <c r="G1259" s="28"/>
      <c r="H1259" s="28"/>
      <c r="I1259" s="28"/>
      <c r="J1259" s="28"/>
      <c r="K1259" s="28"/>
      <c r="L1259" s="28"/>
      <c r="M1259" s="28"/>
      <c r="N1259" s="21"/>
      <c r="O1259" s="28"/>
      <c r="P1259" s="38"/>
      <c r="Q1259" s="21"/>
      <c r="R1259" s="21"/>
      <c r="S1259" s="47"/>
      <c r="T1259" s="25">
        <f t="shared" si="41"/>
        <v>0</v>
      </c>
      <c r="U1259" s="25" t="str">
        <f>IF('PART III-DEMOGRAPHICS'!Q1269="","",'PART III-DEMOGRAPHICS'!Q1269)</f>
        <v/>
      </c>
    </row>
    <row r="1260" spans="1:21">
      <c r="A1260" s="25" t="str">
        <f>IF('PART III-DEMOGRAPHICS'!A1270="","",'PART III-DEMOGRAPHICS'!A1270)</f>
        <v/>
      </c>
      <c r="B1260" s="28"/>
      <c r="C1260" s="27"/>
      <c r="D1260" s="28"/>
      <c r="E1260" s="21"/>
      <c r="F1260" s="36" t="str">
        <f t="shared" si="42"/>
        <v>Did Not</v>
      </c>
      <c r="G1260" s="28"/>
      <c r="H1260" s="28"/>
      <c r="I1260" s="28"/>
      <c r="J1260" s="28"/>
      <c r="K1260" s="28"/>
      <c r="L1260" s="28"/>
      <c r="M1260" s="28"/>
      <c r="N1260" s="21"/>
      <c r="O1260" s="28"/>
      <c r="P1260" s="38"/>
      <c r="Q1260" s="21"/>
      <c r="R1260" s="21"/>
      <c r="S1260" s="47"/>
      <c r="T1260" s="25">
        <f t="shared" si="41"/>
        <v>0</v>
      </c>
      <c r="U1260" s="25" t="str">
        <f>IF('PART III-DEMOGRAPHICS'!Q1270="","",'PART III-DEMOGRAPHICS'!Q1270)</f>
        <v/>
      </c>
    </row>
    <row r="1261" spans="1:21">
      <c r="A1261" s="25" t="str">
        <f>IF('PART III-DEMOGRAPHICS'!A1271="","",'PART III-DEMOGRAPHICS'!A1271)</f>
        <v/>
      </c>
      <c r="B1261" s="28"/>
      <c r="C1261" s="27"/>
      <c r="D1261" s="28"/>
      <c r="E1261" s="21"/>
      <c r="F1261" s="36" t="str">
        <f t="shared" si="42"/>
        <v>Did Not</v>
      </c>
      <c r="G1261" s="28"/>
      <c r="H1261" s="28"/>
      <c r="I1261" s="28"/>
      <c r="J1261" s="28"/>
      <c r="K1261" s="28"/>
      <c r="L1261" s="28"/>
      <c r="M1261" s="28"/>
      <c r="N1261" s="21"/>
      <c r="O1261" s="28"/>
      <c r="P1261" s="38"/>
      <c r="Q1261" s="21"/>
      <c r="R1261" s="21"/>
      <c r="S1261" s="47"/>
      <c r="T1261" s="25">
        <f t="shared" si="41"/>
        <v>0</v>
      </c>
      <c r="U1261" s="25" t="str">
        <f>IF('PART III-DEMOGRAPHICS'!Q1271="","",'PART III-DEMOGRAPHICS'!Q1271)</f>
        <v/>
      </c>
    </row>
    <row r="1262" spans="1:21">
      <c r="A1262" s="25" t="str">
        <f>IF('PART III-DEMOGRAPHICS'!A1272="","",'PART III-DEMOGRAPHICS'!A1272)</f>
        <v/>
      </c>
      <c r="B1262" s="28"/>
      <c r="C1262" s="27"/>
      <c r="D1262" s="28"/>
      <c r="E1262" s="21"/>
      <c r="F1262" s="36" t="str">
        <f t="shared" si="42"/>
        <v>Did Not</v>
      </c>
      <c r="G1262" s="28"/>
      <c r="H1262" s="28"/>
      <c r="I1262" s="28"/>
      <c r="J1262" s="28"/>
      <c r="K1262" s="28"/>
      <c r="L1262" s="28"/>
      <c r="M1262" s="28"/>
      <c r="N1262" s="21"/>
      <c r="O1262" s="28"/>
      <c r="P1262" s="38"/>
      <c r="Q1262" s="21"/>
      <c r="R1262" s="21"/>
      <c r="S1262" s="47"/>
      <c r="T1262" s="25">
        <f t="shared" si="41"/>
        <v>0</v>
      </c>
      <c r="U1262" s="25" t="str">
        <f>IF('PART III-DEMOGRAPHICS'!Q1272="","",'PART III-DEMOGRAPHICS'!Q1272)</f>
        <v/>
      </c>
    </row>
    <row r="1263" spans="1:21">
      <c r="A1263" s="25" t="str">
        <f>IF('PART III-DEMOGRAPHICS'!A1273="","",'PART III-DEMOGRAPHICS'!A1273)</f>
        <v/>
      </c>
      <c r="B1263" s="28"/>
      <c r="C1263" s="27"/>
      <c r="D1263" s="28"/>
      <c r="E1263" s="21"/>
      <c r="F1263" s="36" t="str">
        <f t="shared" si="42"/>
        <v>Did Not</v>
      </c>
      <c r="G1263" s="28"/>
      <c r="H1263" s="28"/>
      <c r="I1263" s="28"/>
      <c r="J1263" s="28"/>
      <c r="K1263" s="28"/>
      <c r="L1263" s="28"/>
      <c r="M1263" s="28"/>
      <c r="N1263" s="21"/>
      <c r="O1263" s="28"/>
      <c r="P1263" s="38"/>
      <c r="Q1263" s="21"/>
      <c r="R1263" s="21"/>
      <c r="S1263" s="47"/>
      <c r="T1263" s="25">
        <f t="shared" si="41"/>
        <v>0</v>
      </c>
      <c r="U1263" s="25" t="str">
        <f>IF('PART III-DEMOGRAPHICS'!Q1273="","",'PART III-DEMOGRAPHICS'!Q1273)</f>
        <v/>
      </c>
    </row>
    <row r="1264" spans="1:21">
      <c r="A1264" s="25" t="str">
        <f>IF('PART III-DEMOGRAPHICS'!A1274="","",'PART III-DEMOGRAPHICS'!A1274)</f>
        <v/>
      </c>
      <c r="B1264" s="28"/>
      <c r="C1264" s="27"/>
      <c r="D1264" s="28"/>
      <c r="E1264" s="21"/>
      <c r="F1264" s="36" t="str">
        <f t="shared" si="42"/>
        <v>Did Not</v>
      </c>
      <c r="G1264" s="28"/>
      <c r="H1264" s="28"/>
      <c r="I1264" s="28"/>
      <c r="J1264" s="28"/>
      <c r="K1264" s="28"/>
      <c r="L1264" s="28"/>
      <c r="M1264" s="28"/>
      <c r="N1264" s="21"/>
      <c r="O1264" s="28"/>
      <c r="P1264" s="38"/>
      <c r="Q1264" s="21"/>
      <c r="R1264" s="21"/>
      <c r="S1264" s="47"/>
      <c r="T1264" s="25">
        <f t="shared" si="41"/>
        <v>0</v>
      </c>
      <c r="U1264" s="25" t="str">
        <f>IF('PART III-DEMOGRAPHICS'!Q1274="","",'PART III-DEMOGRAPHICS'!Q1274)</f>
        <v/>
      </c>
    </row>
    <row r="1265" spans="1:21">
      <c r="A1265" s="25" t="str">
        <f>IF('PART III-DEMOGRAPHICS'!A1275="","",'PART III-DEMOGRAPHICS'!A1275)</f>
        <v/>
      </c>
      <c r="B1265" s="28"/>
      <c r="C1265" s="27"/>
      <c r="D1265" s="28"/>
      <c r="E1265" s="21"/>
      <c r="F1265" s="36" t="str">
        <f t="shared" si="42"/>
        <v>Did Not</v>
      </c>
      <c r="G1265" s="28"/>
      <c r="H1265" s="28"/>
      <c r="I1265" s="28"/>
      <c r="J1265" s="28"/>
      <c r="K1265" s="28"/>
      <c r="L1265" s="28"/>
      <c r="M1265" s="28"/>
      <c r="N1265" s="21"/>
      <c r="O1265" s="28"/>
      <c r="P1265" s="38"/>
      <c r="Q1265" s="21"/>
      <c r="R1265" s="21"/>
      <c r="S1265" s="47"/>
      <c r="T1265" s="25">
        <f t="shared" si="41"/>
        <v>0</v>
      </c>
      <c r="U1265" s="25" t="str">
        <f>IF('PART III-DEMOGRAPHICS'!Q1275="","",'PART III-DEMOGRAPHICS'!Q1275)</f>
        <v/>
      </c>
    </row>
    <row r="1266" spans="1:21">
      <c r="A1266" s="25" t="str">
        <f>IF('PART III-DEMOGRAPHICS'!A1276="","",'PART III-DEMOGRAPHICS'!A1276)</f>
        <v/>
      </c>
      <c r="B1266" s="28"/>
      <c r="C1266" s="27"/>
      <c r="D1266" s="28"/>
      <c r="E1266" s="21"/>
      <c r="F1266" s="36" t="str">
        <f t="shared" si="42"/>
        <v>Did Not</v>
      </c>
      <c r="G1266" s="28"/>
      <c r="H1266" s="28"/>
      <c r="I1266" s="28"/>
      <c r="J1266" s="28"/>
      <c r="K1266" s="28"/>
      <c r="L1266" s="28"/>
      <c r="M1266" s="28"/>
      <c r="N1266" s="21"/>
      <c r="O1266" s="28"/>
      <c r="P1266" s="38"/>
      <c r="Q1266" s="21"/>
      <c r="R1266" s="21"/>
      <c r="S1266" s="47"/>
      <c r="T1266" s="25">
        <f t="shared" si="41"/>
        <v>0</v>
      </c>
      <c r="U1266" s="25" t="str">
        <f>IF('PART III-DEMOGRAPHICS'!Q1276="","",'PART III-DEMOGRAPHICS'!Q1276)</f>
        <v/>
      </c>
    </row>
    <row r="1267" spans="1:21">
      <c r="A1267" s="25" t="str">
        <f>IF('PART III-DEMOGRAPHICS'!A1277="","",'PART III-DEMOGRAPHICS'!A1277)</f>
        <v/>
      </c>
      <c r="B1267" s="28"/>
      <c r="C1267" s="27"/>
      <c r="D1267" s="28"/>
      <c r="E1267" s="21"/>
      <c r="F1267" s="36" t="str">
        <f t="shared" si="42"/>
        <v>Did Not</v>
      </c>
      <c r="G1267" s="28"/>
      <c r="H1267" s="28"/>
      <c r="I1267" s="28"/>
      <c r="J1267" s="28"/>
      <c r="K1267" s="28"/>
      <c r="L1267" s="28"/>
      <c r="M1267" s="28"/>
      <c r="N1267" s="21"/>
      <c r="O1267" s="28"/>
      <c r="P1267" s="38"/>
      <c r="Q1267" s="21"/>
      <c r="R1267" s="21"/>
      <c r="S1267" s="47"/>
      <c r="T1267" s="25">
        <f t="shared" si="41"/>
        <v>0</v>
      </c>
      <c r="U1267" s="25" t="str">
        <f>IF('PART III-DEMOGRAPHICS'!Q1277="","",'PART III-DEMOGRAPHICS'!Q1277)</f>
        <v/>
      </c>
    </row>
    <row r="1268" spans="1:21">
      <c r="A1268" s="25" t="str">
        <f>IF('PART III-DEMOGRAPHICS'!A1278="","",'PART III-DEMOGRAPHICS'!A1278)</f>
        <v/>
      </c>
      <c r="B1268" s="28"/>
      <c r="C1268" s="27"/>
      <c r="D1268" s="28"/>
      <c r="E1268" s="21"/>
      <c r="F1268" s="36" t="str">
        <f t="shared" si="42"/>
        <v>Did Not</v>
      </c>
      <c r="G1268" s="28"/>
      <c r="H1268" s="28"/>
      <c r="I1268" s="28"/>
      <c r="J1268" s="28"/>
      <c r="K1268" s="28"/>
      <c r="L1268" s="28"/>
      <c r="M1268" s="28"/>
      <c r="N1268" s="21"/>
      <c r="O1268" s="28"/>
      <c r="P1268" s="38"/>
      <c r="Q1268" s="21"/>
      <c r="R1268" s="21"/>
      <c r="S1268" s="47"/>
      <c r="T1268" s="25">
        <f t="shared" si="41"/>
        <v>0</v>
      </c>
      <c r="U1268" s="25" t="str">
        <f>IF('PART III-DEMOGRAPHICS'!Q1278="","",'PART III-DEMOGRAPHICS'!Q1278)</f>
        <v/>
      </c>
    </row>
    <row r="1269" spans="1:21">
      <c r="A1269" s="25" t="str">
        <f>IF('PART III-DEMOGRAPHICS'!A1279="","",'PART III-DEMOGRAPHICS'!A1279)</f>
        <v/>
      </c>
      <c r="B1269" s="28"/>
      <c r="C1269" s="27"/>
      <c r="D1269" s="28"/>
      <c r="E1269" s="21"/>
      <c r="F1269" s="36" t="str">
        <f t="shared" si="42"/>
        <v>Did Not</v>
      </c>
      <c r="G1269" s="28"/>
      <c r="H1269" s="28"/>
      <c r="I1269" s="28"/>
      <c r="J1269" s="28"/>
      <c r="K1269" s="28"/>
      <c r="L1269" s="28"/>
      <c r="M1269" s="28"/>
      <c r="N1269" s="21"/>
      <c r="O1269" s="28"/>
      <c r="P1269" s="38"/>
      <c r="Q1269" s="21"/>
      <c r="R1269" s="21"/>
      <c r="S1269" s="47"/>
      <c r="T1269" s="25">
        <f t="shared" si="41"/>
        <v>0</v>
      </c>
      <c r="U1269" s="25" t="str">
        <f>IF('PART III-DEMOGRAPHICS'!Q1279="","",'PART III-DEMOGRAPHICS'!Q1279)</f>
        <v/>
      </c>
    </row>
    <row r="1270" spans="1:21">
      <c r="A1270" s="25" t="str">
        <f>IF('PART III-DEMOGRAPHICS'!A1280="","",'PART III-DEMOGRAPHICS'!A1280)</f>
        <v/>
      </c>
      <c r="B1270" s="28"/>
      <c r="C1270" s="27"/>
      <c r="D1270" s="28"/>
      <c r="E1270" s="21"/>
      <c r="F1270" s="36" t="str">
        <f t="shared" si="42"/>
        <v>Did Not</v>
      </c>
      <c r="G1270" s="28"/>
      <c r="H1270" s="28"/>
      <c r="I1270" s="28"/>
      <c r="J1270" s="28"/>
      <c r="K1270" s="28"/>
      <c r="L1270" s="28"/>
      <c r="M1270" s="28"/>
      <c r="N1270" s="21"/>
      <c r="O1270" s="28"/>
      <c r="P1270" s="38"/>
      <c r="Q1270" s="21"/>
      <c r="R1270" s="21"/>
      <c r="S1270" s="47"/>
      <c r="T1270" s="25">
        <f t="shared" si="41"/>
        <v>0</v>
      </c>
      <c r="U1270" s="25" t="str">
        <f>IF('PART III-DEMOGRAPHICS'!Q1280="","",'PART III-DEMOGRAPHICS'!Q1280)</f>
        <v/>
      </c>
    </row>
    <row r="1271" spans="1:21">
      <c r="A1271" s="25" t="str">
        <f>IF('PART III-DEMOGRAPHICS'!A1281="","",'PART III-DEMOGRAPHICS'!A1281)</f>
        <v/>
      </c>
      <c r="B1271" s="28"/>
      <c r="C1271" s="27"/>
      <c r="D1271" s="28"/>
      <c r="E1271" s="21"/>
      <c r="F1271" s="36" t="str">
        <f t="shared" si="42"/>
        <v>Did Not</v>
      </c>
      <c r="G1271" s="28"/>
      <c r="H1271" s="28"/>
      <c r="I1271" s="28"/>
      <c r="J1271" s="28"/>
      <c r="K1271" s="28"/>
      <c r="L1271" s="28"/>
      <c r="M1271" s="28"/>
      <c r="N1271" s="21"/>
      <c r="O1271" s="28"/>
      <c r="P1271" s="38"/>
      <c r="Q1271" s="21"/>
      <c r="R1271" s="21"/>
      <c r="S1271" s="47"/>
      <c r="T1271" s="25">
        <f t="shared" si="41"/>
        <v>0</v>
      </c>
      <c r="U1271" s="25" t="str">
        <f>IF('PART III-DEMOGRAPHICS'!Q1281="","",'PART III-DEMOGRAPHICS'!Q1281)</f>
        <v/>
      </c>
    </row>
    <row r="1272" spans="1:21">
      <c r="A1272" s="25" t="str">
        <f>IF('PART III-DEMOGRAPHICS'!A1282="","",'PART III-DEMOGRAPHICS'!A1282)</f>
        <v/>
      </c>
      <c r="B1272" s="28"/>
      <c r="C1272" s="27"/>
      <c r="D1272" s="28"/>
      <c r="E1272" s="21"/>
      <c r="F1272" s="36" t="str">
        <f t="shared" si="42"/>
        <v>Did Not</v>
      </c>
      <c r="G1272" s="28"/>
      <c r="H1272" s="28"/>
      <c r="I1272" s="28"/>
      <c r="J1272" s="28"/>
      <c r="K1272" s="28"/>
      <c r="L1272" s="28"/>
      <c r="M1272" s="28"/>
      <c r="N1272" s="21"/>
      <c r="O1272" s="28"/>
      <c r="P1272" s="38"/>
      <c r="Q1272" s="21"/>
      <c r="R1272" s="21"/>
      <c r="S1272" s="47"/>
      <c r="T1272" s="25">
        <f t="shared" si="41"/>
        <v>0</v>
      </c>
      <c r="U1272" s="25" t="str">
        <f>IF('PART III-DEMOGRAPHICS'!Q1282="","",'PART III-DEMOGRAPHICS'!Q1282)</f>
        <v/>
      </c>
    </row>
    <row r="1273" spans="1:21">
      <c r="A1273" s="25" t="str">
        <f>IF('PART III-DEMOGRAPHICS'!A1283="","",'PART III-DEMOGRAPHICS'!A1283)</f>
        <v/>
      </c>
      <c r="B1273" s="28"/>
      <c r="C1273" s="27"/>
      <c r="D1273" s="28"/>
      <c r="E1273" s="21"/>
      <c r="F1273" s="36" t="str">
        <f t="shared" si="42"/>
        <v>Did Not</v>
      </c>
      <c r="G1273" s="28"/>
      <c r="H1273" s="28"/>
      <c r="I1273" s="28"/>
      <c r="J1273" s="28"/>
      <c r="K1273" s="28"/>
      <c r="L1273" s="28"/>
      <c r="M1273" s="28"/>
      <c r="N1273" s="21"/>
      <c r="O1273" s="28"/>
      <c r="P1273" s="38"/>
      <c r="Q1273" s="21"/>
      <c r="R1273" s="21"/>
      <c r="S1273" s="47"/>
      <c r="T1273" s="25">
        <f t="shared" si="41"/>
        <v>0</v>
      </c>
      <c r="U1273" s="25" t="str">
        <f>IF('PART III-DEMOGRAPHICS'!Q1283="","",'PART III-DEMOGRAPHICS'!Q1283)</f>
        <v/>
      </c>
    </row>
    <row r="1274" spans="1:21">
      <c r="A1274" s="25" t="str">
        <f>IF('PART III-DEMOGRAPHICS'!A1284="","",'PART III-DEMOGRAPHICS'!A1284)</f>
        <v/>
      </c>
      <c r="B1274" s="28"/>
      <c r="C1274" s="27"/>
      <c r="D1274" s="28"/>
      <c r="E1274" s="21"/>
      <c r="F1274" s="36" t="str">
        <f t="shared" si="42"/>
        <v>Did Not</v>
      </c>
      <c r="G1274" s="28"/>
      <c r="H1274" s="28"/>
      <c r="I1274" s="28"/>
      <c r="J1274" s="28"/>
      <c r="K1274" s="28"/>
      <c r="L1274" s="28"/>
      <c r="M1274" s="28"/>
      <c r="N1274" s="21"/>
      <c r="O1274" s="28"/>
      <c r="P1274" s="38"/>
      <c r="Q1274" s="21"/>
      <c r="R1274" s="21"/>
      <c r="S1274" s="47"/>
      <c r="T1274" s="25">
        <f t="shared" si="41"/>
        <v>0</v>
      </c>
      <c r="U1274" s="25" t="str">
        <f>IF('PART III-DEMOGRAPHICS'!Q1284="","",'PART III-DEMOGRAPHICS'!Q1284)</f>
        <v/>
      </c>
    </row>
    <row r="1275" spans="1:21">
      <c r="A1275" s="25" t="str">
        <f>IF('PART III-DEMOGRAPHICS'!A1285="","",'PART III-DEMOGRAPHICS'!A1285)</f>
        <v/>
      </c>
      <c r="B1275" s="28"/>
      <c r="C1275" s="27"/>
      <c r="D1275" s="28"/>
      <c r="E1275" s="21"/>
      <c r="F1275" s="36" t="str">
        <f t="shared" si="42"/>
        <v>Did Not</v>
      </c>
      <c r="G1275" s="28"/>
      <c r="H1275" s="28"/>
      <c r="I1275" s="28"/>
      <c r="J1275" s="28"/>
      <c r="K1275" s="28"/>
      <c r="L1275" s="28"/>
      <c r="M1275" s="28"/>
      <c r="N1275" s="21"/>
      <c r="O1275" s="28"/>
      <c r="P1275" s="38"/>
      <c r="Q1275" s="21"/>
      <c r="R1275" s="21"/>
      <c r="S1275" s="47"/>
      <c r="T1275" s="25">
        <f t="shared" si="41"/>
        <v>0</v>
      </c>
      <c r="U1275" s="25" t="str">
        <f>IF('PART III-DEMOGRAPHICS'!Q1285="","",'PART III-DEMOGRAPHICS'!Q1285)</f>
        <v/>
      </c>
    </row>
    <row r="1276" spans="1:21">
      <c r="A1276" s="25" t="str">
        <f>IF('PART III-DEMOGRAPHICS'!A1286="","",'PART III-DEMOGRAPHICS'!A1286)</f>
        <v/>
      </c>
      <c r="B1276" s="28"/>
      <c r="C1276" s="27"/>
      <c r="D1276" s="28"/>
      <c r="E1276" s="21"/>
      <c r="F1276" s="36" t="str">
        <f t="shared" si="42"/>
        <v>Did Not</v>
      </c>
      <c r="G1276" s="28"/>
      <c r="H1276" s="28"/>
      <c r="I1276" s="28"/>
      <c r="J1276" s="28"/>
      <c r="K1276" s="28"/>
      <c r="L1276" s="28"/>
      <c r="M1276" s="28"/>
      <c r="N1276" s="21"/>
      <c r="O1276" s="28"/>
      <c r="P1276" s="38"/>
      <c r="Q1276" s="21"/>
      <c r="R1276" s="21"/>
      <c r="S1276" s="47"/>
      <c r="T1276" s="25">
        <f t="shared" si="41"/>
        <v>0</v>
      </c>
      <c r="U1276" s="25" t="str">
        <f>IF('PART III-DEMOGRAPHICS'!Q1286="","",'PART III-DEMOGRAPHICS'!Q1286)</f>
        <v/>
      </c>
    </row>
    <row r="1277" spans="1:21">
      <c r="A1277" s="25" t="str">
        <f>IF('PART III-DEMOGRAPHICS'!A1287="","",'PART III-DEMOGRAPHICS'!A1287)</f>
        <v/>
      </c>
      <c r="B1277" s="28"/>
      <c r="C1277" s="27"/>
      <c r="D1277" s="28"/>
      <c r="E1277" s="21"/>
      <c r="F1277" s="36" t="str">
        <f t="shared" si="42"/>
        <v>Did Not</v>
      </c>
      <c r="G1277" s="28"/>
      <c r="H1277" s="28"/>
      <c r="I1277" s="28"/>
      <c r="J1277" s="28"/>
      <c r="K1277" s="28"/>
      <c r="L1277" s="28"/>
      <c r="M1277" s="28"/>
      <c r="N1277" s="21"/>
      <c r="O1277" s="28"/>
      <c r="P1277" s="38"/>
      <c r="Q1277" s="21"/>
      <c r="R1277" s="21"/>
      <c r="S1277" s="47"/>
      <c r="T1277" s="25">
        <f t="shared" si="41"/>
        <v>0</v>
      </c>
      <c r="U1277" s="25" t="str">
        <f>IF('PART III-DEMOGRAPHICS'!Q1287="","",'PART III-DEMOGRAPHICS'!Q1287)</f>
        <v/>
      </c>
    </row>
    <row r="1278" spans="1:21">
      <c r="A1278" s="25" t="str">
        <f>IF('PART III-DEMOGRAPHICS'!A1288="","",'PART III-DEMOGRAPHICS'!A1288)</f>
        <v/>
      </c>
      <c r="B1278" s="28"/>
      <c r="C1278" s="27"/>
      <c r="D1278" s="28"/>
      <c r="E1278" s="21"/>
      <c r="F1278" s="36" t="str">
        <f t="shared" si="42"/>
        <v>Did Not</v>
      </c>
      <c r="G1278" s="28"/>
      <c r="H1278" s="28"/>
      <c r="I1278" s="28"/>
      <c r="J1278" s="28"/>
      <c r="K1278" s="28"/>
      <c r="L1278" s="28"/>
      <c r="M1278" s="28"/>
      <c r="N1278" s="21"/>
      <c r="O1278" s="28"/>
      <c r="P1278" s="38"/>
      <c r="Q1278" s="21"/>
      <c r="R1278" s="21"/>
      <c r="S1278" s="47"/>
      <c r="T1278" s="25">
        <f t="shared" si="41"/>
        <v>0</v>
      </c>
      <c r="U1278" s="25" t="str">
        <f>IF('PART III-DEMOGRAPHICS'!Q1288="","",'PART III-DEMOGRAPHICS'!Q1288)</f>
        <v/>
      </c>
    </row>
    <row r="1279" spans="1:21">
      <c r="A1279" s="25" t="str">
        <f>IF('PART III-DEMOGRAPHICS'!A1289="","",'PART III-DEMOGRAPHICS'!A1289)</f>
        <v/>
      </c>
      <c r="B1279" s="28"/>
      <c r="C1279" s="27"/>
      <c r="D1279" s="28"/>
      <c r="E1279" s="21"/>
      <c r="F1279" s="36" t="str">
        <f t="shared" si="42"/>
        <v>Did Not</v>
      </c>
      <c r="G1279" s="28"/>
      <c r="H1279" s="28"/>
      <c r="I1279" s="28"/>
      <c r="J1279" s="28"/>
      <c r="K1279" s="28"/>
      <c r="L1279" s="28"/>
      <c r="M1279" s="28"/>
      <c r="N1279" s="21"/>
      <c r="O1279" s="28"/>
      <c r="P1279" s="38"/>
      <c r="Q1279" s="21"/>
      <c r="R1279" s="21"/>
      <c r="S1279" s="47"/>
      <c r="T1279" s="25">
        <f t="shared" si="41"/>
        <v>0</v>
      </c>
      <c r="U1279" s="25" t="str">
        <f>IF('PART III-DEMOGRAPHICS'!Q1289="","",'PART III-DEMOGRAPHICS'!Q1289)</f>
        <v/>
      </c>
    </row>
    <row r="1280" spans="1:21">
      <c r="A1280" s="25" t="str">
        <f>IF('PART III-DEMOGRAPHICS'!A1290="","",'PART III-DEMOGRAPHICS'!A1290)</f>
        <v/>
      </c>
      <c r="B1280" s="28"/>
      <c r="C1280" s="27"/>
      <c r="D1280" s="28"/>
      <c r="E1280" s="21"/>
      <c r="F1280" s="36" t="str">
        <f t="shared" si="42"/>
        <v>Did Not</v>
      </c>
      <c r="G1280" s="28"/>
      <c r="H1280" s="28"/>
      <c r="I1280" s="28"/>
      <c r="J1280" s="28"/>
      <c r="K1280" s="28"/>
      <c r="L1280" s="28"/>
      <c r="M1280" s="28"/>
      <c r="N1280" s="21"/>
      <c r="O1280" s="28"/>
      <c r="P1280" s="38"/>
      <c r="Q1280" s="21"/>
      <c r="R1280" s="21"/>
      <c r="S1280" s="47"/>
      <c r="T1280" s="25">
        <f t="shared" si="41"/>
        <v>0</v>
      </c>
      <c r="U1280" s="25" t="str">
        <f>IF('PART III-DEMOGRAPHICS'!Q1290="","",'PART III-DEMOGRAPHICS'!Q1290)</f>
        <v/>
      </c>
    </row>
    <row r="1281" spans="1:21">
      <c r="A1281" s="25" t="str">
        <f>IF('PART III-DEMOGRAPHICS'!A1291="","",'PART III-DEMOGRAPHICS'!A1291)</f>
        <v/>
      </c>
      <c r="B1281" s="28"/>
      <c r="C1281" s="27"/>
      <c r="D1281" s="28"/>
      <c r="E1281" s="21"/>
      <c r="F1281" s="36" t="str">
        <f t="shared" si="42"/>
        <v>Did Not</v>
      </c>
      <c r="G1281" s="28"/>
      <c r="H1281" s="28"/>
      <c r="I1281" s="28"/>
      <c r="J1281" s="28"/>
      <c r="K1281" s="28"/>
      <c r="L1281" s="28"/>
      <c r="M1281" s="28"/>
      <c r="N1281" s="21"/>
      <c r="O1281" s="28"/>
      <c r="P1281" s="38"/>
      <c r="Q1281" s="21"/>
      <c r="R1281" s="21"/>
      <c r="S1281" s="47"/>
      <c r="T1281" s="25">
        <f t="shared" si="41"/>
        <v>0</v>
      </c>
      <c r="U1281" s="25" t="str">
        <f>IF('PART III-DEMOGRAPHICS'!Q1291="","",'PART III-DEMOGRAPHICS'!Q1291)</f>
        <v/>
      </c>
    </row>
    <row r="1282" spans="1:21">
      <c r="A1282" s="25" t="str">
        <f>IF('PART III-DEMOGRAPHICS'!A1292="","",'PART III-DEMOGRAPHICS'!A1292)</f>
        <v/>
      </c>
      <c r="B1282" s="28"/>
      <c r="C1282" s="27"/>
      <c r="D1282" s="28"/>
      <c r="E1282" s="21"/>
      <c r="F1282" s="36" t="str">
        <f t="shared" si="42"/>
        <v>Did Not</v>
      </c>
      <c r="G1282" s="28"/>
      <c r="H1282" s="28"/>
      <c r="I1282" s="28"/>
      <c r="J1282" s="28"/>
      <c r="K1282" s="28"/>
      <c r="L1282" s="28"/>
      <c r="M1282" s="28"/>
      <c r="N1282" s="21"/>
      <c r="O1282" s="28"/>
      <c r="P1282" s="38"/>
      <c r="Q1282" s="21"/>
      <c r="R1282" s="21"/>
      <c r="S1282" s="47"/>
      <c r="T1282" s="25">
        <f t="shared" si="41"/>
        <v>0</v>
      </c>
      <c r="U1282" s="25" t="str">
        <f>IF('PART III-DEMOGRAPHICS'!Q1292="","",'PART III-DEMOGRAPHICS'!Q1292)</f>
        <v/>
      </c>
    </row>
    <row r="1283" spans="1:21">
      <c r="A1283" s="25" t="str">
        <f>IF('PART III-DEMOGRAPHICS'!A1293="","",'PART III-DEMOGRAPHICS'!A1293)</f>
        <v/>
      </c>
      <c r="B1283" s="28"/>
      <c r="C1283" s="27"/>
      <c r="D1283" s="28"/>
      <c r="E1283" s="21"/>
      <c r="F1283" s="36" t="str">
        <f t="shared" si="42"/>
        <v>Did Not</v>
      </c>
      <c r="G1283" s="28"/>
      <c r="H1283" s="28"/>
      <c r="I1283" s="28"/>
      <c r="J1283" s="28"/>
      <c r="K1283" s="28"/>
      <c r="L1283" s="28"/>
      <c r="M1283" s="28"/>
      <c r="N1283" s="21"/>
      <c r="O1283" s="28"/>
      <c r="P1283" s="38"/>
      <c r="Q1283" s="21"/>
      <c r="R1283" s="21"/>
      <c r="S1283" s="47"/>
      <c r="T1283" s="25">
        <f t="shared" si="41"/>
        <v>0</v>
      </c>
      <c r="U1283" s="25" t="str">
        <f>IF('PART III-DEMOGRAPHICS'!Q1293="","",'PART III-DEMOGRAPHICS'!Q1293)</f>
        <v/>
      </c>
    </row>
    <row r="1284" spans="1:21">
      <c r="A1284" s="25" t="str">
        <f>IF('PART III-DEMOGRAPHICS'!A1294="","",'PART III-DEMOGRAPHICS'!A1294)</f>
        <v/>
      </c>
      <c r="B1284" s="28"/>
      <c r="C1284" s="27"/>
      <c r="D1284" s="28"/>
      <c r="E1284" s="21"/>
      <c r="F1284" s="36" t="str">
        <f t="shared" si="42"/>
        <v>Did Not</v>
      </c>
      <c r="G1284" s="28"/>
      <c r="H1284" s="28"/>
      <c r="I1284" s="28"/>
      <c r="J1284" s="28"/>
      <c r="K1284" s="28"/>
      <c r="L1284" s="28"/>
      <c r="M1284" s="28"/>
      <c r="N1284" s="21"/>
      <c r="O1284" s="28"/>
      <c r="P1284" s="38"/>
      <c r="Q1284" s="21"/>
      <c r="R1284" s="21"/>
      <c r="S1284" s="47"/>
      <c r="T1284" s="25">
        <f t="shared" si="41"/>
        <v>0</v>
      </c>
      <c r="U1284" s="25" t="str">
        <f>IF('PART III-DEMOGRAPHICS'!Q1294="","",'PART III-DEMOGRAPHICS'!Q1294)</f>
        <v/>
      </c>
    </row>
    <row r="1285" spans="1:21">
      <c r="A1285" s="25" t="str">
        <f>IF('PART III-DEMOGRAPHICS'!A1295="","",'PART III-DEMOGRAPHICS'!A1295)</f>
        <v/>
      </c>
      <c r="B1285" s="28"/>
      <c r="C1285" s="27"/>
      <c r="D1285" s="28"/>
      <c r="E1285" s="21"/>
      <c r="F1285" s="36" t="str">
        <f t="shared" si="42"/>
        <v>Did Not</v>
      </c>
      <c r="G1285" s="28"/>
      <c r="H1285" s="28"/>
      <c r="I1285" s="28"/>
      <c r="J1285" s="28"/>
      <c r="K1285" s="28"/>
      <c r="L1285" s="28"/>
      <c r="M1285" s="28"/>
      <c r="N1285" s="21"/>
      <c r="O1285" s="28"/>
      <c r="P1285" s="38"/>
      <c r="Q1285" s="21"/>
      <c r="R1285" s="21"/>
      <c r="S1285" s="47"/>
      <c r="T1285" s="25">
        <f t="shared" si="41"/>
        <v>0</v>
      </c>
      <c r="U1285" s="25" t="str">
        <f>IF('PART III-DEMOGRAPHICS'!Q1295="","",'PART III-DEMOGRAPHICS'!Q1295)</f>
        <v/>
      </c>
    </row>
    <row r="1286" spans="1:21">
      <c r="A1286" s="25" t="str">
        <f>IF('PART III-DEMOGRAPHICS'!A1296="","",'PART III-DEMOGRAPHICS'!A1296)</f>
        <v/>
      </c>
      <c r="B1286" s="28"/>
      <c r="C1286" s="27"/>
      <c r="D1286" s="28"/>
      <c r="E1286" s="21"/>
      <c r="F1286" s="36" t="str">
        <f t="shared" si="42"/>
        <v>Did Not</v>
      </c>
      <c r="G1286" s="28"/>
      <c r="H1286" s="28"/>
      <c r="I1286" s="28"/>
      <c r="J1286" s="28"/>
      <c r="K1286" s="28"/>
      <c r="L1286" s="28"/>
      <c r="M1286" s="28"/>
      <c r="N1286" s="21"/>
      <c r="O1286" s="28"/>
      <c r="P1286" s="38"/>
      <c r="Q1286" s="21"/>
      <c r="R1286" s="21"/>
      <c r="S1286" s="47"/>
      <c r="T1286" s="25">
        <f t="shared" si="41"/>
        <v>0</v>
      </c>
      <c r="U1286" s="25" t="str">
        <f>IF('PART III-DEMOGRAPHICS'!Q1296="","",'PART III-DEMOGRAPHICS'!Q1296)</f>
        <v/>
      </c>
    </row>
    <row r="1287" spans="1:21">
      <c r="A1287" s="25" t="str">
        <f>IF('PART III-DEMOGRAPHICS'!A1297="","",'PART III-DEMOGRAPHICS'!A1297)</f>
        <v/>
      </c>
      <c r="B1287" s="28"/>
      <c r="C1287" s="27"/>
      <c r="D1287" s="28"/>
      <c r="E1287" s="21"/>
      <c r="F1287" s="36" t="str">
        <f t="shared" si="42"/>
        <v>Did Not</v>
      </c>
      <c r="G1287" s="28"/>
      <c r="H1287" s="28"/>
      <c r="I1287" s="28"/>
      <c r="J1287" s="28"/>
      <c r="K1287" s="28"/>
      <c r="L1287" s="28"/>
      <c r="M1287" s="28"/>
      <c r="N1287" s="21"/>
      <c r="O1287" s="28"/>
      <c r="P1287" s="38"/>
      <c r="Q1287" s="21"/>
      <c r="R1287" s="21"/>
      <c r="S1287" s="47"/>
      <c r="T1287" s="25">
        <f t="shared" ref="T1287:T1350" si="43">COUNTIF(A1287:R1287,"Yes")</f>
        <v>0</v>
      </c>
      <c r="U1287" s="25" t="str">
        <f>IF('PART III-DEMOGRAPHICS'!Q1297="","",'PART III-DEMOGRAPHICS'!Q1297)</f>
        <v/>
      </c>
    </row>
    <row r="1288" spans="1:21">
      <c r="A1288" s="25" t="str">
        <f>IF('PART III-DEMOGRAPHICS'!A1298="","",'PART III-DEMOGRAPHICS'!A1298)</f>
        <v/>
      </c>
      <c r="B1288" s="28"/>
      <c r="C1288" s="27"/>
      <c r="D1288" s="28"/>
      <c r="E1288" s="21"/>
      <c r="F1288" s="36" t="str">
        <f t="shared" si="42"/>
        <v>Did Not</v>
      </c>
      <c r="G1288" s="28"/>
      <c r="H1288" s="28"/>
      <c r="I1288" s="28"/>
      <c r="J1288" s="28"/>
      <c r="K1288" s="28"/>
      <c r="L1288" s="28"/>
      <c r="M1288" s="28"/>
      <c r="N1288" s="21"/>
      <c r="O1288" s="28"/>
      <c r="P1288" s="38"/>
      <c r="Q1288" s="21"/>
      <c r="R1288" s="21"/>
      <c r="S1288" s="47"/>
      <c r="T1288" s="25">
        <f t="shared" si="43"/>
        <v>0</v>
      </c>
      <c r="U1288" s="25" t="str">
        <f>IF('PART III-DEMOGRAPHICS'!Q1298="","",'PART III-DEMOGRAPHICS'!Q1298)</f>
        <v/>
      </c>
    </row>
    <row r="1289" spans="1:21">
      <c r="A1289" s="25" t="str">
        <f>IF('PART III-DEMOGRAPHICS'!A1299="","",'PART III-DEMOGRAPHICS'!A1299)</f>
        <v/>
      </c>
      <c r="B1289" s="28"/>
      <c r="C1289" s="27"/>
      <c r="D1289" s="28"/>
      <c r="E1289" s="21"/>
      <c r="F1289" s="36" t="str">
        <f t="shared" si="42"/>
        <v>Did Not</v>
      </c>
      <c r="G1289" s="28"/>
      <c r="H1289" s="28"/>
      <c r="I1289" s="28"/>
      <c r="J1289" s="28"/>
      <c r="K1289" s="28"/>
      <c r="L1289" s="28"/>
      <c r="M1289" s="28"/>
      <c r="N1289" s="21"/>
      <c r="O1289" s="28"/>
      <c r="P1289" s="38"/>
      <c r="Q1289" s="21"/>
      <c r="R1289" s="21"/>
      <c r="S1289" s="47"/>
      <c r="T1289" s="25">
        <f t="shared" si="43"/>
        <v>0</v>
      </c>
      <c r="U1289" s="25" t="str">
        <f>IF('PART III-DEMOGRAPHICS'!Q1299="","",'PART III-DEMOGRAPHICS'!Q1299)</f>
        <v/>
      </c>
    </row>
    <row r="1290" spans="1:21">
      <c r="A1290" s="25" t="str">
        <f>IF('PART III-DEMOGRAPHICS'!A1300="","",'PART III-DEMOGRAPHICS'!A1300)</f>
        <v/>
      </c>
      <c r="B1290" s="28"/>
      <c r="C1290" s="27"/>
      <c r="D1290" s="28"/>
      <c r="E1290" s="21"/>
      <c r="F1290" s="36" t="str">
        <f t="shared" si="42"/>
        <v>Did Not</v>
      </c>
      <c r="G1290" s="28"/>
      <c r="H1290" s="28"/>
      <c r="I1290" s="28"/>
      <c r="J1290" s="28"/>
      <c r="K1290" s="28"/>
      <c r="L1290" s="28"/>
      <c r="M1290" s="28"/>
      <c r="N1290" s="21"/>
      <c r="O1290" s="28"/>
      <c r="P1290" s="38"/>
      <c r="Q1290" s="21"/>
      <c r="R1290" s="21"/>
      <c r="S1290" s="47"/>
      <c r="T1290" s="25">
        <f t="shared" si="43"/>
        <v>0</v>
      </c>
      <c r="U1290" s="25" t="str">
        <f>IF('PART III-DEMOGRAPHICS'!Q1300="","",'PART III-DEMOGRAPHICS'!Q1300)</f>
        <v/>
      </c>
    </row>
    <row r="1291" spans="1:21">
      <c r="A1291" s="25" t="str">
        <f>IF('PART III-DEMOGRAPHICS'!A1301="","",'PART III-DEMOGRAPHICS'!A1301)</f>
        <v/>
      </c>
      <c r="B1291" s="28"/>
      <c r="C1291" s="27"/>
      <c r="D1291" s="28"/>
      <c r="E1291" s="21"/>
      <c r="F1291" s="36" t="str">
        <f t="shared" si="42"/>
        <v>Did Not</v>
      </c>
      <c r="G1291" s="28"/>
      <c r="H1291" s="28"/>
      <c r="I1291" s="28"/>
      <c r="J1291" s="28"/>
      <c r="K1291" s="28"/>
      <c r="L1291" s="28"/>
      <c r="M1291" s="28"/>
      <c r="N1291" s="21"/>
      <c r="O1291" s="28"/>
      <c r="P1291" s="38"/>
      <c r="Q1291" s="21"/>
      <c r="R1291" s="21"/>
      <c r="S1291" s="47"/>
      <c r="T1291" s="25">
        <f t="shared" si="43"/>
        <v>0</v>
      </c>
      <c r="U1291" s="25" t="str">
        <f>IF('PART III-DEMOGRAPHICS'!Q1301="","",'PART III-DEMOGRAPHICS'!Q1301)</f>
        <v/>
      </c>
    </row>
    <row r="1292" spans="1:21">
      <c r="A1292" s="25" t="str">
        <f>IF('PART III-DEMOGRAPHICS'!A1302="","",'PART III-DEMOGRAPHICS'!A1302)</f>
        <v/>
      </c>
      <c r="B1292" s="28"/>
      <c r="C1292" s="27"/>
      <c r="D1292" s="28"/>
      <c r="E1292" s="21"/>
      <c r="F1292" s="36" t="str">
        <f t="shared" si="42"/>
        <v>Did Not</v>
      </c>
      <c r="G1292" s="28"/>
      <c r="H1292" s="28"/>
      <c r="I1292" s="28"/>
      <c r="J1292" s="28"/>
      <c r="K1292" s="28"/>
      <c r="L1292" s="28"/>
      <c r="M1292" s="28"/>
      <c r="N1292" s="21"/>
      <c r="O1292" s="28"/>
      <c r="P1292" s="38"/>
      <c r="Q1292" s="21"/>
      <c r="R1292" s="21"/>
      <c r="S1292" s="47"/>
      <c r="T1292" s="25">
        <f t="shared" si="43"/>
        <v>0</v>
      </c>
      <c r="U1292" s="25" t="str">
        <f>IF('PART III-DEMOGRAPHICS'!Q1302="","",'PART III-DEMOGRAPHICS'!Q1302)</f>
        <v/>
      </c>
    </row>
    <row r="1293" spans="1:21">
      <c r="A1293" s="25" t="str">
        <f>IF('PART III-DEMOGRAPHICS'!A1303="","",'PART III-DEMOGRAPHICS'!A1303)</f>
        <v/>
      </c>
      <c r="B1293" s="28"/>
      <c r="C1293" s="27"/>
      <c r="D1293" s="28"/>
      <c r="E1293" s="21"/>
      <c r="F1293" s="36" t="str">
        <f t="shared" si="42"/>
        <v>Did Not</v>
      </c>
      <c r="G1293" s="28"/>
      <c r="H1293" s="28"/>
      <c r="I1293" s="28"/>
      <c r="J1293" s="28"/>
      <c r="K1293" s="28"/>
      <c r="L1293" s="28"/>
      <c r="M1293" s="28"/>
      <c r="N1293" s="21"/>
      <c r="O1293" s="28"/>
      <c r="P1293" s="38"/>
      <c r="Q1293" s="21"/>
      <c r="R1293" s="21"/>
      <c r="S1293" s="47"/>
      <c r="T1293" s="25">
        <f t="shared" si="43"/>
        <v>0</v>
      </c>
      <c r="U1293" s="25" t="str">
        <f>IF('PART III-DEMOGRAPHICS'!Q1303="","",'PART III-DEMOGRAPHICS'!Q1303)</f>
        <v/>
      </c>
    </row>
    <row r="1294" spans="1:21">
      <c r="A1294" s="25" t="str">
        <f>IF('PART III-DEMOGRAPHICS'!A1304="","",'PART III-DEMOGRAPHICS'!A1304)</f>
        <v/>
      </c>
      <c r="B1294" s="28"/>
      <c r="C1294" s="27"/>
      <c r="D1294" s="28"/>
      <c r="E1294" s="21"/>
      <c r="F1294" s="36" t="str">
        <f t="shared" ref="F1294:F1357" si="44">IF(OR(G1294="Yes",H1294="Yes",I1294="Yes",J1294="Yes",K1294="Yes",L1294="Yes",M1294="Yes"),"Did","Did Not")</f>
        <v>Did Not</v>
      </c>
      <c r="G1294" s="28"/>
      <c r="H1294" s="28"/>
      <c r="I1294" s="28"/>
      <c r="J1294" s="28"/>
      <c r="K1294" s="28"/>
      <c r="L1294" s="28"/>
      <c r="M1294" s="28"/>
      <c r="N1294" s="21"/>
      <c r="O1294" s="28"/>
      <c r="P1294" s="38"/>
      <c r="Q1294" s="21"/>
      <c r="R1294" s="21"/>
      <c r="S1294" s="47"/>
      <c r="T1294" s="25">
        <f t="shared" si="43"/>
        <v>0</v>
      </c>
      <c r="U1294" s="25" t="str">
        <f>IF('PART III-DEMOGRAPHICS'!Q1304="","",'PART III-DEMOGRAPHICS'!Q1304)</f>
        <v/>
      </c>
    </row>
    <row r="1295" spans="1:21">
      <c r="A1295" s="25" t="str">
        <f>IF('PART III-DEMOGRAPHICS'!A1305="","",'PART III-DEMOGRAPHICS'!A1305)</f>
        <v/>
      </c>
      <c r="B1295" s="28"/>
      <c r="C1295" s="27"/>
      <c r="D1295" s="28"/>
      <c r="E1295" s="21"/>
      <c r="F1295" s="36" t="str">
        <f t="shared" si="44"/>
        <v>Did Not</v>
      </c>
      <c r="G1295" s="28"/>
      <c r="H1295" s="28"/>
      <c r="I1295" s="28"/>
      <c r="J1295" s="28"/>
      <c r="K1295" s="28"/>
      <c r="L1295" s="28"/>
      <c r="M1295" s="28"/>
      <c r="N1295" s="21"/>
      <c r="O1295" s="28"/>
      <c r="P1295" s="38"/>
      <c r="Q1295" s="21"/>
      <c r="R1295" s="21"/>
      <c r="S1295" s="47"/>
      <c r="T1295" s="25">
        <f t="shared" si="43"/>
        <v>0</v>
      </c>
      <c r="U1295" s="25" t="str">
        <f>IF('PART III-DEMOGRAPHICS'!Q1305="","",'PART III-DEMOGRAPHICS'!Q1305)</f>
        <v/>
      </c>
    </row>
    <row r="1296" spans="1:21">
      <c r="A1296" s="25" t="str">
        <f>IF('PART III-DEMOGRAPHICS'!A1306="","",'PART III-DEMOGRAPHICS'!A1306)</f>
        <v/>
      </c>
      <c r="B1296" s="28"/>
      <c r="C1296" s="27"/>
      <c r="D1296" s="28"/>
      <c r="E1296" s="21"/>
      <c r="F1296" s="36" t="str">
        <f t="shared" si="44"/>
        <v>Did Not</v>
      </c>
      <c r="G1296" s="28"/>
      <c r="H1296" s="28"/>
      <c r="I1296" s="28"/>
      <c r="J1296" s="28"/>
      <c r="K1296" s="28"/>
      <c r="L1296" s="28"/>
      <c r="M1296" s="28"/>
      <c r="N1296" s="21"/>
      <c r="O1296" s="28"/>
      <c r="P1296" s="38"/>
      <c r="Q1296" s="21"/>
      <c r="R1296" s="21"/>
      <c r="S1296" s="47"/>
      <c r="T1296" s="25">
        <f t="shared" si="43"/>
        <v>0</v>
      </c>
      <c r="U1296" s="25" t="str">
        <f>IF('PART III-DEMOGRAPHICS'!Q1306="","",'PART III-DEMOGRAPHICS'!Q1306)</f>
        <v/>
      </c>
    </row>
    <row r="1297" spans="1:21">
      <c r="A1297" s="25" t="str">
        <f>IF('PART III-DEMOGRAPHICS'!A1307="","",'PART III-DEMOGRAPHICS'!A1307)</f>
        <v/>
      </c>
      <c r="B1297" s="28"/>
      <c r="C1297" s="27"/>
      <c r="D1297" s="28"/>
      <c r="E1297" s="21"/>
      <c r="F1297" s="36" t="str">
        <f t="shared" si="44"/>
        <v>Did Not</v>
      </c>
      <c r="G1297" s="28"/>
      <c r="H1297" s="28"/>
      <c r="I1297" s="28"/>
      <c r="J1297" s="28"/>
      <c r="K1297" s="28"/>
      <c r="L1297" s="28"/>
      <c r="M1297" s="28"/>
      <c r="N1297" s="21"/>
      <c r="O1297" s="28"/>
      <c r="P1297" s="38"/>
      <c r="Q1297" s="21"/>
      <c r="R1297" s="21"/>
      <c r="S1297" s="47"/>
      <c r="T1297" s="25">
        <f t="shared" si="43"/>
        <v>0</v>
      </c>
      <c r="U1297" s="25" t="str">
        <f>IF('PART III-DEMOGRAPHICS'!Q1307="","",'PART III-DEMOGRAPHICS'!Q1307)</f>
        <v/>
      </c>
    </row>
    <row r="1298" spans="1:21">
      <c r="A1298" s="25" t="str">
        <f>IF('PART III-DEMOGRAPHICS'!A1308="","",'PART III-DEMOGRAPHICS'!A1308)</f>
        <v/>
      </c>
      <c r="B1298" s="28"/>
      <c r="C1298" s="27"/>
      <c r="D1298" s="28"/>
      <c r="E1298" s="21"/>
      <c r="F1298" s="36" t="str">
        <f t="shared" si="44"/>
        <v>Did Not</v>
      </c>
      <c r="G1298" s="28"/>
      <c r="H1298" s="28"/>
      <c r="I1298" s="28"/>
      <c r="J1298" s="28"/>
      <c r="K1298" s="28"/>
      <c r="L1298" s="28"/>
      <c r="M1298" s="28"/>
      <c r="N1298" s="21"/>
      <c r="O1298" s="28"/>
      <c r="P1298" s="38"/>
      <c r="Q1298" s="21"/>
      <c r="R1298" s="21"/>
      <c r="S1298" s="47"/>
      <c r="T1298" s="25">
        <f t="shared" si="43"/>
        <v>0</v>
      </c>
      <c r="U1298" s="25" t="str">
        <f>IF('PART III-DEMOGRAPHICS'!Q1308="","",'PART III-DEMOGRAPHICS'!Q1308)</f>
        <v/>
      </c>
    </row>
    <row r="1299" spans="1:21">
      <c r="A1299" s="25" t="str">
        <f>IF('PART III-DEMOGRAPHICS'!A1309="","",'PART III-DEMOGRAPHICS'!A1309)</f>
        <v/>
      </c>
      <c r="B1299" s="28"/>
      <c r="C1299" s="27"/>
      <c r="D1299" s="28"/>
      <c r="E1299" s="21"/>
      <c r="F1299" s="36" t="str">
        <f t="shared" si="44"/>
        <v>Did Not</v>
      </c>
      <c r="G1299" s="28"/>
      <c r="H1299" s="28"/>
      <c r="I1299" s="28"/>
      <c r="J1299" s="28"/>
      <c r="K1299" s="28"/>
      <c r="L1299" s="28"/>
      <c r="M1299" s="28"/>
      <c r="N1299" s="21"/>
      <c r="O1299" s="28"/>
      <c r="P1299" s="38"/>
      <c r="Q1299" s="21"/>
      <c r="R1299" s="21"/>
      <c r="S1299" s="47"/>
      <c r="T1299" s="25">
        <f t="shared" si="43"/>
        <v>0</v>
      </c>
      <c r="U1299" s="25" t="str">
        <f>IF('PART III-DEMOGRAPHICS'!Q1309="","",'PART III-DEMOGRAPHICS'!Q1309)</f>
        <v/>
      </c>
    </row>
    <row r="1300" spans="1:21">
      <c r="A1300" s="25" t="str">
        <f>IF('PART III-DEMOGRAPHICS'!A1310="","",'PART III-DEMOGRAPHICS'!A1310)</f>
        <v/>
      </c>
      <c r="B1300" s="28"/>
      <c r="C1300" s="27"/>
      <c r="D1300" s="28"/>
      <c r="E1300" s="21"/>
      <c r="F1300" s="36" t="str">
        <f t="shared" si="44"/>
        <v>Did Not</v>
      </c>
      <c r="G1300" s="28"/>
      <c r="H1300" s="28"/>
      <c r="I1300" s="28"/>
      <c r="J1300" s="28"/>
      <c r="K1300" s="28"/>
      <c r="L1300" s="28"/>
      <c r="M1300" s="28"/>
      <c r="N1300" s="21"/>
      <c r="O1300" s="28"/>
      <c r="P1300" s="38"/>
      <c r="Q1300" s="21"/>
      <c r="R1300" s="21"/>
      <c r="S1300" s="47"/>
      <c r="T1300" s="25">
        <f t="shared" si="43"/>
        <v>0</v>
      </c>
      <c r="U1300" s="25" t="str">
        <f>IF('PART III-DEMOGRAPHICS'!Q1310="","",'PART III-DEMOGRAPHICS'!Q1310)</f>
        <v/>
      </c>
    </row>
    <row r="1301" spans="1:21">
      <c r="A1301" s="25" t="str">
        <f>IF('PART III-DEMOGRAPHICS'!A1311="","",'PART III-DEMOGRAPHICS'!A1311)</f>
        <v/>
      </c>
      <c r="B1301" s="28"/>
      <c r="C1301" s="27"/>
      <c r="D1301" s="28"/>
      <c r="E1301" s="21"/>
      <c r="F1301" s="36" t="str">
        <f t="shared" si="44"/>
        <v>Did Not</v>
      </c>
      <c r="G1301" s="28"/>
      <c r="H1301" s="28"/>
      <c r="I1301" s="28"/>
      <c r="J1301" s="28"/>
      <c r="K1301" s="28"/>
      <c r="L1301" s="28"/>
      <c r="M1301" s="28"/>
      <c r="N1301" s="21"/>
      <c r="O1301" s="28"/>
      <c r="P1301" s="38"/>
      <c r="Q1301" s="21"/>
      <c r="R1301" s="21"/>
      <c r="S1301" s="47"/>
      <c r="T1301" s="25">
        <f t="shared" si="43"/>
        <v>0</v>
      </c>
      <c r="U1301" s="25" t="str">
        <f>IF('PART III-DEMOGRAPHICS'!Q1311="","",'PART III-DEMOGRAPHICS'!Q1311)</f>
        <v/>
      </c>
    </row>
    <row r="1302" spans="1:21">
      <c r="A1302" s="25" t="str">
        <f>IF('PART III-DEMOGRAPHICS'!A1312="","",'PART III-DEMOGRAPHICS'!A1312)</f>
        <v/>
      </c>
      <c r="B1302" s="28"/>
      <c r="C1302" s="27"/>
      <c r="D1302" s="28"/>
      <c r="E1302" s="21"/>
      <c r="F1302" s="36" t="str">
        <f t="shared" si="44"/>
        <v>Did Not</v>
      </c>
      <c r="G1302" s="28"/>
      <c r="H1302" s="28"/>
      <c r="I1302" s="28"/>
      <c r="J1302" s="28"/>
      <c r="K1302" s="28"/>
      <c r="L1302" s="28"/>
      <c r="M1302" s="28"/>
      <c r="N1302" s="21"/>
      <c r="O1302" s="28"/>
      <c r="P1302" s="38"/>
      <c r="Q1302" s="21"/>
      <c r="R1302" s="21"/>
      <c r="S1302" s="47"/>
      <c r="T1302" s="25">
        <f t="shared" si="43"/>
        <v>0</v>
      </c>
      <c r="U1302" s="25" t="str">
        <f>IF('PART III-DEMOGRAPHICS'!Q1312="","",'PART III-DEMOGRAPHICS'!Q1312)</f>
        <v/>
      </c>
    </row>
    <row r="1303" spans="1:21">
      <c r="A1303" s="25" t="str">
        <f>IF('PART III-DEMOGRAPHICS'!A1313="","",'PART III-DEMOGRAPHICS'!A1313)</f>
        <v/>
      </c>
      <c r="B1303" s="28"/>
      <c r="C1303" s="27"/>
      <c r="D1303" s="28"/>
      <c r="E1303" s="21"/>
      <c r="F1303" s="36" t="str">
        <f t="shared" si="44"/>
        <v>Did Not</v>
      </c>
      <c r="G1303" s="28"/>
      <c r="H1303" s="28"/>
      <c r="I1303" s="28"/>
      <c r="J1303" s="28"/>
      <c r="K1303" s="28"/>
      <c r="L1303" s="28"/>
      <c r="M1303" s="28"/>
      <c r="N1303" s="21"/>
      <c r="O1303" s="28"/>
      <c r="P1303" s="38"/>
      <c r="Q1303" s="21"/>
      <c r="R1303" s="21"/>
      <c r="S1303" s="47"/>
      <c r="T1303" s="25">
        <f t="shared" si="43"/>
        <v>0</v>
      </c>
      <c r="U1303" s="25" t="str">
        <f>IF('PART III-DEMOGRAPHICS'!Q1313="","",'PART III-DEMOGRAPHICS'!Q1313)</f>
        <v/>
      </c>
    </row>
    <row r="1304" spans="1:21">
      <c r="A1304" s="25" t="str">
        <f>IF('PART III-DEMOGRAPHICS'!A1314="","",'PART III-DEMOGRAPHICS'!A1314)</f>
        <v/>
      </c>
      <c r="B1304" s="28"/>
      <c r="C1304" s="27"/>
      <c r="D1304" s="28"/>
      <c r="E1304" s="21"/>
      <c r="F1304" s="36" t="str">
        <f t="shared" si="44"/>
        <v>Did Not</v>
      </c>
      <c r="G1304" s="28"/>
      <c r="H1304" s="28"/>
      <c r="I1304" s="28"/>
      <c r="J1304" s="28"/>
      <c r="K1304" s="28"/>
      <c r="L1304" s="28"/>
      <c r="M1304" s="28"/>
      <c r="N1304" s="21"/>
      <c r="O1304" s="28"/>
      <c r="P1304" s="38"/>
      <c r="Q1304" s="21"/>
      <c r="R1304" s="21"/>
      <c r="S1304" s="47"/>
      <c r="T1304" s="25">
        <f t="shared" si="43"/>
        <v>0</v>
      </c>
      <c r="U1304" s="25" t="str">
        <f>IF('PART III-DEMOGRAPHICS'!Q1314="","",'PART III-DEMOGRAPHICS'!Q1314)</f>
        <v/>
      </c>
    </row>
    <row r="1305" spans="1:21">
      <c r="A1305" s="25" t="str">
        <f>IF('PART III-DEMOGRAPHICS'!A1315="","",'PART III-DEMOGRAPHICS'!A1315)</f>
        <v/>
      </c>
      <c r="B1305" s="28"/>
      <c r="C1305" s="27"/>
      <c r="D1305" s="28"/>
      <c r="E1305" s="21"/>
      <c r="F1305" s="36" t="str">
        <f t="shared" si="44"/>
        <v>Did Not</v>
      </c>
      <c r="G1305" s="28"/>
      <c r="H1305" s="28"/>
      <c r="I1305" s="28"/>
      <c r="J1305" s="28"/>
      <c r="K1305" s="28"/>
      <c r="L1305" s="28"/>
      <c r="M1305" s="28"/>
      <c r="N1305" s="21"/>
      <c r="O1305" s="28"/>
      <c r="P1305" s="38"/>
      <c r="Q1305" s="21"/>
      <c r="R1305" s="21"/>
      <c r="S1305" s="47"/>
      <c r="T1305" s="25">
        <f t="shared" si="43"/>
        <v>0</v>
      </c>
      <c r="U1305" s="25" t="str">
        <f>IF('PART III-DEMOGRAPHICS'!Q1315="","",'PART III-DEMOGRAPHICS'!Q1315)</f>
        <v/>
      </c>
    </row>
    <row r="1306" spans="1:21">
      <c r="A1306" s="25" t="str">
        <f>IF('PART III-DEMOGRAPHICS'!A1316="","",'PART III-DEMOGRAPHICS'!A1316)</f>
        <v/>
      </c>
      <c r="B1306" s="28"/>
      <c r="C1306" s="27"/>
      <c r="D1306" s="28"/>
      <c r="E1306" s="21"/>
      <c r="F1306" s="36" t="str">
        <f t="shared" si="44"/>
        <v>Did Not</v>
      </c>
      <c r="G1306" s="28"/>
      <c r="H1306" s="28"/>
      <c r="I1306" s="28"/>
      <c r="J1306" s="28"/>
      <c r="K1306" s="28"/>
      <c r="L1306" s="28"/>
      <c r="M1306" s="28"/>
      <c r="N1306" s="21"/>
      <c r="O1306" s="28"/>
      <c r="P1306" s="38"/>
      <c r="Q1306" s="21"/>
      <c r="R1306" s="21"/>
      <c r="S1306" s="47"/>
      <c r="T1306" s="25">
        <f t="shared" si="43"/>
        <v>0</v>
      </c>
      <c r="U1306" s="25" t="str">
        <f>IF('PART III-DEMOGRAPHICS'!Q1316="","",'PART III-DEMOGRAPHICS'!Q1316)</f>
        <v/>
      </c>
    </row>
    <row r="1307" spans="1:21">
      <c r="A1307" s="25" t="str">
        <f>IF('PART III-DEMOGRAPHICS'!A1317="","",'PART III-DEMOGRAPHICS'!A1317)</f>
        <v/>
      </c>
      <c r="B1307" s="28"/>
      <c r="C1307" s="27"/>
      <c r="D1307" s="28"/>
      <c r="E1307" s="21"/>
      <c r="F1307" s="36" t="str">
        <f t="shared" si="44"/>
        <v>Did Not</v>
      </c>
      <c r="G1307" s="28"/>
      <c r="H1307" s="28"/>
      <c r="I1307" s="28"/>
      <c r="J1307" s="28"/>
      <c r="K1307" s="28"/>
      <c r="L1307" s="28"/>
      <c r="M1307" s="28"/>
      <c r="N1307" s="21"/>
      <c r="O1307" s="28"/>
      <c r="P1307" s="38"/>
      <c r="Q1307" s="21"/>
      <c r="R1307" s="21"/>
      <c r="S1307" s="47"/>
      <c r="T1307" s="25">
        <f t="shared" si="43"/>
        <v>0</v>
      </c>
      <c r="U1307" s="25" t="str">
        <f>IF('PART III-DEMOGRAPHICS'!Q1317="","",'PART III-DEMOGRAPHICS'!Q1317)</f>
        <v/>
      </c>
    </row>
    <row r="1308" spans="1:21">
      <c r="A1308" s="25" t="str">
        <f>IF('PART III-DEMOGRAPHICS'!A1318="","",'PART III-DEMOGRAPHICS'!A1318)</f>
        <v/>
      </c>
      <c r="B1308" s="28"/>
      <c r="C1308" s="27"/>
      <c r="D1308" s="28"/>
      <c r="E1308" s="21"/>
      <c r="F1308" s="36" t="str">
        <f t="shared" si="44"/>
        <v>Did Not</v>
      </c>
      <c r="G1308" s="28"/>
      <c r="H1308" s="28"/>
      <c r="I1308" s="28"/>
      <c r="J1308" s="28"/>
      <c r="K1308" s="28"/>
      <c r="L1308" s="28"/>
      <c r="M1308" s="28"/>
      <c r="N1308" s="21"/>
      <c r="O1308" s="28"/>
      <c r="P1308" s="38"/>
      <c r="Q1308" s="21"/>
      <c r="R1308" s="21"/>
      <c r="S1308" s="47"/>
      <c r="T1308" s="25">
        <f t="shared" si="43"/>
        <v>0</v>
      </c>
      <c r="U1308" s="25" t="str">
        <f>IF('PART III-DEMOGRAPHICS'!Q1318="","",'PART III-DEMOGRAPHICS'!Q1318)</f>
        <v/>
      </c>
    </row>
    <row r="1309" spans="1:21">
      <c r="A1309" s="25" t="str">
        <f>IF('PART III-DEMOGRAPHICS'!A1319="","",'PART III-DEMOGRAPHICS'!A1319)</f>
        <v/>
      </c>
      <c r="B1309" s="28"/>
      <c r="C1309" s="27"/>
      <c r="D1309" s="28"/>
      <c r="E1309" s="21"/>
      <c r="F1309" s="36" t="str">
        <f t="shared" si="44"/>
        <v>Did Not</v>
      </c>
      <c r="G1309" s="28"/>
      <c r="H1309" s="28"/>
      <c r="I1309" s="28"/>
      <c r="J1309" s="28"/>
      <c r="K1309" s="28"/>
      <c r="L1309" s="28"/>
      <c r="M1309" s="28"/>
      <c r="N1309" s="21"/>
      <c r="O1309" s="28"/>
      <c r="P1309" s="38"/>
      <c r="Q1309" s="21"/>
      <c r="R1309" s="21"/>
      <c r="S1309" s="47"/>
      <c r="T1309" s="25">
        <f t="shared" si="43"/>
        <v>0</v>
      </c>
      <c r="U1309" s="25" t="str">
        <f>IF('PART III-DEMOGRAPHICS'!Q1319="","",'PART III-DEMOGRAPHICS'!Q1319)</f>
        <v/>
      </c>
    </row>
    <row r="1310" spans="1:21">
      <c r="A1310" s="25" t="str">
        <f>IF('PART III-DEMOGRAPHICS'!A1320="","",'PART III-DEMOGRAPHICS'!A1320)</f>
        <v/>
      </c>
      <c r="B1310" s="28"/>
      <c r="C1310" s="27"/>
      <c r="D1310" s="28"/>
      <c r="E1310" s="21"/>
      <c r="F1310" s="36" t="str">
        <f t="shared" si="44"/>
        <v>Did Not</v>
      </c>
      <c r="G1310" s="28"/>
      <c r="H1310" s="28"/>
      <c r="I1310" s="28"/>
      <c r="J1310" s="28"/>
      <c r="K1310" s="28"/>
      <c r="L1310" s="28"/>
      <c r="M1310" s="28"/>
      <c r="N1310" s="21"/>
      <c r="O1310" s="28"/>
      <c r="P1310" s="38"/>
      <c r="Q1310" s="21"/>
      <c r="R1310" s="21"/>
      <c r="S1310" s="47"/>
      <c r="T1310" s="25">
        <f t="shared" si="43"/>
        <v>0</v>
      </c>
      <c r="U1310" s="25" t="str">
        <f>IF('PART III-DEMOGRAPHICS'!Q1320="","",'PART III-DEMOGRAPHICS'!Q1320)</f>
        <v/>
      </c>
    </row>
    <row r="1311" spans="1:21">
      <c r="A1311" s="25" t="str">
        <f>IF('PART III-DEMOGRAPHICS'!A1321="","",'PART III-DEMOGRAPHICS'!A1321)</f>
        <v/>
      </c>
      <c r="B1311" s="28"/>
      <c r="C1311" s="27"/>
      <c r="D1311" s="28"/>
      <c r="E1311" s="21"/>
      <c r="F1311" s="36" t="str">
        <f t="shared" si="44"/>
        <v>Did Not</v>
      </c>
      <c r="G1311" s="28"/>
      <c r="H1311" s="28"/>
      <c r="I1311" s="28"/>
      <c r="J1311" s="28"/>
      <c r="K1311" s="28"/>
      <c r="L1311" s="28"/>
      <c r="M1311" s="28"/>
      <c r="N1311" s="21"/>
      <c r="O1311" s="28"/>
      <c r="P1311" s="38"/>
      <c r="Q1311" s="21"/>
      <c r="R1311" s="21"/>
      <c r="S1311" s="47"/>
      <c r="T1311" s="25">
        <f t="shared" si="43"/>
        <v>0</v>
      </c>
      <c r="U1311" s="25" t="str">
        <f>IF('PART III-DEMOGRAPHICS'!Q1321="","",'PART III-DEMOGRAPHICS'!Q1321)</f>
        <v/>
      </c>
    </row>
    <row r="1312" spans="1:21">
      <c r="A1312" s="25" t="str">
        <f>IF('PART III-DEMOGRAPHICS'!A1322="","",'PART III-DEMOGRAPHICS'!A1322)</f>
        <v/>
      </c>
      <c r="B1312" s="28"/>
      <c r="C1312" s="27"/>
      <c r="D1312" s="28"/>
      <c r="E1312" s="21"/>
      <c r="F1312" s="36" t="str">
        <f t="shared" si="44"/>
        <v>Did Not</v>
      </c>
      <c r="G1312" s="28"/>
      <c r="H1312" s="28"/>
      <c r="I1312" s="28"/>
      <c r="J1312" s="28"/>
      <c r="K1312" s="28"/>
      <c r="L1312" s="28"/>
      <c r="M1312" s="28"/>
      <c r="N1312" s="21"/>
      <c r="O1312" s="28"/>
      <c r="P1312" s="38"/>
      <c r="Q1312" s="21"/>
      <c r="R1312" s="21"/>
      <c r="S1312" s="47"/>
      <c r="T1312" s="25">
        <f t="shared" si="43"/>
        <v>0</v>
      </c>
      <c r="U1312" s="25" t="str">
        <f>IF('PART III-DEMOGRAPHICS'!Q1322="","",'PART III-DEMOGRAPHICS'!Q1322)</f>
        <v/>
      </c>
    </row>
    <row r="1313" spans="1:21">
      <c r="A1313" s="25" t="str">
        <f>IF('PART III-DEMOGRAPHICS'!A1323="","",'PART III-DEMOGRAPHICS'!A1323)</f>
        <v/>
      </c>
      <c r="B1313" s="28"/>
      <c r="C1313" s="27"/>
      <c r="D1313" s="28"/>
      <c r="E1313" s="21"/>
      <c r="F1313" s="36" t="str">
        <f t="shared" si="44"/>
        <v>Did Not</v>
      </c>
      <c r="G1313" s="28"/>
      <c r="H1313" s="28"/>
      <c r="I1313" s="28"/>
      <c r="J1313" s="28"/>
      <c r="K1313" s="28"/>
      <c r="L1313" s="28"/>
      <c r="M1313" s="28"/>
      <c r="N1313" s="21"/>
      <c r="O1313" s="28"/>
      <c r="P1313" s="38"/>
      <c r="Q1313" s="21"/>
      <c r="R1313" s="21"/>
      <c r="S1313" s="47"/>
      <c r="T1313" s="25">
        <f t="shared" si="43"/>
        <v>0</v>
      </c>
      <c r="U1313" s="25" t="str">
        <f>IF('PART III-DEMOGRAPHICS'!Q1323="","",'PART III-DEMOGRAPHICS'!Q1323)</f>
        <v/>
      </c>
    </row>
    <row r="1314" spans="1:21">
      <c r="A1314" s="25" t="str">
        <f>IF('PART III-DEMOGRAPHICS'!A1324="","",'PART III-DEMOGRAPHICS'!A1324)</f>
        <v/>
      </c>
      <c r="B1314" s="28"/>
      <c r="C1314" s="27"/>
      <c r="D1314" s="28"/>
      <c r="E1314" s="21"/>
      <c r="F1314" s="36" t="str">
        <f t="shared" si="44"/>
        <v>Did Not</v>
      </c>
      <c r="G1314" s="28"/>
      <c r="H1314" s="28"/>
      <c r="I1314" s="28"/>
      <c r="J1314" s="28"/>
      <c r="K1314" s="28"/>
      <c r="L1314" s="28"/>
      <c r="M1314" s="28"/>
      <c r="N1314" s="21"/>
      <c r="O1314" s="28"/>
      <c r="P1314" s="38"/>
      <c r="Q1314" s="21"/>
      <c r="R1314" s="21"/>
      <c r="S1314" s="47"/>
      <c r="T1314" s="25">
        <f t="shared" si="43"/>
        <v>0</v>
      </c>
      <c r="U1314" s="25" t="str">
        <f>IF('PART III-DEMOGRAPHICS'!Q1324="","",'PART III-DEMOGRAPHICS'!Q1324)</f>
        <v/>
      </c>
    </row>
    <row r="1315" spans="1:21">
      <c r="A1315" s="25" t="str">
        <f>IF('PART III-DEMOGRAPHICS'!A1325="","",'PART III-DEMOGRAPHICS'!A1325)</f>
        <v/>
      </c>
      <c r="B1315" s="28"/>
      <c r="C1315" s="27"/>
      <c r="D1315" s="28"/>
      <c r="E1315" s="21"/>
      <c r="F1315" s="36" t="str">
        <f t="shared" si="44"/>
        <v>Did Not</v>
      </c>
      <c r="G1315" s="28"/>
      <c r="H1315" s="28"/>
      <c r="I1315" s="28"/>
      <c r="J1315" s="28"/>
      <c r="K1315" s="28"/>
      <c r="L1315" s="28"/>
      <c r="M1315" s="28"/>
      <c r="N1315" s="21"/>
      <c r="O1315" s="28"/>
      <c r="P1315" s="38"/>
      <c r="Q1315" s="21"/>
      <c r="R1315" s="21"/>
      <c r="S1315" s="47"/>
      <c r="T1315" s="25">
        <f t="shared" si="43"/>
        <v>0</v>
      </c>
      <c r="U1315" s="25" t="str">
        <f>IF('PART III-DEMOGRAPHICS'!Q1325="","",'PART III-DEMOGRAPHICS'!Q1325)</f>
        <v/>
      </c>
    </row>
    <row r="1316" spans="1:21">
      <c r="A1316" s="25" t="str">
        <f>IF('PART III-DEMOGRAPHICS'!A1326="","",'PART III-DEMOGRAPHICS'!A1326)</f>
        <v/>
      </c>
      <c r="B1316" s="28"/>
      <c r="C1316" s="27"/>
      <c r="D1316" s="28"/>
      <c r="E1316" s="21"/>
      <c r="F1316" s="36" t="str">
        <f t="shared" si="44"/>
        <v>Did Not</v>
      </c>
      <c r="G1316" s="28"/>
      <c r="H1316" s="28"/>
      <c r="I1316" s="28"/>
      <c r="J1316" s="28"/>
      <c r="K1316" s="28"/>
      <c r="L1316" s="28"/>
      <c r="M1316" s="28"/>
      <c r="N1316" s="21"/>
      <c r="O1316" s="28"/>
      <c r="P1316" s="38"/>
      <c r="Q1316" s="21"/>
      <c r="R1316" s="21"/>
      <c r="S1316" s="47"/>
      <c r="T1316" s="25">
        <f t="shared" si="43"/>
        <v>0</v>
      </c>
      <c r="U1316" s="25" t="str">
        <f>IF('PART III-DEMOGRAPHICS'!Q1326="","",'PART III-DEMOGRAPHICS'!Q1326)</f>
        <v/>
      </c>
    </row>
    <row r="1317" spans="1:21">
      <c r="A1317" s="25" t="str">
        <f>IF('PART III-DEMOGRAPHICS'!A1327="","",'PART III-DEMOGRAPHICS'!A1327)</f>
        <v/>
      </c>
      <c r="B1317" s="28"/>
      <c r="C1317" s="27"/>
      <c r="D1317" s="28"/>
      <c r="E1317" s="21"/>
      <c r="F1317" s="36" t="str">
        <f t="shared" si="44"/>
        <v>Did Not</v>
      </c>
      <c r="G1317" s="28"/>
      <c r="H1317" s="28"/>
      <c r="I1317" s="28"/>
      <c r="J1317" s="28"/>
      <c r="K1317" s="28"/>
      <c r="L1317" s="28"/>
      <c r="M1317" s="28"/>
      <c r="N1317" s="21"/>
      <c r="O1317" s="28"/>
      <c r="P1317" s="38"/>
      <c r="Q1317" s="21"/>
      <c r="R1317" s="21"/>
      <c r="S1317" s="47"/>
      <c r="T1317" s="25">
        <f t="shared" si="43"/>
        <v>0</v>
      </c>
      <c r="U1317" s="25" t="str">
        <f>IF('PART III-DEMOGRAPHICS'!Q1327="","",'PART III-DEMOGRAPHICS'!Q1327)</f>
        <v/>
      </c>
    </row>
    <row r="1318" spans="1:21">
      <c r="A1318" s="25" t="str">
        <f>IF('PART III-DEMOGRAPHICS'!A1328="","",'PART III-DEMOGRAPHICS'!A1328)</f>
        <v/>
      </c>
      <c r="B1318" s="28"/>
      <c r="C1318" s="27"/>
      <c r="D1318" s="28"/>
      <c r="E1318" s="21"/>
      <c r="F1318" s="36" t="str">
        <f t="shared" si="44"/>
        <v>Did Not</v>
      </c>
      <c r="G1318" s="28"/>
      <c r="H1318" s="28"/>
      <c r="I1318" s="28"/>
      <c r="J1318" s="28"/>
      <c r="K1318" s="28"/>
      <c r="L1318" s="28"/>
      <c r="M1318" s="28"/>
      <c r="N1318" s="21"/>
      <c r="O1318" s="28"/>
      <c r="P1318" s="38"/>
      <c r="Q1318" s="21"/>
      <c r="R1318" s="21"/>
      <c r="S1318" s="47"/>
      <c r="T1318" s="25">
        <f t="shared" si="43"/>
        <v>0</v>
      </c>
      <c r="U1318" s="25" t="str">
        <f>IF('PART III-DEMOGRAPHICS'!Q1328="","",'PART III-DEMOGRAPHICS'!Q1328)</f>
        <v/>
      </c>
    </row>
    <row r="1319" spans="1:21">
      <c r="A1319" s="25" t="str">
        <f>IF('PART III-DEMOGRAPHICS'!A1329="","",'PART III-DEMOGRAPHICS'!A1329)</f>
        <v/>
      </c>
      <c r="B1319" s="28"/>
      <c r="C1319" s="27"/>
      <c r="D1319" s="28"/>
      <c r="E1319" s="21"/>
      <c r="F1319" s="36" t="str">
        <f t="shared" si="44"/>
        <v>Did Not</v>
      </c>
      <c r="G1319" s="28"/>
      <c r="H1319" s="28"/>
      <c r="I1319" s="28"/>
      <c r="J1319" s="28"/>
      <c r="K1319" s="28"/>
      <c r="L1319" s="28"/>
      <c r="M1319" s="28"/>
      <c r="N1319" s="21"/>
      <c r="O1319" s="28"/>
      <c r="P1319" s="38"/>
      <c r="Q1319" s="21"/>
      <c r="R1319" s="21"/>
      <c r="S1319" s="47"/>
      <c r="T1319" s="25">
        <f t="shared" si="43"/>
        <v>0</v>
      </c>
      <c r="U1319" s="25" t="str">
        <f>IF('PART III-DEMOGRAPHICS'!Q1329="","",'PART III-DEMOGRAPHICS'!Q1329)</f>
        <v/>
      </c>
    </row>
    <row r="1320" spans="1:21">
      <c r="A1320" s="25" t="str">
        <f>IF('PART III-DEMOGRAPHICS'!A1330="","",'PART III-DEMOGRAPHICS'!A1330)</f>
        <v/>
      </c>
      <c r="B1320" s="28"/>
      <c r="C1320" s="27"/>
      <c r="D1320" s="28"/>
      <c r="E1320" s="21"/>
      <c r="F1320" s="36" t="str">
        <f t="shared" si="44"/>
        <v>Did Not</v>
      </c>
      <c r="G1320" s="28"/>
      <c r="H1320" s="28"/>
      <c r="I1320" s="28"/>
      <c r="J1320" s="28"/>
      <c r="K1320" s="28"/>
      <c r="L1320" s="28"/>
      <c r="M1320" s="28"/>
      <c r="N1320" s="21"/>
      <c r="O1320" s="28"/>
      <c r="P1320" s="38"/>
      <c r="Q1320" s="21"/>
      <c r="R1320" s="21"/>
      <c r="S1320" s="47"/>
      <c r="T1320" s="25">
        <f t="shared" si="43"/>
        <v>0</v>
      </c>
      <c r="U1320" s="25" t="str">
        <f>IF('PART III-DEMOGRAPHICS'!Q1330="","",'PART III-DEMOGRAPHICS'!Q1330)</f>
        <v/>
      </c>
    </row>
    <row r="1321" spans="1:21">
      <c r="A1321" s="25" t="str">
        <f>IF('PART III-DEMOGRAPHICS'!A1331="","",'PART III-DEMOGRAPHICS'!A1331)</f>
        <v/>
      </c>
      <c r="B1321" s="28"/>
      <c r="C1321" s="27"/>
      <c r="D1321" s="28"/>
      <c r="E1321" s="21"/>
      <c r="F1321" s="36" t="str">
        <f t="shared" si="44"/>
        <v>Did Not</v>
      </c>
      <c r="G1321" s="28"/>
      <c r="H1321" s="28"/>
      <c r="I1321" s="28"/>
      <c r="J1321" s="28"/>
      <c r="K1321" s="28"/>
      <c r="L1321" s="28"/>
      <c r="M1321" s="28"/>
      <c r="N1321" s="21"/>
      <c r="O1321" s="28"/>
      <c r="P1321" s="38"/>
      <c r="Q1321" s="21"/>
      <c r="R1321" s="21"/>
      <c r="S1321" s="47"/>
      <c r="T1321" s="25">
        <f t="shared" si="43"/>
        <v>0</v>
      </c>
      <c r="U1321" s="25" t="str">
        <f>IF('PART III-DEMOGRAPHICS'!Q1331="","",'PART III-DEMOGRAPHICS'!Q1331)</f>
        <v/>
      </c>
    </row>
    <row r="1322" spans="1:21">
      <c r="A1322" s="25" t="str">
        <f>IF('PART III-DEMOGRAPHICS'!A1332="","",'PART III-DEMOGRAPHICS'!A1332)</f>
        <v/>
      </c>
      <c r="B1322" s="28"/>
      <c r="C1322" s="27"/>
      <c r="D1322" s="28"/>
      <c r="E1322" s="21"/>
      <c r="F1322" s="36" t="str">
        <f t="shared" si="44"/>
        <v>Did Not</v>
      </c>
      <c r="G1322" s="28"/>
      <c r="H1322" s="28"/>
      <c r="I1322" s="28"/>
      <c r="J1322" s="28"/>
      <c r="K1322" s="28"/>
      <c r="L1322" s="28"/>
      <c r="M1322" s="28"/>
      <c r="N1322" s="21"/>
      <c r="O1322" s="28"/>
      <c r="P1322" s="38"/>
      <c r="Q1322" s="21"/>
      <c r="R1322" s="21"/>
      <c r="S1322" s="47"/>
      <c r="T1322" s="25">
        <f t="shared" si="43"/>
        <v>0</v>
      </c>
      <c r="U1322" s="25" t="str">
        <f>IF('PART III-DEMOGRAPHICS'!Q1332="","",'PART III-DEMOGRAPHICS'!Q1332)</f>
        <v/>
      </c>
    </row>
    <row r="1323" spans="1:21">
      <c r="A1323" s="25" t="str">
        <f>IF('PART III-DEMOGRAPHICS'!A1333="","",'PART III-DEMOGRAPHICS'!A1333)</f>
        <v/>
      </c>
      <c r="B1323" s="28"/>
      <c r="C1323" s="27"/>
      <c r="D1323" s="28"/>
      <c r="E1323" s="21"/>
      <c r="F1323" s="36" t="str">
        <f t="shared" si="44"/>
        <v>Did Not</v>
      </c>
      <c r="G1323" s="28"/>
      <c r="H1323" s="28"/>
      <c r="I1323" s="28"/>
      <c r="J1323" s="28"/>
      <c r="K1323" s="28"/>
      <c r="L1323" s="28"/>
      <c r="M1323" s="28"/>
      <c r="N1323" s="21"/>
      <c r="O1323" s="28"/>
      <c r="P1323" s="38"/>
      <c r="Q1323" s="21"/>
      <c r="R1323" s="21"/>
      <c r="S1323" s="47"/>
      <c r="T1323" s="25">
        <f t="shared" si="43"/>
        <v>0</v>
      </c>
      <c r="U1323" s="25" t="str">
        <f>IF('PART III-DEMOGRAPHICS'!Q1333="","",'PART III-DEMOGRAPHICS'!Q1333)</f>
        <v/>
      </c>
    </row>
    <row r="1324" spans="1:21">
      <c r="A1324" s="25" t="str">
        <f>IF('PART III-DEMOGRAPHICS'!A1334="","",'PART III-DEMOGRAPHICS'!A1334)</f>
        <v/>
      </c>
      <c r="B1324" s="28"/>
      <c r="C1324" s="27"/>
      <c r="D1324" s="28"/>
      <c r="E1324" s="21"/>
      <c r="F1324" s="36" t="str">
        <f t="shared" si="44"/>
        <v>Did Not</v>
      </c>
      <c r="G1324" s="28"/>
      <c r="H1324" s="28"/>
      <c r="I1324" s="28"/>
      <c r="J1324" s="28"/>
      <c r="K1324" s="28"/>
      <c r="L1324" s="28"/>
      <c r="M1324" s="28"/>
      <c r="N1324" s="21"/>
      <c r="O1324" s="28"/>
      <c r="P1324" s="38"/>
      <c r="Q1324" s="21"/>
      <c r="R1324" s="21"/>
      <c r="S1324" s="47"/>
      <c r="T1324" s="25">
        <f t="shared" si="43"/>
        <v>0</v>
      </c>
      <c r="U1324" s="25" t="str">
        <f>IF('PART III-DEMOGRAPHICS'!Q1334="","",'PART III-DEMOGRAPHICS'!Q1334)</f>
        <v/>
      </c>
    </row>
    <row r="1325" spans="1:21">
      <c r="A1325" s="25" t="str">
        <f>IF('PART III-DEMOGRAPHICS'!A1335="","",'PART III-DEMOGRAPHICS'!A1335)</f>
        <v/>
      </c>
      <c r="B1325" s="28"/>
      <c r="C1325" s="27"/>
      <c r="D1325" s="28"/>
      <c r="E1325" s="21"/>
      <c r="F1325" s="36" t="str">
        <f t="shared" si="44"/>
        <v>Did Not</v>
      </c>
      <c r="G1325" s="28"/>
      <c r="H1325" s="28"/>
      <c r="I1325" s="28"/>
      <c r="J1325" s="28"/>
      <c r="K1325" s="28"/>
      <c r="L1325" s="28"/>
      <c r="M1325" s="28"/>
      <c r="N1325" s="21"/>
      <c r="O1325" s="28"/>
      <c r="P1325" s="38"/>
      <c r="Q1325" s="21"/>
      <c r="R1325" s="21"/>
      <c r="S1325" s="47"/>
      <c r="T1325" s="25">
        <f t="shared" si="43"/>
        <v>0</v>
      </c>
      <c r="U1325" s="25" t="str">
        <f>IF('PART III-DEMOGRAPHICS'!Q1335="","",'PART III-DEMOGRAPHICS'!Q1335)</f>
        <v/>
      </c>
    </row>
    <row r="1326" spans="1:21">
      <c r="A1326" s="25" t="str">
        <f>IF('PART III-DEMOGRAPHICS'!A1336="","",'PART III-DEMOGRAPHICS'!A1336)</f>
        <v/>
      </c>
      <c r="B1326" s="28"/>
      <c r="C1326" s="27"/>
      <c r="D1326" s="28"/>
      <c r="E1326" s="21"/>
      <c r="F1326" s="36" t="str">
        <f t="shared" si="44"/>
        <v>Did Not</v>
      </c>
      <c r="G1326" s="28"/>
      <c r="H1326" s="28"/>
      <c r="I1326" s="28"/>
      <c r="J1326" s="28"/>
      <c r="K1326" s="28"/>
      <c r="L1326" s="28"/>
      <c r="M1326" s="28"/>
      <c r="N1326" s="21"/>
      <c r="O1326" s="28"/>
      <c r="P1326" s="38"/>
      <c r="Q1326" s="21"/>
      <c r="R1326" s="21"/>
      <c r="S1326" s="47"/>
      <c r="T1326" s="25">
        <f t="shared" si="43"/>
        <v>0</v>
      </c>
      <c r="U1326" s="25" t="str">
        <f>IF('PART III-DEMOGRAPHICS'!Q1336="","",'PART III-DEMOGRAPHICS'!Q1336)</f>
        <v/>
      </c>
    </row>
    <row r="1327" spans="1:21">
      <c r="A1327" s="25" t="str">
        <f>IF('PART III-DEMOGRAPHICS'!A1337="","",'PART III-DEMOGRAPHICS'!A1337)</f>
        <v/>
      </c>
      <c r="B1327" s="28"/>
      <c r="C1327" s="27"/>
      <c r="D1327" s="28"/>
      <c r="E1327" s="21"/>
      <c r="F1327" s="36" t="str">
        <f t="shared" si="44"/>
        <v>Did Not</v>
      </c>
      <c r="G1327" s="28"/>
      <c r="H1327" s="28"/>
      <c r="I1327" s="28"/>
      <c r="J1327" s="28"/>
      <c r="K1327" s="28"/>
      <c r="L1327" s="28"/>
      <c r="M1327" s="28"/>
      <c r="N1327" s="21"/>
      <c r="O1327" s="28"/>
      <c r="P1327" s="38"/>
      <c r="Q1327" s="21"/>
      <c r="R1327" s="21"/>
      <c r="S1327" s="47"/>
      <c r="T1327" s="25">
        <f t="shared" si="43"/>
        <v>0</v>
      </c>
      <c r="U1327" s="25" t="str">
        <f>IF('PART III-DEMOGRAPHICS'!Q1337="","",'PART III-DEMOGRAPHICS'!Q1337)</f>
        <v/>
      </c>
    </row>
    <row r="1328" spans="1:21">
      <c r="A1328" s="25" t="str">
        <f>IF('PART III-DEMOGRAPHICS'!A1338="","",'PART III-DEMOGRAPHICS'!A1338)</f>
        <v/>
      </c>
      <c r="B1328" s="28"/>
      <c r="C1328" s="27"/>
      <c r="D1328" s="28"/>
      <c r="E1328" s="21"/>
      <c r="F1328" s="36" t="str">
        <f t="shared" si="44"/>
        <v>Did Not</v>
      </c>
      <c r="G1328" s="28"/>
      <c r="H1328" s="28"/>
      <c r="I1328" s="28"/>
      <c r="J1328" s="28"/>
      <c r="K1328" s="28"/>
      <c r="L1328" s="28"/>
      <c r="M1328" s="28"/>
      <c r="N1328" s="21"/>
      <c r="O1328" s="28"/>
      <c r="P1328" s="38"/>
      <c r="Q1328" s="21"/>
      <c r="R1328" s="21"/>
      <c r="S1328" s="47"/>
      <c r="T1328" s="25">
        <f t="shared" si="43"/>
        <v>0</v>
      </c>
      <c r="U1328" s="25" t="str">
        <f>IF('PART III-DEMOGRAPHICS'!Q1338="","",'PART III-DEMOGRAPHICS'!Q1338)</f>
        <v/>
      </c>
    </row>
    <row r="1329" spans="1:21">
      <c r="A1329" s="25" t="str">
        <f>IF('PART III-DEMOGRAPHICS'!A1339="","",'PART III-DEMOGRAPHICS'!A1339)</f>
        <v/>
      </c>
      <c r="B1329" s="28"/>
      <c r="C1329" s="27"/>
      <c r="D1329" s="28"/>
      <c r="E1329" s="21"/>
      <c r="F1329" s="36" t="str">
        <f t="shared" si="44"/>
        <v>Did Not</v>
      </c>
      <c r="G1329" s="28"/>
      <c r="H1329" s="28"/>
      <c r="I1329" s="28"/>
      <c r="J1329" s="28"/>
      <c r="K1329" s="28"/>
      <c r="L1329" s="28"/>
      <c r="M1329" s="28"/>
      <c r="N1329" s="21"/>
      <c r="O1329" s="28"/>
      <c r="P1329" s="38"/>
      <c r="Q1329" s="21"/>
      <c r="R1329" s="21"/>
      <c r="S1329" s="47"/>
      <c r="T1329" s="25">
        <f t="shared" si="43"/>
        <v>0</v>
      </c>
      <c r="U1329" s="25" t="str">
        <f>IF('PART III-DEMOGRAPHICS'!Q1339="","",'PART III-DEMOGRAPHICS'!Q1339)</f>
        <v/>
      </c>
    </row>
    <row r="1330" spans="1:21">
      <c r="A1330" s="25" t="str">
        <f>IF('PART III-DEMOGRAPHICS'!A1340="","",'PART III-DEMOGRAPHICS'!A1340)</f>
        <v/>
      </c>
      <c r="B1330" s="28"/>
      <c r="C1330" s="27"/>
      <c r="D1330" s="28"/>
      <c r="E1330" s="21"/>
      <c r="F1330" s="36" t="str">
        <f t="shared" si="44"/>
        <v>Did Not</v>
      </c>
      <c r="G1330" s="28"/>
      <c r="H1330" s="28"/>
      <c r="I1330" s="28"/>
      <c r="J1330" s="28"/>
      <c r="K1330" s="28"/>
      <c r="L1330" s="28"/>
      <c r="M1330" s="28"/>
      <c r="N1330" s="21"/>
      <c r="O1330" s="28"/>
      <c r="P1330" s="38"/>
      <c r="Q1330" s="21"/>
      <c r="R1330" s="21"/>
      <c r="S1330" s="47"/>
      <c r="T1330" s="25">
        <f t="shared" si="43"/>
        <v>0</v>
      </c>
      <c r="U1330" s="25" t="str">
        <f>IF('PART III-DEMOGRAPHICS'!Q1340="","",'PART III-DEMOGRAPHICS'!Q1340)</f>
        <v/>
      </c>
    </row>
    <row r="1331" spans="1:21">
      <c r="A1331" s="25" t="str">
        <f>IF('PART III-DEMOGRAPHICS'!A1341="","",'PART III-DEMOGRAPHICS'!A1341)</f>
        <v/>
      </c>
      <c r="B1331" s="28"/>
      <c r="C1331" s="27"/>
      <c r="D1331" s="28"/>
      <c r="E1331" s="21"/>
      <c r="F1331" s="36" t="str">
        <f t="shared" si="44"/>
        <v>Did Not</v>
      </c>
      <c r="G1331" s="28"/>
      <c r="H1331" s="28"/>
      <c r="I1331" s="28"/>
      <c r="J1331" s="28"/>
      <c r="K1331" s="28"/>
      <c r="L1331" s="28"/>
      <c r="M1331" s="28"/>
      <c r="N1331" s="21"/>
      <c r="O1331" s="28"/>
      <c r="P1331" s="38"/>
      <c r="Q1331" s="21"/>
      <c r="R1331" s="21"/>
      <c r="S1331" s="47"/>
      <c r="T1331" s="25">
        <f t="shared" si="43"/>
        <v>0</v>
      </c>
      <c r="U1331" s="25" t="str">
        <f>IF('PART III-DEMOGRAPHICS'!Q1341="","",'PART III-DEMOGRAPHICS'!Q1341)</f>
        <v/>
      </c>
    </row>
    <row r="1332" spans="1:21">
      <c r="A1332" s="25" t="str">
        <f>IF('PART III-DEMOGRAPHICS'!A1342="","",'PART III-DEMOGRAPHICS'!A1342)</f>
        <v/>
      </c>
      <c r="B1332" s="28"/>
      <c r="C1332" s="27"/>
      <c r="D1332" s="28"/>
      <c r="E1332" s="21"/>
      <c r="F1332" s="36" t="str">
        <f t="shared" si="44"/>
        <v>Did Not</v>
      </c>
      <c r="G1332" s="28"/>
      <c r="H1332" s="28"/>
      <c r="I1332" s="28"/>
      <c r="J1332" s="28"/>
      <c r="K1332" s="28"/>
      <c r="L1332" s="28"/>
      <c r="M1332" s="28"/>
      <c r="N1332" s="21"/>
      <c r="O1332" s="28"/>
      <c r="P1332" s="38"/>
      <c r="Q1332" s="21"/>
      <c r="R1332" s="21"/>
      <c r="S1332" s="47"/>
      <c r="T1332" s="25">
        <f t="shared" si="43"/>
        <v>0</v>
      </c>
      <c r="U1332" s="25" t="str">
        <f>IF('PART III-DEMOGRAPHICS'!Q1342="","",'PART III-DEMOGRAPHICS'!Q1342)</f>
        <v/>
      </c>
    </row>
    <row r="1333" spans="1:21">
      <c r="A1333" s="25" t="str">
        <f>IF('PART III-DEMOGRAPHICS'!A1343="","",'PART III-DEMOGRAPHICS'!A1343)</f>
        <v/>
      </c>
      <c r="B1333" s="28"/>
      <c r="C1333" s="27"/>
      <c r="D1333" s="28"/>
      <c r="E1333" s="21"/>
      <c r="F1333" s="36" t="str">
        <f t="shared" si="44"/>
        <v>Did Not</v>
      </c>
      <c r="G1333" s="28"/>
      <c r="H1333" s="28"/>
      <c r="I1333" s="28"/>
      <c r="J1333" s="28"/>
      <c r="K1333" s="28"/>
      <c r="L1333" s="28"/>
      <c r="M1333" s="28"/>
      <c r="N1333" s="21"/>
      <c r="O1333" s="28"/>
      <c r="P1333" s="38"/>
      <c r="Q1333" s="21"/>
      <c r="R1333" s="21"/>
      <c r="S1333" s="47"/>
      <c r="T1333" s="25">
        <f t="shared" si="43"/>
        <v>0</v>
      </c>
      <c r="U1333" s="25" t="str">
        <f>IF('PART III-DEMOGRAPHICS'!Q1343="","",'PART III-DEMOGRAPHICS'!Q1343)</f>
        <v/>
      </c>
    </row>
    <row r="1334" spans="1:21">
      <c r="A1334" s="25" t="str">
        <f>IF('PART III-DEMOGRAPHICS'!A1344="","",'PART III-DEMOGRAPHICS'!A1344)</f>
        <v/>
      </c>
      <c r="B1334" s="28"/>
      <c r="C1334" s="27"/>
      <c r="D1334" s="28"/>
      <c r="E1334" s="21"/>
      <c r="F1334" s="36" t="str">
        <f t="shared" si="44"/>
        <v>Did Not</v>
      </c>
      <c r="G1334" s="28"/>
      <c r="H1334" s="28"/>
      <c r="I1334" s="28"/>
      <c r="J1334" s="28"/>
      <c r="K1334" s="28"/>
      <c r="L1334" s="28"/>
      <c r="M1334" s="28"/>
      <c r="N1334" s="21"/>
      <c r="O1334" s="28"/>
      <c r="P1334" s="38"/>
      <c r="Q1334" s="21"/>
      <c r="R1334" s="21"/>
      <c r="S1334" s="47"/>
      <c r="T1334" s="25">
        <f t="shared" si="43"/>
        <v>0</v>
      </c>
      <c r="U1334" s="25" t="str">
        <f>IF('PART III-DEMOGRAPHICS'!Q1344="","",'PART III-DEMOGRAPHICS'!Q1344)</f>
        <v/>
      </c>
    </row>
    <row r="1335" spans="1:21">
      <c r="A1335" s="25" t="str">
        <f>IF('PART III-DEMOGRAPHICS'!A1345="","",'PART III-DEMOGRAPHICS'!A1345)</f>
        <v/>
      </c>
      <c r="B1335" s="28"/>
      <c r="C1335" s="27"/>
      <c r="D1335" s="28"/>
      <c r="E1335" s="21"/>
      <c r="F1335" s="36" t="str">
        <f t="shared" si="44"/>
        <v>Did Not</v>
      </c>
      <c r="G1335" s="28"/>
      <c r="H1335" s="28"/>
      <c r="I1335" s="28"/>
      <c r="J1335" s="28"/>
      <c r="K1335" s="28"/>
      <c r="L1335" s="28"/>
      <c r="M1335" s="28"/>
      <c r="N1335" s="21"/>
      <c r="O1335" s="28"/>
      <c r="P1335" s="38"/>
      <c r="Q1335" s="21"/>
      <c r="R1335" s="21"/>
      <c r="S1335" s="47"/>
      <c r="T1335" s="25">
        <f t="shared" si="43"/>
        <v>0</v>
      </c>
      <c r="U1335" s="25" t="str">
        <f>IF('PART III-DEMOGRAPHICS'!Q1345="","",'PART III-DEMOGRAPHICS'!Q1345)</f>
        <v/>
      </c>
    </row>
    <row r="1336" spans="1:21">
      <c r="A1336" s="25" t="str">
        <f>IF('PART III-DEMOGRAPHICS'!A1346="","",'PART III-DEMOGRAPHICS'!A1346)</f>
        <v/>
      </c>
      <c r="B1336" s="28"/>
      <c r="C1336" s="27"/>
      <c r="D1336" s="28"/>
      <c r="E1336" s="21"/>
      <c r="F1336" s="36" t="str">
        <f t="shared" si="44"/>
        <v>Did Not</v>
      </c>
      <c r="G1336" s="28"/>
      <c r="H1336" s="28"/>
      <c r="I1336" s="28"/>
      <c r="J1336" s="28"/>
      <c r="K1336" s="28"/>
      <c r="L1336" s="28"/>
      <c r="M1336" s="28"/>
      <c r="N1336" s="21"/>
      <c r="O1336" s="28"/>
      <c r="P1336" s="38"/>
      <c r="Q1336" s="21"/>
      <c r="R1336" s="21"/>
      <c r="S1336" s="47"/>
      <c r="T1336" s="25">
        <f t="shared" si="43"/>
        <v>0</v>
      </c>
      <c r="U1336" s="25" t="str">
        <f>IF('PART III-DEMOGRAPHICS'!Q1346="","",'PART III-DEMOGRAPHICS'!Q1346)</f>
        <v/>
      </c>
    </row>
    <row r="1337" spans="1:21">
      <c r="A1337" s="25" t="str">
        <f>IF('PART III-DEMOGRAPHICS'!A1347="","",'PART III-DEMOGRAPHICS'!A1347)</f>
        <v/>
      </c>
      <c r="B1337" s="28"/>
      <c r="C1337" s="27"/>
      <c r="D1337" s="28"/>
      <c r="E1337" s="21"/>
      <c r="F1337" s="36" t="str">
        <f t="shared" si="44"/>
        <v>Did Not</v>
      </c>
      <c r="G1337" s="28"/>
      <c r="H1337" s="28"/>
      <c r="I1337" s="28"/>
      <c r="J1337" s="28"/>
      <c r="K1337" s="28"/>
      <c r="L1337" s="28"/>
      <c r="M1337" s="28"/>
      <c r="N1337" s="21"/>
      <c r="O1337" s="28"/>
      <c r="P1337" s="38"/>
      <c r="Q1337" s="21"/>
      <c r="R1337" s="21"/>
      <c r="S1337" s="47"/>
      <c r="T1337" s="25">
        <f t="shared" si="43"/>
        <v>0</v>
      </c>
      <c r="U1337" s="25" t="str">
        <f>IF('PART III-DEMOGRAPHICS'!Q1347="","",'PART III-DEMOGRAPHICS'!Q1347)</f>
        <v/>
      </c>
    </row>
    <row r="1338" spans="1:21">
      <c r="A1338" s="25" t="str">
        <f>IF('PART III-DEMOGRAPHICS'!A1348="","",'PART III-DEMOGRAPHICS'!A1348)</f>
        <v/>
      </c>
      <c r="B1338" s="28"/>
      <c r="C1338" s="27"/>
      <c r="D1338" s="28"/>
      <c r="E1338" s="21"/>
      <c r="F1338" s="36" t="str">
        <f t="shared" si="44"/>
        <v>Did Not</v>
      </c>
      <c r="G1338" s="28"/>
      <c r="H1338" s="28"/>
      <c r="I1338" s="28"/>
      <c r="J1338" s="28"/>
      <c r="K1338" s="28"/>
      <c r="L1338" s="28"/>
      <c r="M1338" s="28"/>
      <c r="N1338" s="21"/>
      <c r="O1338" s="28"/>
      <c r="P1338" s="38"/>
      <c r="Q1338" s="21"/>
      <c r="R1338" s="21"/>
      <c r="S1338" s="47"/>
      <c r="T1338" s="25">
        <f t="shared" si="43"/>
        <v>0</v>
      </c>
      <c r="U1338" s="25" t="str">
        <f>IF('PART III-DEMOGRAPHICS'!Q1348="","",'PART III-DEMOGRAPHICS'!Q1348)</f>
        <v/>
      </c>
    </row>
    <row r="1339" spans="1:21">
      <c r="A1339" s="25" t="str">
        <f>IF('PART III-DEMOGRAPHICS'!A1349="","",'PART III-DEMOGRAPHICS'!A1349)</f>
        <v/>
      </c>
      <c r="B1339" s="28"/>
      <c r="C1339" s="27"/>
      <c r="D1339" s="28"/>
      <c r="E1339" s="21"/>
      <c r="F1339" s="36" t="str">
        <f t="shared" si="44"/>
        <v>Did Not</v>
      </c>
      <c r="G1339" s="28"/>
      <c r="H1339" s="28"/>
      <c r="I1339" s="28"/>
      <c r="J1339" s="28"/>
      <c r="K1339" s="28"/>
      <c r="L1339" s="28"/>
      <c r="M1339" s="28"/>
      <c r="N1339" s="21"/>
      <c r="O1339" s="28"/>
      <c r="P1339" s="38"/>
      <c r="Q1339" s="21"/>
      <c r="R1339" s="21"/>
      <c r="S1339" s="47"/>
      <c r="T1339" s="25">
        <f t="shared" si="43"/>
        <v>0</v>
      </c>
      <c r="U1339" s="25" t="str">
        <f>IF('PART III-DEMOGRAPHICS'!Q1349="","",'PART III-DEMOGRAPHICS'!Q1349)</f>
        <v/>
      </c>
    </row>
    <row r="1340" spans="1:21">
      <c r="A1340" s="25" t="str">
        <f>IF('PART III-DEMOGRAPHICS'!A1350="","",'PART III-DEMOGRAPHICS'!A1350)</f>
        <v/>
      </c>
      <c r="B1340" s="28"/>
      <c r="C1340" s="27"/>
      <c r="D1340" s="28"/>
      <c r="E1340" s="21"/>
      <c r="F1340" s="36" t="str">
        <f t="shared" si="44"/>
        <v>Did Not</v>
      </c>
      <c r="G1340" s="28"/>
      <c r="H1340" s="28"/>
      <c r="I1340" s="28"/>
      <c r="J1340" s="28"/>
      <c r="K1340" s="28"/>
      <c r="L1340" s="28"/>
      <c r="M1340" s="28"/>
      <c r="N1340" s="21"/>
      <c r="O1340" s="28"/>
      <c r="P1340" s="38"/>
      <c r="Q1340" s="21"/>
      <c r="R1340" s="21"/>
      <c r="S1340" s="47"/>
      <c r="T1340" s="25">
        <f t="shared" si="43"/>
        <v>0</v>
      </c>
      <c r="U1340" s="25" t="str">
        <f>IF('PART III-DEMOGRAPHICS'!Q1350="","",'PART III-DEMOGRAPHICS'!Q1350)</f>
        <v/>
      </c>
    </row>
    <row r="1341" spans="1:21">
      <c r="A1341" s="25" t="str">
        <f>IF('PART III-DEMOGRAPHICS'!A1351="","",'PART III-DEMOGRAPHICS'!A1351)</f>
        <v/>
      </c>
      <c r="B1341" s="28"/>
      <c r="C1341" s="27"/>
      <c r="D1341" s="28"/>
      <c r="E1341" s="21"/>
      <c r="F1341" s="36" t="str">
        <f t="shared" si="44"/>
        <v>Did Not</v>
      </c>
      <c r="G1341" s="28"/>
      <c r="H1341" s="28"/>
      <c r="I1341" s="28"/>
      <c r="J1341" s="28"/>
      <c r="K1341" s="28"/>
      <c r="L1341" s="28"/>
      <c r="M1341" s="28"/>
      <c r="N1341" s="21"/>
      <c r="O1341" s="28"/>
      <c r="P1341" s="38"/>
      <c r="Q1341" s="21"/>
      <c r="R1341" s="21"/>
      <c r="S1341" s="47"/>
      <c r="T1341" s="25">
        <f t="shared" si="43"/>
        <v>0</v>
      </c>
      <c r="U1341" s="25" t="str">
        <f>IF('PART III-DEMOGRAPHICS'!Q1351="","",'PART III-DEMOGRAPHICS'!Q1351)</f>
        <v/>
      </c>
    </row>
    <row r="1342" spans="1:21">
      <c r="A1342" s="25" t="str">
        <f>IF('PART III-DEMOGRAPHICS'!A1352="","",'PART III-DEMOGRAPHICS'!A1352)</f>
        <v/>
      </c>
      <c r="B1342" s="28"/>
      <c r="C1342" s="27"/>
      <c r="D1342" s="28"/>
      <c r="E1342" s="21"/>
      <c r="F1342" s="36" t="str">
        <f t="shared" si="44"/>
        <v>Did Not</v>
      </c>
      <c r="G1342" s="28"/>
      <c r="H1342" s="28"/>
      <c r="I1342" s="28"/>
      <c r="J1342" s="28"/>
      <c r="K1342" s="28"/>
      <c r="L1342" s="28"/>
      <c r="M1342" s="28"/>
      <c r="N1342" s="21"/>
      <c r="O1342" s="28"/>
      <c r="P1342" s="38"/>
      <c r="Q1342" s="21"/>
      <c r="R1342" s="21"/>
      <c r="S1342" s="47"/>
      <c r="T1342" s="25">
        <f t="shared" si="43"/>
        <v>0</v>
      </c>
      <c r="U1342" s="25" t="str">
        <f>IF('PART III-DEMOGRAPHICS'!Q1352="","",'PART III-DEMOGRAPHICS'!Q1352)</f>
        <v/>
      </c>
    </row>
    <row r="1343" spans="1:21">
      <c r="A1343" s="25" t="str">
        <f>IF('PART III-DEMOGRAPHICS'!A1353="","",'PART III-DEMOGRAPHICS'!A1353)</f>
        <v/>
      </c>
      <c r="B1343" s="28"/>
      <c r="C1343" s="27"/>
      <c r="D1343" s="28"/>
      <c r="E1343" s="21"/>
      <c r="F1343" s="36" t="str">
        <f t="shared" si="44"/>
        <v>Did Not</v>
      </c>
      <c r="G1343" s="28"/>
      <c r="H1343" s="28"/>
      <c r="I1343" s="28"/>
      <c r="J1343" s="28"/>
      <c r="K1343" s="28"/>
      <c r="L1343" s="28"/>
      <c r="M1343" s="28"/>
      <c r="N1343" s="21"/>
      <c r="O1343" s="28"/>
      <c r="P1343" s="38"/>
      <c r="Q1343" s="21"/>
      <c r="R1343" s="21"/>
      <c r="S1343" s="47"/>
      <c r="T1343" s="25">
        <f t="shared" si="43"/>
        <v>0</v>
      </c>
      <c r="U1343" s="25" t="str">
        <f>IF('PART III-DEMOGRAPHICS'!Q1353="","",'PART III-DEMOGRAPHICS'!Q1353)</f>
        <v/>
      </c>
    </row>
    <row r="1344" spans="1:21">
      <c r="A1344" s="25" t="str">
        <f>IF('PART III-DEMOGRAPHICS'!A1354="","",'PART III-DEMOGRAPHICS'!A1354)</f>
        <v/>
      </c>
      <c r="B1344" s="28"/>
      <c r="C1344" s="27"/>
      <c r="D1344" s="28"/>
      <c r="E1344" s="21"/>
      <c r="F1344" s="36" t="str">
        <f t="shared" si="44"/>
        <v>Did Not</v>
      </c>
      <c r="G1344" s="28"/>
      <c r="H1344" s="28"/>
      <c r="I1344" s="28"/>
      <c r="J1344" s="28"/>
      <c r="K1344" s="28"/>
      <c r="L1344" s="28"/>
      <c r="M1344" s="28"/>
      <c r="N1344" s="21"/>
      <c r="O1344" s="28"/>
      <c r="P1344" s="38"/>
      <c r="Q1344" s="21"/>
      <c r="R1344" s="21"/>
      <c r="S1344" s="47"/>
      <c r="T1344" s="25">
        <f t="shared" si="43"/>
        <v>0</v>
      </c>
      <c r="U1344" s="25" t="str">
        <f>IF('PART III-DEMOGRAPHICS'!Q1354="","",'PART III-DEMOGRAPHICS'!Q1354)</f>
        <v/>
      </c>
    </row>
    <row r="1345" spans="1:21">
      <c r="A1345" s="25" t="str">
        <f>IF('PART III-DEMOGRAPHICS'!A1355="","",'PART III-DEMOGRAPHICS'!A1355)</f>
        <v/>
      </c>
      <c r="B1345" s="28"/>
      <c r="C1345" s="27"/>
      <c r="D1345" s="28"/>
      <c r="E1345" s="21"/>
      <c r="F1345" s="36" t="str">
        <f t="shared" si="44"/>
        <v>Did Not</v>
      </c>
      <c r="G1345" s="28"/>
      <c r="H1345" s="28"/>
      <c r="I1345" s="28"/>
      <c r="J1345" s="28"/>
      <c r="K1345" s="28"/>
      <c r="L1345" s="28"/>
      <c r="M1345" s="28"/>
      <c r="N1345" s="21"/>
      <c r="O1345" s="28"/>
      <c r="P1345" s="38"/>
      <c r="Q1345" s="21"/>
      <c r="R1345" s="21"/>
      <c r="S1345" s="47"/>
      <c r="T1345" s="25">
        <f t="shared" si="43"/>
        <v>0</v>
      </c>
      <c r="U1345" s="25" t="str">
        <f>IF('PART III-DEMOGRAPHICS'!Q1355="","",'PART III-DEMOGRAPHICS'!Q1355)</f>
        <v/>
      </c>
    </row>
    <row r="1346" spans="1:21">
      <c r="A1346" s="25" t="str">
        <f>IF('PART III-DEMOGRAPHICS'!A1356="","",'PART III-DEMOGRAPHICS'!A1356)</f>
        <v/>
      </c>
      <c r="B1346" s="28"/>
      <c r="C1346" s="27"/>
      <c r="D1346" s="28"/>
      <c r="E1346" s="21"/>
      <c r="F1346" s="36" t="str">
        <f t="shared" si="44"/>
        <v>Did Not</v>
      </c>
      <c r="G1346" s="28"/>
      <c r="H1346" s="28"/>
      <c r="I1346" s="28"/>
      <c r="J1346" s="28"/>
      <c r="K1346" s="28"/>
      <c r="L1346" s="28"/>
      <c r="M1346" s="28"/>
      <c r="N1346" s="21"/>
      <c r="O1346" s="28"/>
      <c r="P1346" s="38"/>
      <c r="Q1346" s="21"/>
      <c r="R1346" s="21"/>
      <c r="S1346" s="47"/>
      <c r="T1346" s="25">
        <f t="shared" si="43"/>
        <v>0</v>
      </c>
      <c r="U1346" s="25" t="str">
        <f>IF('PART III-DEMOGRAPHICS'!Q1356="","",'PART III-DEMOGRAPHICS'!Q1356)</f>
        <v/>
      </c>
    </row>
    <row r="1347" spans="1:21">
      <c r="A1347" s="25" t="str">
        <f>IF('PART III-DEMOGRAPHICS'!A1357="","",'PART III-DEMOGRAPHICS'!A1357)</f>
        <v/>
      </c>
      <c r="B1347" s="28"/>
      <c r="C1347" s="27"/>
      <c r="D1347" s="28"/>
      <c r="E1347" s="21"/>
      <c r="F1347" s="36" t="str">
        <f t="shared" si="44"/>
        <v>Did Not</v>
      </c>
      <c r="G1347" s="28"/>
      <c r="H1347" s="28"/>
      <c r="I1347" s="28"/>
      <c r="J1347" s="28"/>
      <c r="K1347" s="28"/>
      <c r="L1347" s="28"/>
      <c r="M1347" s="28"/>
      <c r="N1347" s="21"/>
      <c r="O1347" s="28"/>
      <c r="P1347" s="38"/>
      <c r="Q1347" s="21"/>
      <c r="R1347" s="21"/>
      <c r="S1347" s="47"/>
      <c r="T1347" s="25">
        <f t="shared" si="43"/>
        <v>0</v>
      </c>
      <c r="U1347" s="25" t="str">
        <f>IF('PART III-DEMOGRAPHICS'!Q1357="","",'PART III-DEMOGRAPHICS'!Q1357)</f>
        <v/>
      </c>
    </row>
    <row r="1348" spans="1:21">
      <c r="A1348" s="25" t="str">
        <f>IF('PART III-DEMOGRAPHICS'!A1358="","",'PART III-DEMOGRAPHICS'!A1358)</f>
        <v/>
      </c>
      <c r="B1348" s="28"/>
      <c r="C1348" s="27"/>
      <c r="D1348" s="28"/>
      <c r="E1348" s="21"/>
      <c r="F1348" s="36" t="str">
        <f t="shared" si="44"/>
        <v>Did Not</v>
      </c>
      <c r="G1348" s="28"/>
      <c r="H1348" s="28"/>
      <c r="I1348" s="28"/>
      <c r="J1348" s="28"/>
      <c r="K1348" s="28"/>
      <c r="L1348" s="28"/>
      <c r="M1348" s="28"/>
      <c r="N1348" s="21"/>
      <c r="O1348" s="28"/>
      <c r="P1348" s="38"/>
      <c r="Q1348" s="21"/>
      <c r="R1348" s="21"/>
      <c r="S1348" s="47"/>
      <c r="T1348" s="25">
        <f t="shared" si="43"/>
        <v>0</v>
      </c>
      <c r="U1348" s="25" t="str">
        <f>IF('PART III-DEMOGRAPHICS'!Q1358="","",'PART III-DEMOGRAPHICS'!Q1358)</f>
        <v/>
      </c>
    </row>
    <row r="1349" spans="1:21">
      <c r="A1349" s="25" t="str">
        <f>IF('PART III-DEMOGRAPHICS'!A1359="","",'PART III-DEMOGRAPHICS'!A1359)</f>
        <v/>
      </c>
      <c r="B1349" s="28"/>
      <c r="C1349" s="27"/>
      <c r="D1349" s="28"/>
      <c r="E1349" s="21"/>
      <c r="F1349" s="36" t="str">
        <f t="shared" si="44"/>
        <v>Did Not</v>
      </c>
      <c r="G1349" s="28"/>
      <c r="H1349" s="28"/>
      <c r="I1349" s="28"/>
      <c r="J1349" s="28"/>
      <c r="K1349" s="28"/>
      <c r="L1349" s="28"/>
      <c r="M1349" s="28"/>
      <c r="N1349" s="21"/>
      <c r="O1349" s="28"/>
      <c r="P1349" s="38"/>
      <c r="Q1349" s="21"/>
      <c r="R1349" s="21"/>
      <c r="S1349" s="47"/>
      <c r="T1349" s="25">
        <f t="shared" si="43"/>
        <v>0</v>
      </c>
      <c r="U1349" s="25" t="str">
        <f>IF('PART III-DEMOGRAPHICS'!Q1359="","",'PART III-DEMOGRAPHICS'!Q1359)</f>
        <v/>
      </c>
    </row>
    <row r="1350" spans="1:21">
      <c r="A1350" s="25" t="str">
        <f>IF('PART III-DEMOGRAPHICS'!A1360="","",'PART III-DEMOGRAPHICS'!A1360)</f>
        <v/>
      </c>
      <c r="B1350" s="28"/>
      <c r="C1350" s="27"/>
      <c r="D1350" s="28"/>
      <c r="E1350" s="21"/>
      <c r="F1350" s="36" t="str">
        <f t="shared" si="44"/>
        <v>Did Not</v>
      </c>
      <c r="G1350" s="28"/>
      <c r="H1350" s="28"/>
      <c r="I1350" s="28"/>
      <c r="J1350" s="28"/>
      <c r="K1350" s="28"/>
      <c r="L1350" s="28"/>
      <c r="M1350" s="28"/>
      <c r="N1350" s="21"/>
      <c r="O1350" s="28"/>
      <c r="P1350" s="38"/>
      <c r="Q1350" s="21"/>
      <c r="R1350" s="21"/>
      <c r="S1350" s="47"/>
      <c r="T1350" s="25">
        <f t="shared" si="43"/>
        <v>0</v>
      </c>
      <c r="U1350" s="25" t="str">
        <f>IF('PART III-DEMOGRAPHICS'!Q1360="","",'PART III-DEMOGRAPHICS'!Q1360)</f>
        <v/>
      </c>
    </row>
    <row r="1351" spans="1:21">
      <c r="A1351" s="25" t="str">
        <f>IF('PART III-DEMOGRAPHICS'!A1361="","",'PART III-DEMOGRAPHICS'!A1361)</f>
        <v/>
      </c>
      <c r="B1351" s="28"/>
      <c r="C1351" s="27"/>
      <c r="D1351" s="28"/>
      <c r="E1351" s="21"/>
      <c r="F1351" s="36" t="str">
        <f t="shared" si="44"/>
        <v>Did Not</v>
      </c>
      <c r="G1351" s="28"/>
      <c r="H1351" s="28"/>
      <c r="I1351" s="28"/>
      <c r="J1351" s="28"/>
      <c r="K1351" s="28"/>
      <c r="L1351" s="28"/>
      <c r="M1351" s="28"/>
      <c r="N1351" s="21"/>
      <c r="O1351" s="28"/>
      <c r="P1351" s="38"/>
      <c r="Q1351" s="21"/>
      <c r="R1351" s="21"/>
      <c r="S1351" s="47"/>
      <c r="T1351" s="25">
        <f t="shared" ref="T1351:T1414" si="45">COUNTIF(A1351:R1351,"Yes")</f>
        <v>0</v>
      </c>
      <c r="U1351" s="25" t="str">
        <f>IF('PART III-DEMOGRAPHICS'!Q1361="","",'PART III-DEMOGRAPHICS'!Q1361)</f>
        <v/>
      </c>
    </row>
    <row r="1352" spans="1:21">
      <c r="A1352" s="25" t="str">
        <f>IF('PART III-DEMOGRAPHICS'!A1362="","",'PART III-DEMOGRAPHICS'!A1362)</f>
        <v/>
      </c>
      <c r="B1352" s="28"/>
      <c r="C1352" s="27"/>
      <c r="D1352" s="28"/>
      <c r="E1352" s="21"/>
      <c r="F1352" s="36" t="str">
        <f t="shared" si="44"/>
        <v>Did Not</v>
      </c>
      <c r="G1352" s="28"/>
      <c r="H1352" s="28"/>
      <c r="I1352" s="28"/>
      <c r="J1352" s="28"/>
      <c r="K1352" s="28"/>
      <c r="L1352" s="28"/>
      <c r="M1352" s="28"/>
      <c r="N1352" s="21"/>
      <c r="O1352" s="28"/>
      <c r="P1352" s="38"/>
      <c r="Q1352" s="21"/>
      <c r="R1352" s="21"/>
      <c r="S1352" s="47"/>
      <c r="T1352" s="25">
        <f t="shared" si="45"/>
        <v>0</v>
      </c>
      <c r="U1352" s="25" t="str">
        <f>IF('PART III-DEMOGRAPHICS'!Q1362="","",'PART III-DEMOGRAPHICS'!Q1362)</f>
        <v/>
      </c>
    </row>
    <row r="1353" spans="1:21">
      <c r="A1353" s="25" t="str">
        <f>IF('PART III-DEMOGRAPHICS'!A1363="","",'PART III-DEMOGRAPHICS'!A1363)</f>
        <v/>
      </c>
      <c r="B1353" s="28"/>
      <c r="C1353" s="27"/>
      <c r="D1353" s="28"/>
      <c r="E1353" s="21"/>
      <c r="F1353" s="36" t="str">
        <f t="shared" si="44"/>
        <v>Did Not</v>
      </c>
      <c r="G1353" s="28"/>
      <c r="H1353" s="28"/>
      <c r="I1353" s="28"/>
      <c r="J1353" s="28"/>
      <c r="K1353" s="28"/>
      <c r="L1353" s="28"/>
      <c r="M1353" s="28"/>
      <c r="N1353" s="21"/>
      <c r="O1353" s="28"/>
      <c r="P1353" s="38"/>
      <c r="Q1353" s="21"/>
      <c r="R1353" s="21"/>
      <c r="S1353" s="47"/>
      <c r="T1353" s="25">
        <f t="shared" si="45"/>
        <v>0</v>
      </c>
      <c r="U1353" s="25" t="str">
        <f>IF('PART III-DEMOGRAPHICS'!Q1363="","",'PART III-DEMOGRAPHICS'!Q1363)</f>
        <v/>
      </c>
    </row>
    <row r="1354" spans="1:21">
      <c r="A1354" s="25" t="str">
        <f>IF('PART III-DEMOGRAPHICS'!A1364="","",'PART III-DEMOGRAPHICS'!A1364)</f>
        <v/>
      </c>
      <c r="B1354" s="28"/>
      <c r="C1354" s="27"/>
      <c r="D1354" s="28"/>
      <c r="E1354" s="21"/>
      <c r="F1354" s="36" t="str">
        <f t="shared" si="44"/>
        <v>Did Not</v>
      </c>
      <c r="G1354" s="28"/>
      <c r="H1354" s="28"/>
      <c r="I1354" s="28"/>
      <c r="J1354" s="28"/>
      <c r="K1354" s="28"/>
      <c r="L1354" s="28"/>
      <c r="M1354" s="28"/>
      <c r="N1354" s="21"/>
      <c r="O1354" s="28"/>
      <c r="P1354" s="38"/>
      <c r="Q1354" s="21"/>
      <c r="R1354" s="21"/>
      <c r="S1354" s="47"/>
      <c r="T1354" s="25">
        <f t="shared" si="45"/>
        <v>0</v>
      </c>
      <c r="U1354" s="25" t="str">
        <f>IF('PART III-DEMOGRAPHICS'!Q1364="","",'PART III-DEMOGRAPHICS'!Q1364)</f>
        <v/>
      </c>
    </row>
    <row r="1355" spans="1:21">
      <c r="A1355" s="25" t="str">
        <f>IF('PART III-DEMOGRAPHICS'!A1365="","",'PART III-DEMOGRAPHICS'!A1365)</f>
        <v/>
      </c>
      <c r="B1355" s="28"/>
      <c r="C1355" s="27"/>
      <c r="D1355" s="28"/>
      <c r="E1355" s="21"/>
      <c r="F1355" s="36" t="str">
        <f t="shared" si="44"/>
        <v>Did Not</v>
      </c>
      <c r="G1355" s="28"/>
      <c r="H1355" s="28"/>
      <c r="I1355" s="28"/>
      <c r="J1355" s="28"/>
      <c r="K1355" s="28"/>
      <c r="L1355" s="28"/>
      <c r="M1355" s="28"/>
      <c r="N1355" s="21"/>
      <c r="O1355" s="28"/>
      <c r="P1355" s="38"/>
      <c r="Q1355" s="21"/>
      <c r="R1355" s="21"/>
      <c r="S1355" s="47"/>
      <c r="T1355" s="25">
        <f t="shared" si="45"/>
        <v>0</v>
      </c>
      <c r="U1355" s="25" t="str">
        <f>IF('PART III-DEMOGRAPHICS'!Q1365="","",'PART III-DEMOGRAPHICS'!Q1365)</f>
        <v/>
      </c>
    </row>
    <row r="1356" spans="1:21">
      <c r="A1356" s="25" t="str">
        <f>IF('PART III-DEMOGRAPHICS'!A1366="","",'PART III-DEMOGRAPHICS'!A1366)</f>
        <v/>
      </c>
      <c r="B1356" s="28"/>
      <c r="C1356" s="27"/>
      <c r="D1356" s="28"/>
      <c r="E1356" s="21"/>
      <c r="F1356" s="36" t="str">
        <f t="shared" si="44"/>
        <v>Did Not</v>
      </c>
      <c r="G1356" s="28"/>
      <c r="H1356" s="28"/>
      <c r="I1356" s="28"/>
      <c r="J1356" s="28"/>
      <c r="K1356" s="28"/>
      <c r="L1356" s="28"/>
      <c r="M1356" s="28"/>
      <c r="N1356" s="21"/>
      <c r="O1356" s="28"/>
      <c r="P1356" s="38"/>
      <c r="Q1356" s="21"/>
      <c r="R1356" s="21"/>
      <c r="S1356" s="47"/>
      <c r="T1356" s="25">
        <f t="shared" si="45"/>
        <v>0</v>
      </c>
      <c r="U1356" s="25" t="str">
        <f>IF('PART III-DEMOGRAPHICS'!Q1366="","",'PART III-DEMOGRAPHICS'!Q1366)</f>
        <v/>
      </c>
    </row>
    <row r="1357" spans="1:21">
      <c r="A1357" s="25" t="str">
        <f>IF('PART III-DEMOGRAPHICS'!A1367="","",'PART III-DEMOGRAPHICS'!A1367)</f>
        <v/>
      </c>
      <c r="B1357" s="28"/>
      <c r="C1357" s="27"/>
      <c r="D1357" s="28"/>
      <c r="E1357" s="21"/>
      <c r="F1357" s="36" t="str">
        <f t="shared" si="44"/>
        <v>Did Not</v>
      </c>
      <c r="G1357" s="28"/>
      <c r="H1357" s="28"/>
      <c r="I1357" s="28"/>
      <c r="J1357" s="28"/>
      <c r="K1357" s="28"/>
      <c r="L1357" s="28"/>
      <c r="M1357" s="28"/>
      <c r="N1357" s="21"/>
      <c r="O1357" s="28"/>
      <c r="P1357" s="38"/>
      <c r="Q1357" s="21"/>
      <c r="R1357" s="21"/>
      <c r="S1357" s="47"/>
      <c r="T1357" s="25">
        <f t="shared" si="45"/>
        <v>0</v>
      </c>
      <c r="U1357" s="25" t="str">
        <f>IF('PART III-DEMOGRAPHICS'!Q1367="","",'PART III-DEMOGRAPHICS'!Q1367)</f>
        <v/>
      </c>
    </row>
    <row r="1358" spans="1:21">
      <c r="A1358" s="25" t="str">
        <f>IF('PART III-DEMOGRAPHICS'!A1368="","",'PART III-DEMOGRAPHICS'!A1368)</f>
        <v/>
      </c>
      <c r="B1358" s="28"/>
      <c r="C1358" s="27"/>
      <c r="D1358" s="28"/>
      <c r="E1358" s="21"/>
      <c r="F1358" s="36" t="str">
        <f t="shared" ref="F1358:F1421" si="46">IF(OR(G1358="Yes",H1358="Yes",I1358="Yes",J1358="Yes",K1358="Yes",L1358="Yes",M1358="Yes"),"Did","Did Not")</f>
        <v>Did Not</v>
      </c>
      <c r="G1358" s="28"/>
      <c r="H1358" s="28"/>
      <c r="I1358" s="28"/>
      <c r="J1358" s="28"/>
      <c r="K1358" s="28"/>
      <c r="L1358" s="28"/>
      <c r="M1358" s="28"/>
      <c r="N1358" s="21"/>
      <c r="O1358" s="28"/>
      <c r="P1358" s="38"/>
      <c r="Q1358" s="21"/>
      <c r="R1358" s="21"/>
      <c r="S1358" s="47"/>
      <c r="T1358" s="25">
        <f t="shared" si="45"/>
        <v>0</v>
      </c>
      <c r="U1358" s="25" t="str">
        <f>IF('PART III-DEMOGRAPHICS'!Q1368="","",'PART III-DEMOGRAPHICS'!Q1368)</f>
        <v/>
      </c>
    </row>
    <row r="1359" spans="1:21">
      <c r="A1359" s="25" t="str">
        <f>IF('PART III-DEMOGRAPHICS'!A1369="","",'PART III-DEMOGRAPHICS'!A1369)</f>
        <v/>
      </c>
      <c r="B1359" s="28"/>
      <c r="C1359" s="27"/>
      <c r="D1359" s="28"/>
      <c r="E1359" s="21"/>
      <c r="F1359" s="36" t="str">
        <f t="shared" si="46"/>
        <v>Did Not</v>
      </c>
      <c r="G1359" s="28"/>
      <c r="H1359" s="28"/>
      <c r="I1359" s="28"/>
      <c r="J1359" s="28"/>
      <c r="K1359" s="28"/>
      <c r="L1359" s="28"/>
      <c r="M1359" s="28"/>
      <c r="N1359" s="21"/>
      <c r="O1359" s="28"/>
      <c r="P1359" s="38"/>
      <c r="Q1359" s="21"/>
      <c r="R1359" s="21"/>
      <c r="S1359" s="47"/>
      <c r="T1359" s="25">
        <f t="shared" si="45"/>
        <v>0</v>
      </c>
      <c r="U1359" s="25" t="str">
        <f>IF('PART III-DEMOGRAPHICS'!Q1369="","",'PART III-DEMOGRAPHICS'!Q1369)</f>
        <v/>
      </c>
    </row>
    <row r="1360" spans="1:21">
      <c r="A1360" s="25" t="str">
        <f>IF('PART III-DEMOGRAPHICS'!A1370="","",'PART III-DEMOGRAPHICS'!A1370)</f>
        <v/>
      </c>
      <c r="B1360" s="28"/>
      <c r="C1360" s="27"/>
      <c r="D1360" s="28"/>
      <c r="E1360" s="21"/>
      <c r="F1360" s="36" t="str">
        <f t="shared" si="46"/>
        <v>Did Not</v>
      </c>
      <c r="G1360" s="28"/>
      <c r="H1360" s="28"/>
      <c r="I1360" s="28"/>
      <c r="J1360" s="28"/>
      <c r="K1360" s="28"/>
      <c r="L1360" s="28"/>
      <c r="M1360" s="28"/>
      <c r="N1360" s="21"/>
      <c r="O1360" s="28"/>
      <c r="P1360" s="38"/>
      <c r="Q1360" s="21"/>
      <c r="R1360" s="21"/>
      <c r="S1360" s="47"/>
      <c r="T1360" s="25">
        <f t="shared" si="45"/>
        <v>0</v>
      </c>
      <c r="U1360" s="25" t="str">
        <f>IF('PART III-DEMOGRAPHICS'!Q1370="","",'PART III-DEMOGRAPHICS'!Q1370)</f>
        <v/>
      </c>
    </row>
    <row r="1361" spans="1:21">
      <c r="A1361" s="25" t="str">
        <f>IF('PART III-DEMOGRAPHICS'!A1371="","",'PART III-DEMOGRAPHICS'!A1371)</f>
        <v/>
      </c>
      <c r="B1361" s="28"/>
      <c r="C1361" s="27"/>
      <c r="D1361" s="28"/>
      <c r="E1361" s="21"/>
      <c r="F1361" s="36" t="str">
        <f t="shared" si="46"/>
        <v>Did Not</v>
      </c>
      <c r="G1361" s="28"/>
      <c r="H1361" s="28"/>
      <c r="I1361" s="28"/>
      <c r="J1361" s="28"/>
      <c r="K1361" s="28"/>
      <c r="L1361" s="28"/>
      <c r="M1361" s="28"/>
      <c r="N1361" s="21"/>
      <c r="O1361" s="28"/>
      <c r="P1361" s="38"/>
      <c r="Q1361" s="21"/>
      <c r="R1361" s="21"/>
      <c r="S1361" s="47"/>
      <c r="T1361" s="25">
        <f t="shared" si="45"/>
        <v>0</v>
      </c>
      <c r="U1361" s="25" t="str">
        <f>IF('PART III-DEMOGRAPHICS'!Q1371="","",'PART III-DEMOGRAPHICS'!Q1371)</f>
        <v/>
      </c>
    </row>
    <row r="1362" spans="1:21">
      <c r="A1362" s="25" t="str">
        <f>IF('PART III-DEMOGRAPHICS'!A1372="","",'PART III-DEMOGRAPHICS'!A1372)</f>
        <v/>
      </c>
      <c r="B1362" s="28"/>
      <c r="C1362" s="27"/>
      <c r="D1362" s="28"/>
      <c r="E1362" s="21"/>
      <c r="F1362" s="36" t="str">
        <f t="shared" si="46"/>
        <v>Did Not</v>
      </c>
      <c r="G1362" s="28"/>
      <c r="H1362" s="28"/>
      <c r="I1362" s="28"/>
      <c r="J1362" s="28"/>
      <c r="K1362" s="28"/>
      <c r="L1362" s="28"/>
      <c r="M1362" s="28"/>
      <c r="N1362" s="21"/>
      <c r="O1362" s="28"/>
      <c r="P1362" s="38"/>
      <c r="Q1362" s="21"/>
      <c r="R1362" s="21"/>
      <c r="S1362" s="47"/>
      <c r="T1362" s="25">
        <f t="shared" si="45"/>
        <v>0</v>
      </c>
      <c r="U1362" s="25" t="str">
        <f>IF('PART III-DEMOGRAPHICS'!Q1372="","",'PART III-DEMOGRAPHICS'!Q1372)</f>
        <v/>
      </c>
    </row>
    <row r="1363" spans="1:21">
      <c r="A1363" s="25" t="str">
        <f>IF('PART III-DEMOGRAPHICS'!A1373="","",'PART III-DEMOGRAPHICS'!A1373)</f>
        <v/>
      </c>
      <c r="B1363" s="28"/>
      <c r="C1363" s="27"/>
      <c r="D1363" s="28"/>
      <c r="E1363" s="21"/>
      <c r="F1363" s="36" t="str">
        <f t="shared" si="46"/>
        <v>Did Not</v>
      </c>
      <c r="G1363" s="28"/>
      <c r="H1363" s="28"/>
      <c r="I1363" s="28"/>
      <c r="J1363" s="28"/>
      <c r="K1363" s="28"/>
      <c r="L1363" s="28"/>
      <c r="M1363" s="28"/>
      <c r="N1363" s="21"/>
      <c r="O1363" s="28"/>
      <c r="P1363" s="38"/>
      <c r="Q1363" s="21"/>
      <c r="R1363" s="21"/>
      <c r="S1363" s="47"/>
      <c r="T1363" s="25">
        <f t="shared" si="45"/>
        <v>0</v>
      </c>
      <c r="U1363" s="25" t="str">
        <f>IF('PART III-DEMOGRAPHICS'!Q1373="","",'PART III-DEMOGRAPHICS'!Q1373)</f>
        <v/>
      </c>
    </row>
    <row r="1364" spans="1:21">
      <c r="A1364" s="25" t="str">
        <f>IF('PART III-DEMOGRAPHICS'!A1374="","",'PART III-DEMOGRAPHICS'!A1374)</f>
        <v/>
      </c>
      <c r="B1364" s="28"/>
      <c r="C1364" s="27"/>
      <c r="D1364" s="28"/>
      <c r="E1364" s="21"/>
      <c r="F1364" s="36" t="str">
        <f t="shared" si="46"/>
        <v>Did Not</v>
      </c>
      <c r="G1364" s="28"/>
      <c r="H1364" s="28"/>
      <c r="I1364" s="28"/>
      <c r="J1364" s="28"/>
      <c r="K1364" s="28"/>
      <c r="L1364" s="28"/>
      <c r="M1364" s="28"/>
      <c r="N1364" s="21"/>
      <c r="O1364" s="28"/>
      <c r="P1364" s="38"/>
      <c r="Q1364" s="21"/>
      <c r="R1364" s="21"/>
      <c r="S1364" s="47"/>
      <c r="T1364" s="25">
        <f t="shared" si="45"/>
        <v>0</v>
      </c>
      <c r="U1364" s="25" t="str">
        <f>IF('PART III-DEMOGRAPHICS'!Q1374="","",'PART III-DEMOGRAPHICS'!Q1374)</f>
        <v/>
      </c>
    </row>
    <row r="1365" spans="1:21">
      <c r="A1365" s="25" t="str">
        <f>IF('PART III-DEMOGRAPHICS'!A1375="","",'PART III-DEMOGRAPHICS'!A1375)</f>
        <v/>
      </c>
      <c r="B1365" s="28"/>
      <c r="C1365" s="27"/>
      <c r="D1365" s="28"/>
      <c r="E1365" s="21"/>
      <c r="F1365" s="36" t="str">
        <f t="shared" si="46"/>
        <v>Did Not</v>
      </c>
      <c r="G1365" s="28"/>
      <c r="H1365" s="28"/>
      <c r="I1365" s="28"/>
      <c r="J1365" s="28"/>
      <c r="K1365" s="28"/>
      <c r="L1365" s="28"/>
      <c r="M1365" s="28"/>
      <c r="N1365" s="21"/>
      <c r="O1365" s="28"/>
      <c r="P1365" s="38"/>
      <c r="Q1365" s="21"/>
      <c r="R1365" s="21"/>
      <c r="S1365" s="47"/>
      <c r="T1365" s="25">
        <f t="shared" si="45"/>
        <v>0</v>
      </c>
      <c r="U1365" s="25" t="str">
        <f>IF('PART III-DEMOGRAPHICS'!Q1375="","",'PART III-DEMOGRAPHICS'!Q1375)</f>
        <v/>
      </c>
    </row>
    <row r="1366" spans="1:21">
      <c r="A1366" s="25" t="str">
        <f>IF('PART III-DEMOGRAPHICS'!A1376="","",'PART III-DEMOGRAPHICS'!A1376)</f>
        <v/>
      </c>
      <c r="B1366" s="28"/>
      <c r="C1366" s="27"/>
      <c r="D1366" s="28"/>
      <c r="E1366" s="21"/>
      <c r="F1366" s="36" t="str">
        <f t="shared" si="46"/>
        <v>Did Not</v>
      </c>
      <c r="G1366" s="28"/>
      <c r="H1366" s="28"/>
      <c r="I1366" s="28"/>
      <c r="J1366" s="28"/>
      <c r="K1366" s="28"/>
      <c r="L1366" s="28"/>
      <c r="M1366" s="28"/>
      <c r="N1366" s="21"/>
      <c r="O1366" s="28"/>
      <c r="P1366" s="38"/>
      <c r="Q1366" s="21"/>
      <c r="R1366" s="21"/>
      <c r="S1366" s="47"/>
      <c r="T1366" s="25">
        <f t="shared" si="45"/>
        <v>0</v>
      </c>
      <c r="U1366" s="25" t="str">
        <f>IF('PART III-DEMOGRAPHICS'!Q1376="","",'PART III-DEMOGRAPHICS'!Q1376)</f>
        <v/>
      </c>
    </row>
    <row r="1367" spans="1:21">
      <c r="A1367" s="25" t="str">
        <f>IF('PART III-DEMOGRAPHICS'!A1377="","",'PART III-DEMOGRAPHICS'!A1377)</f>
        <v/>
      </c>
      <c r="B1367" s="28"/>
      <c r="C1367" s="27"/>
      <c r="D1367" s="28"/>
      <c r="E1367" s="21"/>
      <c r="F1367" s="36" t="str">
        <f t="shared" si="46"/>
        <v>Did Not</v>
      </c>
      <c r="G1367" s="28"/>
      <c r="H1367" s="28"/>
      <c r="I1367" s="28"/>
      <c r="J1367" s="28"/>
      <c r="K1367" s="28"/>
      <c r="L1367" s="28"/>
      <c r="M1367" s="28"/>
      <c r="N1367" s="21"/>
      <c r="O1367" s="28"/>
      <c r="P1367" s="38"/>
      <c r="Q1367" s="21"/>
      <c r="R1367" s="21"/>
      <c r="S1367" s="47"/>
      <c r="T1367" s="25">
        <f t="shared" si="45"/>
        <v>0</v>
      </c>
      <c r="U1367" s="25" t="str">
        <f>IF('PART III-DEMOGRAPHICS'!Q1377="","",'PART III-DEMOGRAPHICS'!Q1377)</f>
        <v/>
      </c>
    </row>
    <row r="1368" spans="1:21">
      <c r="A1368" s="25" t="str">
        <f>IF('PART III-DEMOGRAPHICS'!A1378="","",'PART III-DEMOGRAPHICS'!A1378)</f>
        <v/>
      </c>
      <c r="B1368" s="28"/>
      <c r="C1368" s="27"/>
      <c r="D1368" s="28"/>
      <c r="E1368" s="21"/>
      <c r="F1368" s="36" t="str">
        <f t="shared" si="46"/>
        <v>Did Not</v>
      </c>
      <c r="G1368" s="28"/>
      <c r="H1368" s="28"/>
      <c r="I1368" s="28"/>
      <c r="J1368" s="28"/>
      <c r="K1368" s="28"/>
      <c r="L1368" s="28"/>
      <c r="M1368" s="28"/>
      <c r="N1368" s="21"/>
      <c r="O1368" s="28"/>
      <c r="P1368" s="38"/>
      <c r="Q1368" s="21"/>
      <c r="R1368" s="21"/>
      <c r="S1368" s="47"/>
      <c r="T1368" s="25">
        <f t="shared" si="45"/>
        <v>0</v>
      </c>
      <c r="U1368" s="25" t="str">
        <f>IF('PART III-DEMOGRAPHICS'!Q1378="","",'PART III-DEMOGRAPHICS'!Q1378)</f>
        <v/>
      </c>
    </row>
    <row r="1369" spans="1:21">
      <c r="A1369" s="25" t="str">
        <f>IF('PART III-DEMOGRAPHICS'!A1379="","",'PART III-DEMOGRAPHICS'!A1379)</f>
        <v/>
      </c>
      <c r="B1369" s="28"/>
      <c r="C1369" s="27"/>
      <c r="D1369" s="28"/>
      <c r="E1369" s="21"/>
      <c r="F1369" s="36" t="str">
        <f t="shared" si="46"/>
        <v>Did Not</v>
      </c>
      <c r="G1369" s="28"/>
      <c r="H1369" s="28"/>
      <c r="I1369" s="28"/>
      <c r="J1369" s="28"/>
      <c r="K1369" s="28"/>
      <c r="L1369" s="28"/>
      <c r="M1369" s="28"/>
      <c r="N1369" s="21"/>
      <c r="O1369" s="28"/>
      <c r="P1369" s="38"/>
      <c r="Q1369" s="21"/>
      <c r="R1369" s="21"/>
      <c r="S1369" s="47"/>
      <c r="T1369" s="25">
        <f t="shared" si="45"/>
        <v>0</v>
      </c>
      <c r="U1369" s="25" t="str">
        <f>IF('PART III-DEMOGRAPHICS'!Q1379="","",'PART III-DEMOGRAPHICS'!Q1379)</f>
        <v/>
      </c>
    </row>
    <row r="1370" spans="1:21">
      <c r="A1370" s="25" t="str">
        <f>IF('PART III-DEMOGRAPHICS'!A1380="","",'PART III-DEMOGRAPHICS'!A1380)</f>
        <v/>
      </c>
      <c r="B1370" s="28"/>
      <c r="C1370" s="27"/>
      <c r="D1370" s="28"/>
      <c r="E1370" s="21"/>
      <c r="F1370" s="36" t="str">
        <f t="shared" si="46"/>
        <v>Did Not</v>
      </c>
      <c r="G1370" s="28"/>
      <c r="H1370" s="28"/>
      <c r="I1370" s="28"/>
      <c r="J1370" s="28"/>
      <c r="K1370" s="28"/>
      <c r="L1370" s="28"/>
      <c r="M1370" s="28"/>
      <c r="N1370" s="21"/>
      <c r="O1370" s="28"/>
      <c r="P1370" s="38"/>
      <c r="Q1370" s="21"/>
      <c r="R1370" s="21"/>
      <c r="S1370" s="47"/>
      <c r="T1370" s="25">
        <f t="shared" si="45"/>
        <v>0</v>
      </c>
      <c r="U1370" s="25" t="str">
        <f>IF('PART III-DEMOGRAPHICS'!Q1380="","",'PART III-DEMOGRAPHICS'!Q1380)</f>
        <v/>
      </c>
    </row>
    <row r="1371" spans="1:21">
      <c r="A1371" s="25" t="str">
        <f>IF('PART III-DEMOGRAPHICS'!A1381="","",'PART III-DEMOGRAPHICS'!A1381)</f>
        <v/>
      </c>
      <c r="B1371" s="28"/>
      <c r="C1371" s="27"/>
      <c r="D1371" s="28"/>
      <c r="E1371" s="21"/>
      <c r="F1371" s="36" t="str">
        <f t="shared" si="46"/>
        <v>Did Not</v>
      </c>
      <c r="G1371" s="28"/>
      <c r="H1371" s="28"/>
      <c r="I1371" s="28"/>
      <c r="J1371" s="28"/>
      <c r="K1371" s="28"/>
      <c r="L1371" s="28"/>
      <c r="M1371" s="28"/>
      <c r="N1371" s="21"/>
      <c r="O1371" s="28"/>
      <c r="P1371" s="38"/>
      <c r="Q1371" s="21"/>
      <c r="R1371" s="21"/>
      <c r="S1371" s="47"/>
      <c r="T1371" s="25">
        <f t="shared" si="45"/>
        <v>0</v>
      </c>
      <c r="U1371" s="25" t="str">
        <f>IF('PART III-DEMOGRAPHICS'!Q1381="","",'PART III-DEMOGRAPHICS'!Q1381)</f>
        <v/>
      </c>
    </row>
    <row r="1372" spans="1:21">
      <c r="A1372" s="25" t="str">
        <f>IF('PART III-DEMOGRAPHICS'!A1382="","",'PART III-DEMOGRAPHICS'!A1382)</f>
        <v/>
      </c>
      <c r="B1372" s="28"/>
      <c r="C1372" s="27"/>
      <c r="D1372" s="28"/>
      <c r="E1372" s="21"/>
      <c r="F1372" s="36" t="str">
        <f t="shared" si="46"/>
        <v>Did Not</v>
      </c>
      <c r="G1372" s="28"/>
      <c r="H1372" s="28"/>
      <c r="I1372" s="28"/>
      <c r="J1372" s="28"/>
      <c r="K1372" s="28"/>
      <c r="L1372" s="28"/>
      <c r="M1372" s="28"/>
      <c r="N1372" s="21"/>
      <c r="O1372" s="28"/>
      <c r="P1372" s="38"/>
      <c r="Q1372" s="21"/>
      <c r="R1372" s="21"/>
      <c r="S1372" s="47"/>
      <c r="T1372" s="25">
        <f t="shared" si="45"/>
        <v>0</v>
      </c>
      <c r="U1372" s="25" t="str">
        <f>IF('PART III-DEMOGRAPHICS'!Q1382="","",'PART III-DEMOGRAPHICS'!Q1382)</f>
        <v/>
      </c>
    </row>
    <row r="1373" spans="1:21">
      <c r="A1373" s="25" t="str">
        <f>IF('PART III-DEMOGRAPHICS'!A1383="","",'PART III-DEMOGRAPHICS'!A1383)</f>
        <v/>
      </c>
      <c r="B1373" s="28"/>
      <c r="C1373" s="27"/>
      <c r="D1373" s="28"/>
      <c r="E1373" s="21"/>
      <c r="F1373" s="36" t="str">
        <f t="shared" si="46"/>
        <v>Did Not</v>
      </c>
      <c r="G1373" s="28"/>
      <c r="H1373" s="28"/>
      <c r="I1373" s="28"/>
      <c r="J1373" s="28"/>
      <c r="K1373" s="28"/>
      <c r="L1373" s="28"/>
      <c r="M1373" s="28"/>
      <c r="N1373" s="21"/>
      <c r="O1373" s="28"/>
      <c r="P1373" s="38"/>
      <c r="Q1373" s="21"/>
      <c r="R1373" s="21"/>
      <c r="S1373" s="47"/>
      <c r="T1373" s="25">
        <f t="shared" si="45"/>
        <v>0</v>
      </c>
      <c r="U1373" s="25" t="str">
        <f>IF('PART III-DEMOGRAPHICS'!Q1383="","",'PART III-DEMOGRAPHICS'!Q1383)</f>
        <v/>
      </c>
    </row>
    <row r="1374" spans="1:21">
      <c r="A1374" s="25" t="str">
        <f>IF('PART III-DEMOGRAPHICS'!A1384="","",'PART III-DEMOGRAPHICS'!A1384)</f>
        <v/>
      </c>
      <c r="B1374" s="28"/>
      <c r="C1374" s="27"/>
      <c r="D1374" s="28"/>
      <c r="E1374" s="21"/>
      <c r="F1374" s="36" t="str">
        <f t="shared" si="46"/>
        <v>Did Not</v>
      </c>
      <c r="G1374" s="28"/>
      <c r="H1374" s="28"/>
      <c r="I1374" s="28"/>
      <c r="J1374" s="28"/>
      <c r="K1374" s="28"/>
      <c r="L1374" s="28"/>
      <c r="M1374" s="28"/>
      <c r="N1374" s="21"/>
      <c r="O1374" s="28"/>
      <c r="P1374" s="38"/>
      <c r="Q1374" s="21"/>
      <c r="R1374" s="21"/>
      <c r="S1374" s="47"/>
      <c r="T1374" s="25">
        <f t="shared" si="45"/>
        <v>0</v>
      </c>
      <c r="U1374" s="25" t="str">
        <f>IF('PART III-DEMOGRAPHICS'!Q1384="","",'PART III-DEMOGRAPHICS'!Q1384)</f>
        <v/>
      </c>
    </row>
    <row r="1375" spans="1:21">
      <c r="A1375" s="25" t="str">
        <f>IF('PART III-DEMOGRAPHICS'!A1385="","",'PART III-DEMOGRAPHICS'!A1385)</f>
        <v/>
      </c>
      <c r="B1375" s="28"/>
      <c r="C1375" s="27"/>
      <c r="D1375" s="28"/>
      <c r="E1375" s="21"/>
      <c r="F1375" s="36" t="str">
        <f t="shared" si="46"/>
        <v>Did Not</v>
      </c>
      <c r="G1375" s="28"/>
      <c r="H1375" s="28"/>
      <c r="I1375" s="28"/>
      <c r="J1375" s="28"/>
      <c r="K1375" s="28"/>
      <c r="L1375" s="28"/>
      <c r="M1375" s="28"/>
      <c r="N1375" s="21"/>
      <c r="O1375" s="28"/>
      <c r="P1375" s="38"/>
      <c r="Q1375" s="21"/>
      <c r="R1375" s="21"/>
      <c r="S1375" s="47"/>
      <c r="T1375" s="25">
        <f t="shared" si="45"/>
        <v>0</v>
      </c>
      <c r="U1375" s="25" t="str">
        <f>IF('PART III-DEMOGRAPHICS'!Q1385="","",'PART III-DEMOGRAPHICS'!Q1385)</f>
        <v/>
      </c>
    </row>
    <row r="1376" spans="1:21">
      <c r="A1376" s="25" t="str">
        <f>IF('PART III-DEMOGRAPHICS'!A1386="","",'PART III-DEMOGRAPHICS'!A1386)</f>
        <v/>
      </c>
      <c r="B1376" s="28"/>
      <c r="C1376" s="27"/>
      <c r="D1376" s="28"/>
      <c r="E1376" s="21"/>
      <c r="F1376" s="36" t="str">
        <f t="shared" si="46"/>
        <v>Did Not</v>
      </c>
      <c r="G1376" s="28"/>
      <c r="H1376" s="28"/>
      <c r="I1376" s="28"/>
      <c r="J1376" s="28"/>
      <c r="K1376" s="28"/>
      <c r="L1376" s="28"/>
      <c r="M1376" s="28"/>
      <c r="N1376" s="21"/>
      <c r="O1376" s="28"/>
      <c r="P1376" s="38"/>
      <c r="Q1376" s="21"/>
      <c r="R1376" s="21"/>
      <c r="S1376" s="47"/>
      <c r="T1376" s="25">
        <f t="shared" si="45"/>
        <v>0</v>
      </c>
      <c r="U1376" s="25" t="str">
        <f>IF('PART III-DEMOGRAPHICS'!Q1386="","",'PART III-DEMOGRAPHICS'!Q1386)</f>
        <v/>
      </c>
    </row>
    <row r="1377" spans="1:21">
      <c r="A1377" s="25" t="str">
        <f>IF('PART III-DEMOGRAPHICS'!A1387="","",'PART III-DEMOGRAPHICS'!A1387)</f>
        <v/>
      </c>
      <c r="B1377" s="28"/>
      <c r="C1377" s="27"/>
      <c r="D1377" s="28"/>
      <c r="E1377" s="21"/>
      <c r="F1377" s="36" t="str">
        <f t="shared" si="46"/>
        <v>Did Not</v>
      </c>
      <c r="G1377" s="28"/>
      <c r="H1377" s="28"/>
      <c r="I1377" s="28"/>
      <c r="J1377" s="28"/>
      <c r="K1377" s="28"/>
      <c r="L1377" s="28"/>
      <c r="M1377" s="28"/>
      <c r="N1377" s="21"/>
      <c r="O1377" s="28"/>
      <c r="P1377" s="38"/>
      <c r="Q1377" s="21"/>
      <c r="R1377" s="21"/>
      <c r="S1377" s="47"/>
      <c r="T1377" s="25">
        <f t="shared" si="45"/>
        <v>0</v>
      </c>
      <c r="U1377" s="25" t="str">
        <f>IF('PART III-DEMOGRAPHICS'!Q1387="","",'PART III-DEMOGRAPHICS'!Q1387)</f>
        <v/>
      </c>
    </row>
    <row r="1378" spans="1:21">
      <c r="A1378" s="25" t="str">
        <f>IF('PART III-DEMOGRAPHICS'!A1388="","",'PART III-DEMOGRAPHICS'!A1388)</f>
        <v/>
      </c>
      <c r="B1378" s="28"/>
      <c r="C1378" s="27"/>
      <c r="D1378" s="28"/>
      <c r="E1378" s="21"/>
      <c r="F1378" s="36" t="str">
        <f t="shared" si="46"/>
        <v>Did Not</v>
      </c>
      <c r="G1378" s="28"/>
      <c r="H1378" s="28"/>
      <c r="I1378" s="28"/>
      <c r="J1378" s="28"/>
      <c r="K1378" s="28"/>
      <c r="L1378" s="28"/>
      <c r="M1378" s="28"/>
      <c r="N1378" s="21"/>
      <c r="O1378" s="28"/>
      <c r="P1378" s="38"/>
      <c r="Q1378" s="21"/>
      <c r="R1378" s="21"/>
      <c r="S1378" s="47"/>
      <c r="T1378" s="25">
        <f t="shared" si="45"/>
        <v>0</v>
      </c>
      <c r="U1378" s="25" t="str">
        <f>IF('PART III-DEMOGRAPHICS'!Q1388="","",'PART III-DEMOGRAPHICS'!Q1388)</f>
        <v/>
      </c>
    </row>
    <row r="1379" spans="1:21">
      <c r="A1379" s="25" t="str">
        <f>IF('PART III-DEMOGRAPHICS'!A1389="","",'PART III-DEMOGRAPHICS'!A1389)</f>
        <v/>
      </c>
      <c r="B1379" s="28"/>
      <c r="C1379" s="27"/>
      <c r="D1379" s="28"/>
      <c r="E1379" s="21"/>
      <c r="F1379" s="36" t="str">
        <f t="shared" si="46"/>
        <v>Did Not</v>
      </c>
      <c r="G1379" s="28"/>
      <c r="H1379" s="28"/>
      <c r="I1379" s="28"/>
      <c r="J1379" s="28"/>
      <c r="K1379" s="28"/>
      <c r="L1379" s="28"/>
      <c r="M1379" s="28"/>
      <c r="N1379" s="21"/>
      <c r="O1379" s="28"/>
      <c r="P1379" s="38"/>
      <c r="Q1379" s="21"/>
      <c r="R1379" s="21"/>
      <c r="S1379" s="47"/>
      <c r="T1379" s="25">
        <f t="shared" si="45"/>
        <v>0</v>
      </c>
      <c r="U1379" s="25" t="str">
        <f>IF('PART III-DEMOGRAPHICS'!Q1389="","",'PART III-DEMOGRAPHICS'!Q1389)</f>
        <v/>
      </c>
    </row>
    <row r="1380" spans="1:21">
      <c r="A1380" s="25" t="str">
        <f>IF('PART III-DEMOGRAPHICS'!A1390="","",'PART III-DEMOGRAPHICS'!A1390)</f>
        <v/>
      </c>
      <c r="B1380" s="28"/>
      <c r="C1380" s="27"/>
      <c r="D1380" s="28"/>
      <c r="E1380" s="21"/>
      <c r="F1380" s="36" t="str">
        <f t="shared" si="46"/>
        <v>Did Not</v>
      </c>
      <c r="G1380" s="28"/>
      <c r="H1380" s="28"/>
      <c r="I1380" s="28"/>
      <c r="J1380" s="28"/>
      <c r="K1380" s="28"/>
      <c r="L1380" s="28"/>
      <c r="M1380" s="28"/>
      <c r="N1380" s="21"/>
      <c r="O1380" s="28"/>
      <c r="P1380" s="38"/>
      <c r="Q1380" s="21"/>
      <c r="R1380" s="21"/>
      <c r="S1380" s="47"/>
      <c r="T1380" s="25">
        <f t="shared" si="45"/>
        <v>0</v>
      </c>
      <c r="U1380" s="25" t="str">
        <f>IF('PART III-DEMOGRAPHICS'!Q1390="","",'PART III-DEMOGRAPHICS'!Q1390)</f>
        <v/>
      </c>
    </row>
    <row r="1381" spans="1:21">
      <c r="A1381" s="25" t="str">
        <f>IF('PART III-DEMOGRAPHICS'!A1391="","",'PART III-DEMOGRAPHICS'!A1391)</f>
        <v/>
      </c>
      <c r="B1381" s="28"/>
      <c r="C1381" s="27"/>
      <c r="D1381" s="28"/>
      <c r="E1381" s="21"/>
      <c r="F1381" s="36" t="str">
        <f t="shared" si="46"/>
        <v>Did Not</v>
      </c>
      <c r="G1381" s="28"/>
      <c r="H1381" s="28"/>
      <c r="I1381" s="28"/>
      <c r="J1381" s="28"/>
      <c r="K1381" s="28"/>
      <c r="L1381" s="28"/>
      <c r="M1381" s="28"/>
      <c r="N1381" s="21"/>
      <c r="O1381" s="28"/>
      <c r="P1381" s="38"/>
      <c r="Q1381" s="21"/>
      <c r="R1381" s="21"/>
      <c r="S1381" s="47"/>
      <c r="T1381" s="25">
        <f t="shared" si="45"/>
        <v>0</v>
      </c>
      <c r="U1381" s="25" t="str">
        <f>IF('PART III-DEMOGRAPHICS'!Q1391="","",'PART III-DEMOGRAPHICS'!Q1391)</f>
        <v/>
      </c>
    </row>
    <row r="1382" spans="1:21">
      <c r="A1382" s="25" t="str">
        <f>IF('PART III-DEMOGRAPHICS'!A1392="","",'PART III-DEMOGRAPHICS'!A1392)</f>
        <v/>
      </c>
      <c r="B1382" s="28"/>
      <c r="C1382" s="27"/>
      <c r="D1382" s="28"/>
      <c r="E1382" s="21"/>
      <c r="F1382" s="36" t="str">
        <f t="shared" si="46"/>
        <v>Did Not</v>
      </c>
      <c r="G1382" s="28"/>
      <c r="H1382" s="28"/>
      <c r="I1382" s="28"/>
      <c r="J1382" s="28"/>
      <c r="K1382" s="28"/>
      <c r="L1382" s="28"/>
      <c r="M1382" s="28"/>
      <c r="N1382" s="21"/>
      <c r="O1382" s="28"/>
      <c r="P1382" s="38"/>
      <c r="Q1382" s="21"/>
      <c r="R1382" s="21"/>
      <c r="S1382" s="47"/>
      <c r="T1382" s="25">
        <f t="shared" si="45"/>
        <v>0</v>
      </c>
      <c r="U1382" s="25" t="str">
        <f>IF('PART III-DEMOGRAPHICS'!Q1392="","",'PART III-DEMOGRAPHICS'!Q1392)</f>
        <v/>
      </c>
    </row>
    <row r="1383" spans="1:21">
      <c r="A1383" s="25" t="str">
        <f>IF('PART III-DEMOGRAPHICS'!A1393="","",'PART III-DEMOGRAPHICS'!A1393)</f>
        <v/>
      </c>
      <c r="B1383" s="28"/>
      <c r="C1383" s="27"/>
      <c r="D1383" s="28"/>
      <c r="E1383" s="21"/>
      <c r="F1383" s="36" t="str">
        <f t="shared" si="46"/>
        <v>Did Not</v>
      </c>
      <c r="G1383" s="28"/>
      <c r="H1383" s="28"/>
      <c r="I1383" s="28"/>
      <c r="J1383" s="28"/>
      <c r="K1383" s="28"/>
      <c r="L1383" s="28"/>
      <c r="M1383" s="28"/>
      <c r="N1383" s="21"/>
      <c r="O1383" s="28"/>
      <c r="P1383" s="38"/>
      <c r="Q1383" s="21"/>
      <c r="R1383" s="21"/>
      <c r="S1383" s="47"/>
      <c r="T1383" s="25">
        <f t="shared" si="45"/>
        <v>0</v>
      </c>
      <c r="U1383" s="25" t="str">
        <f>IF('PART III-DEMOGRAPHICS'!Q1393="","",'PART III-DEMOGRAPHICS'!Q1393)</f>
        <v/>
      </c>
    </row>
    <row r="1384" spans="1:21">
      <c r="A1384" s="25" t="str">
        <f>IF('PART III-DEMOGRAPHICS'!A1394="","",'PART III-DEMOGRAPHICS'!A1394)</f>
        <v/>
      </c>
      <c r="B1384" s="28"/>
      <c r="C1384" s="27"/>
      <c r="D1384" s="28"/>
      <c r="E1384" s="21"/>
      <c r="F1384" s="36" t="str">
        <f t="shared" si="46"/>
        <v>Did Not</v>
      </c>
      <c r="G1384" s="28"/>
      <c r="H1384" s="28"/>
      <c r="I1384" s="28"/>
      <c r="J1384" s="28"/>
      <c r="K1384" s="28"/>
      <c r="L1384" s="28"/>
      <c r="M1384" s="28"/>
      <c r="N1384" s="21"/>
      <c r="O1384" s="28"/>
      <c r="P1384" s="38"/>
      <c r="Q1384" s="21"/>
      <c r="R1384" s="21"/>
      <c r="S1384" s="47"/>
      <c r="T1384" s="25">
        <f t="shared" si="45"/>
        <v>0</v>
      </c>
      <c r="U1384" s="25" t="str">
        <f>IF('PART III-DEMOGRAPHICS'!Q1394="","",'PART III-DEMOGRAPHICS'!Q1394)</f>
        <v/>
      </c>
    </row>
    <row r="1385" spans="1:21">
      <c r="A1385" s="25" t="str">
        <f>IF('PART III-DEMOGRAPHICS'!A1395="","",'PART III-DEMOGRAPHICS'!A1395)</f>
        <v/>
      </c>
      <c r="B1385" s="28"/>
      <c r="C1385" s="27"/>
      <c r="D1385" s="28"/>
      <c r="E1385" s="21"/>
      <c r="F1385" s="36" t="str">
        <f t="shared" si="46"/>
        <v>Did Not</v>
      </c>
      <c r="G1385" s="28"/>
      <c r="H1385" s="28"/>
      <c r="I1385" s="28"/>
      <c r="J1385" s="28"/>
      <c r="K1385" s="28"/>
      <c r="L1385" s="28"/>
      <c r="M1385" s="28"/>
      <c r="N1385" s="21"/>
      <c r="O1385" s="28"/>
      <c r="P1385" s="38"/>
      <c r="Q1385" s="21"/>
      <c r="R1385" s="21"/>
      <c r="S1385" s="47"/>
      <c r="T1385" s="25">
        <f t="shared" si="45"/>
        <v>0</v>
      </c>
      <c r="U1385" s="25" t="str">
        <f>IF('PART III-DEMOGRAPHICS'!Q1395="","",'PART III-DEMOGRAPHICS'!Q1395)</f>
        <v/>
      </c>
    </row>
    <row r="1386" spans="1:21">
      <c r="A1386" s="25" t="str">
        <f>IF('PART III-DEMOGRAPHICS'!A1396="","",'PART III-DEMOGRAPHICS'!A1396)</f>
        <v/>
      </c>
      <c r="B1386" s="28"/>
      <c r="C1386" s="27"/>
      <c r="D1386" s="28"/>
      <c r="E1386" s="21"/>
      <c r="F1386" s="36" t="str">
        <f t="shared" si="46"/>
        <v>Did Not</v>
      </c>
      <c r="G1386" s="28"/>
      <c r="H1386" s="28"/>
      <c r="I1386" s="28"/>
      <c r="J1386" s="28"/>
      <c r="K1386" s="28"/>
      <c r="L1386" s="28"/>
      <c r="M1386" s="28"/>
      <c r="N1386" s="21"/>
      <c r="O1386" s="28"/>
      <c r="P1386" s="38"/>
      <c r="Q1386" s="21"/>
      <c r="R1386" s="21"/>
      <c r="S1386" s="47"/>
      <c r="T1386" s="25">
        <f t="shared" si="45"/>
        <v>0</v>
      </c>
      <c r="U1386" s="25" t="str">
        <f>IF('PART III-DEMOGRAPHICS'!Q1396="","",'PART III-DEMOGRAPHICS'!Q1396)</f>
        <v/>
      </c>
    </row>
    <row r="1387" spans="1:21">
      <c r="A1387" s="25" t="str">
        <f>IF('PART III-DEMOGRAPHICS'!A1397="","",'PART III-DEMOGRAPHICS'!A1397)</f>
        <v/>
      </c>
      <c r="B1387" s="28"/>
      <c r="C1387" s="27"/>
      <c r="D1387" s="28"/>
      <c r="E1387" s="21"/>
      <c r="F1387" s="36" t="str">
        <f t="shared" si="46"/>
        <v>Did Not</v>
      </c>
      <c r="G1387" s="28"/>
      <c r="H1387" s="28"/>
      <c r="I1387" s="28"/>
      <c r="J1387" s="28"/>
      <c r="K1387" s="28"/>
      <c r="L1387" s="28"/>
      <c r="M1387" s="28"/>
      <c r="N1387" s="21"/>
      <c r="O1387" s="28"/>
      <c r="P1387" s="38"/>
      <c r="Q1387" s="21"/>
      <c r="R1387" s="21"/>
      <c r="S1387" s="47"/>
      <c r="T1387" s="25">
        <f t="shared" si="45"/>
        <v>0</v>
      </c>
      <c r="U1387" s="25" t="str">
        <f>IF('PART III-DEMOGRAPHICS'!Q1397="","",'PART III-DEMOGRAPHICS'!Q1397)</f>
        <v/>
      </c>
    </row>
    <row r="1388" spans="1:21">
      <c r="A1388" s="25" t="str">
        <f>IF('PART III-DEMOGRAPHICS'!A1398="","",'PART III-DEMOGRAPHICS'!A1398)</f>
        <v/>
      </c>
      <c r="B1388" s="28"/>
      <c r="C1388" s="27"/>
      <c r="D1388" s="28"/>
      <c r="E1388" s="21"/>
      <c r="F1388" s="36" t="str">
        <f t="shared" si="46"/>
        <v>Did Not</v>
      </c>
      <c r="G1388" s="28"/>
      <c r="H1388" s="28"/>
      <c r="I1388" s="28"/>
      <c r="J1388" s="28"/>
      <c r="K1388" s="28"/>
      <c r="L1388" s="28"/>
      <c r="M1388" s="28"/>
      <c r="N1388" s="21"/>
      <c r="O1388" s="28"/>
      <c r="P1388" s="38"/>
      <c r="Q1388" s="21"/>
      <c r="R1388" s="21"/>
      <c r="S1388" s="47"/>
      <c r="T1388" s="25">
        <f t="shared" si="45"/>
        <v>0</v>
      </c>
      <c r="U1388" s="25" t="str">
        <f>IF('PART III-DEMOGRAPHICS'!Q1398="","",'PART III-DEMOGRAPHICS'!Q1398)</f>
        <v/>
      </c>
    </row>
    <row r="1389" spans="1:21">
      <c r="A1389" s="25" t="str">
        <f>IF('PART III-DEMOGRAPHICS'!A1399="","",'PART III-DEMOGRAPHICS'!A1399)</f>
        <v/>
      </c>
      <c r="B1389" s="28"/>
      <c r="C1389" s="27"/>
      <c r="D1389" s="28"/>
      <c r="E1389" s="21"/>
      <c r="F1389" s="36" t="str">
        <f t="shared" si="46"/>
        <v>Did Not</v>
      </c>
      <c r="G1389" s="28"/>
      <c r="H1389" s="28"/>
      <c r="I1389" s="28"/>
      <c r="J1389" s="28"/>
      <c r="K1389" s="28"/>
      <c r="L1389" s="28"/>
      <c r="M1389" s="28"/>
      <c r="N1389" s="21"/>
      <c r="O1389" s="28"/>
      <c r="P1389" s="38"/>
      <c r="Q1389" s="21"/>
      <c r="R1389" s="21"/>
      <c r="S1389" s="47"/>
      <c r="T1389" s="25">
        <f t="shared" si="45"/>
        <v>0</v>
      </c>
      <c r="U1389" s="25" t="str">
        <f>IF('PART III-DEMOGRAPHICS'!Q1399="","",'PART III-DEMOGRAPHICS'!Q1399)</f>
        <v/>
      </c>
    </row>
    <row r="1390" spans="1:21">
      <c r="A1390" s="25" t="str">
        <f>IF('PART III-DEMOGRAPHICS'!A1400="","",'PART III-DEMOGRAPHICS'!A1400)</f>
        <v/>
      </c>
      <c r="B1390" s="28"/>
      <c r="C1390" s="27"/>
      <c r="D1390" s="28"/>
      <c r="E1390" s="21"/>
      <c r="F1390" s="36" t="str">
        <f t="shared" si="46"/>
        <v>Did Not</v>
      </c>
      <c r="G1390" s="28"/>
      <c r="H1390" s="28"/>
      <c r="I1390" s="28"/>
      <c r="J1390" s="28"/>
      <c r="K1390" s="28"/>
      <c r="L1390" s="28"/>
      <c r="M1390" s="28"/>
      <c r="N1390" s="21"/>
      <c r="O1390" s="28"/>
      <c r="P1390" s="38"/>
      <c r="Q1390" s="21"/>
      <c r="R1390" s="21"/>
      <c r="S1390" s="47"/>
      <c r="T1390" s="25">
        <f t="shared" si="45"/>
        <v>0</v>
      </c>
      <c r="U1390" s="25" t="str">
        <f>IF('PART III-DEMOGRAPHICS'!Q1400="","",'PART III-DEMOGRAPHICS'!Q1400)</f>
        <v/>
      </c>
    </row>
    <row r="1391" spans="1:21">
      <c r="A1391" s="25" t="str">
        <f>IF('PART III-DEMOGRAPHICS'!A1401="","",'PART III-DEMOGRAPHICS'!A1401)</f>
        <v/>
      </c>
      <c r="B1391" s="28"/>
      <c r="C1391" s="27"/>
      <c r="D1391" s="28"/>
      <c r="E1391" s="21"/>
      <c r="F1391" s="36" t="str">
        <f t="shared" si="46"/>
        <v>Did Not</v>
      </c>
      <c r="G1391" s="28"/>
      <c r="H1391" s="28"/>
      <c r="I1391" s="28"/>
      <c r="J1391" s="28"/>
      <c r="K1391" s="28"/>
      <c r="L1391" s="28"/>
      <c r="M1391" s="28"/>
      <c r="N1391" s="21"/>
      <c r="O1391" s="28"/>
      <c r="P1391" s="38"/>
      <c r="Q1391" s="21"/>
      <c r="R1391" s="21"/>
      <c r="S1391" s="47"/>
      <c r="T1391" s="25">
        <f t="shared" si="45"/>
        <v>0</v>
      </c>
      <c r="U1391" s="25" t="str">
        <f>IF('PART III-DEMOGRAPHICS'!Q1401="","",'PART III-DEMOGRAPHICS'!Q1401)</f>
        <v/>
      </c>
    </row>
    <row r="1392" spans="1:21">
      <c r="A1392" s="25" t="str">
        <f>IF('PART III-DEMOGRAPHICS'!A1402="","",'PART III-DEMOGRAPHICS'!A1402)</f>
        <v/>
      </c>
      <c r="B1392" s="28"/>
      <c r="C1392" s="27"/>
      <c r="D1392" s="28"/>
      <c r="E1392" s="21"/>
      <c r="F1392" s="36" t="str">
        <f t="shared" si="46"/>
        <v>Did Not</v>
      </c>
      <c r="G1392" s="28"/>
      <c r="H1392" s="28"/>
      <c r="I1392" s="28"/>
      <c r="J1392" s="28"/>
      <c r="K1392" s="28"/>
      <c r="L1392" s="28"/>
      <c r="M1392" s="28"/>
      <c r="N1392" s="21"/>
      <c r="O1392" s="28"/>
      <c r="P1392" s="38"/>
      <c r="Q1392" s="21"/>
      <c r="R1392" s="21"/>
      <c r="S1392" s="47"/>
      <c r="T1392" s="25">
        <f t="shared" si="45"/>
        <v>0</v>
      </c>
      <c r="U1392" s="25" t="str">
        <f>IF('PART III-DEMOGRAPHICS'!Q1402="","",'PART III-DEMOGRAPHICS'!Q1402)</f>
        <v/>
      </c>
    </row>
    <row r="1393" spans="1:21">
      <c r="A1393" s="25" t="str">
        <f>IF('PART III-DEMOGRAPHICS'!A1403="","",'PART III-DEMOGRAPHICS'!A1403)</f>
        <v/>
      </c>
      <c r="B1393" s="28"/>
      <c r="C1393" s="27"/>
      <c r="D1393" s="28"/>
      <c r="E1393" s="21"/>
      <c r="F1393" s="36" t="str">
        <f t="shared" si="46"/>
        <v>Did Not</v>
      </c>
      <c r="G1393" s="28"/>
      <c r="H1393" s="28"/>
      <c r="I1393" s="28"/>
      <c r="J1393" s="28"/>
      <c r="K1393" s="28"/>
      <c r="L1393" s="28"/>
      <c r="M1393" s="28"/>
      <c r="N1393" s="21"/>
      <c r="O1393" s="28"/>
      <c r="P1393" s="38"/>
      <c r="Q1393" s="21"/>
      <c r="R1393" s="21"/>
      <c r="S1393" s="47"/>
      <c r="T1393" s="25">
        <f t="shared" si="45"/>
        <v>0</v>
      </c>
      <c r="U1393" s="25" t="str">
        <f>IF('PART III-DEMOGRAPHICS'!Q1403="","",'PART III-DEMOGRAPHICS'!Q1403)</f>
        <v/>
      </c>
    </row>
    <row r="1394" spans="1:21">
      <c r="A1394" s="25" t="str">
        <f>IF('PART III-DEMOGRAPHICS'!A1404="","",'PART III-DEMOGRAPHICS'!A1404)</f>
        <v/>
      </c>
      <c r="B1394" s="28"/>
      <c r="C1394" s="27"/>
      <c r="D1394" s="28"/>
      <c r="E1394" s="21"/>
      <c r="F1394" s="36" t="str">
        <f t="shared" si="46"/>
        <v>Did Not</v>
      </c>
      <c r="G1394" s="28"/>
      <c r="H1394" s="28"/>
      <c r="I1394" s="28"/>
      <c r="J1394" s="28"/>
      <c r="K1394" s="28"/>
      <c r="L1394" s="28"/>
      <c r="M1394" s="28"/>
      <c r="N1394" s="21"/>
      <c r="O1394" s="28"/>
      <c r="P1394" s="38"/>
      <c r="Q1394" s="21"/>
      <c r="R1394" s="21"/>
      <c r="S1394" s="47"/>
      <c r="T1394" s="25">
        <f t="shared" si="45"/>
        <v>0</v>
      </c>
      <c r="U1394" s="25" t="str">
        <f>IF('PART III-DEMOGRAPHICS'!Q1404="","",'PART III-DEMOGRAPHICS'!Q1404)</f>
        <v/>
      </c>
    </row>
    <row r="1395" spans="1:21">
      <c r="A1395" s="25" t="str">
        <f>IF('PART III-DEMOGRAPHICS'!A1405="","",'PART III-DEMOGRAPHICS'!A1405)</f>
        <v/>
      </c>
      <c r="B1395" s="28"/>
      <c r="C1395" s="27"/>
      <c r="D1395" s="28"/>
      <c r="E1395" s="21"/>
      <c r="F1395" s="36" t="str">
        <f t="shared" si="46"/>
        <v>Did Not</v>
      </c>
      <c r="G1395" s="28"/>
      <c r="H1395" s="28"/>
      <c r="I1395" s="28"/>
      <c r="J1395" s="28"/>
      <c r="K1395" s="28"/>
      <c r="L1395" s="28"/>
      <c r="M1395" s="28"/>
      <c r="N1395" s="21"/>
      <c r="O1395" s="28"/>
      <c r="P1395" s="38"/>
      <c r="Q1395" s="21"/>
      <c r="R1395" s="21"/>
      <c r="S1395" s="47"/>
      <c r="T1395" s="25">
        <f t="shared" si="45"/>
        <v>0</v>
      </c>
      <c r="U1395" s="25" t="str">
        <f>IF('PART III-DEMOGRAPHICS'!Q1405="","",'PART III-DEMOGRAPHICS'!Q1405)</f>
        <v/>
      </c>
    </row>
    <row r="1396" spans="1:21">
      <c r="A1396" s="25" t="str">
        <f>IF('PART III-DEMOGRAPHICS'!A1406="","",'PART III-DEMOGRAPHICS'!A1406)</f>
        <v/>
      </c>
      <c r="B1396" s="28"/>
      <c r="C1396" s="27"/>
      <c r="D1396" s="28"/>
      <c r="E1396" s="21"/>
      <c r="F1396" s="36" t="str">
        <f t="shared" si="46"/>
        <v>Did Not</v>
      </c>
      <c r="G1396" s="28"/>
      <c r="H1396" s="28"/>
      <c r="I1396" s="28"/>
      <c r="J1396" s="28"/>
      <c r="K1396" s="28"/>
      <c r="L1396" s="28"/>
      <c r="M1396" s="28"/>
      <c r="N1396" s="21"/>
      <c r="O1396" s="28"/>
      <c r="P1396" s="38"/>
      <c r="Q1396" s="21"/>
      <c r="R1396" s="21"/>
      <c r="S1396" s="47"/>
      <c r="T1396" s="25">
        <f t="shared" si="45"/>
        <v>0</v>
      </c>
      <c r="U1396" s="25" t="str">
        <f>IF('PART III-DEMOGRAPHICS'!Q1406="","",'PART III-DEMOGRAPHICS'!Q1406)</f>
        <v/>
      </c>
    </row>
    <row r="1397" spans="1:21">
      <c r="A1397" s="25" t="str">
        <f>IF('PART III-DEMOGRAPHICS'!A1407="","",'PART III-DEMOGRAPHICS'!A1407)</f>
        <v/>
      </c>
      <c r="B1397" s="28"/>
      <c r="C1397" s="27"/>
      <c r="D1397" s="28"/>
      <c r="E1397" s="21"/>
      <c r="F1397" s="36" t="str">
        <f t="shared" si="46"/>
        <v>Did Not</v>
      </c>
      <c r="G1397" s="28"/>
      <c r="H1397" s="28"/>
      <c r="I1397" s="28"/>
      <c r="J1397" s="28"/>
      <c r="K1397" s="28"/>
      <c r="L1397" s="28"/>
      <c r="M1397" s="28"/>
      <c r="N1397" s="21"/>
      <c r="O1397" s="28"/>
      <c r="P1397" s="38"/>
      <c r="Q1397" s="21"/>
      <c r="R1397" s="21"/>
      <c r="S1397" s="47"/>
      <c r="T1397" s="25">
        <f t="shared" si="45"/>
        <v>0</v>
      </c>
      <c r="U1397" s="25" t="str">
        <f>IF('PART III-DEMOGRAPHICS'!Q1407="","",'PART III-DEMOGRAPHICS'!Q1407)</f>
        <v/>
      </c>
    </row>
    <row r="1398" spans="1:21">
      <c r="A1398" s="25" t="str">
        <f>IF('PART III-DEMOGRAPHICS'!A1408="","",'PART III-DEMOGRAPHICS'!A1408)</f>
        <v/>
      </c>
      <c r="B1398" s="28"/>
      <c r="C1398" s="27"/>
      <c r="D1398" s="28"/>
      <c r="E1398" s="21"/>
      <c r="F1398" s="36" t="str">
        <f t="shared" si="46"/>
        <v>Did Not</v>
      </c>
      <c r="G1398" s="28"/>
      <c r="H1398" s="28"/>
      <c r="I1398" s="28"/>
      <c r="J1398" s="28"/>
      <c r="K1398" s="28"/>
      <c r="L1398" s="28"/>
      <c r="M1398" s="28"/>
      <c r="N1398" s="21"/>
      <c r="O1398" s="28"/>
      <c r="P1398" s="38"/>
      <c r="Q1398" s="21"/>
      <c r="R1398" s="21"/>
      <c r="S1398" s="47"/>
      <c r="T1398" s="25">
        <f t="shared" si="45"/>
        <v>0</v>
      </c>
      <c r="U1398" s="25" t="str">
        <f>IF('PART III-DEMOGRAPHICS'!Q1408="","",'PART III-DEMOGRAPHICS'!Q1408)</f>
        <v/>
      </c>
    </row>
    <row r="1399" spans="1:21">
      <c r="A1399" s="25" t="str">
        <f>IF('PART III-DEMOGRAPHICS'!A1409="","",'PART III-DEMOGRAPHICS'!A1409)</f>
        <v/>
      </c>
      <c r="B1399" s="28"/>
      <c r="C1399" s="27"/>
      <c r="D1399" s="28"/>
      <c r="E1399" s="21"/>
      <c r="F1399" s="36" t="str">
        <f t="shared" si="46"/>
        <v>Did Not</v>
      </c>
      <c r="G1399" s="28"/>
      <c r="H1399" s="28"/>
      <c r="I1399" s="28"/>
      <c r="J1399" s="28"/>
      <c r="K1399" s="28"/>
      <c r="L1399" s="28"/>
      <c r="M1399" s="28"/>
      <c r="N1399" s="21"/>
      <c r="O1399" s="28"/>
      <c r="P1399" s="38"/>
      <c r="Q1399" s="21"/>
      <c r="R1399" s="21"/>
      <c r="S1399" s="47"/>
      <c r="T1399" s="25">
        <f t="shared" si="45"/>
        <v>0</v>
      </c>
      <c r="U1399" s="25" t="str">
        <f>IF('PART III-DEMOGRAPHICS'!Q1409="","",'PART III-DEMOGRAPHICS'!Q1409)</f>
        <v/>
      </c>
    </row>
    <row r="1400" spans="1:21">
      <c r="A1400" s="25" t="str">
        <f>IF('PART III-DEMOGRAPHICS'!A1410="","",'PART III-DEMOGRAPHICS'!A1410)</f>
        <v/>
      </c>
      <c r="B1400" s="28"/>
      <c r="C1400" s="27"/>
      <c r="D1400" s="28"/>
      <c r="E1400" s="21"/>
      <c r="F1400" s="36" t="str">
        <f t="shared" si="46"/>
        <v>Did Not</v>
      </c>
      <c r="G1400" s="28"/>
      <c r="H1400" s="28"/>
      <c r="I1400" s="28"/>
      <c r="J1400" s="28"/>
      <c r="K1400" s="28"/>
      <c r="L1400" s="28"/>
      <c r="M1400" s="28"/>
      <c r="N1400" s="21"/>
      <c r="O1400" s="28"/>
      <c r="P1400" s="38"/>
      <c r="Q1400" s="21"/>
      <c r="R1400" s="21"/>
      <c r="S1400" s="47"/>
      <c r="T1400" s="25">
        <f t="shared" si="45"/>
        <v>0</v>
      </c>
      <c r="U1400" s="25" t="str">
        <f>IF('PART III-DEMOGRAPHICS'!Q1410="","",'PART III-DEMOGRAPHICS'!Q1410)</f>
        <v/>
      </c>
    </row>
    <row r="1401" spans="1:21">
      <c r="A1401" s="25" t="str">
        <f>IF('PART III-DEMOGRAPHICS'!A1411="","",'PART III-DEMOGRAPHICS'!A1411)</f>
        <v/>
      </c>
      <c r="B1401" s="28"/>
      <c r="C1401" s="27"/>
      <c r="D1401" s="28"/>
      <c r="E1401" s="21"/>
      <c r="F1401" s="36" t="str">
        <f t="shared" si="46"/>
        <v>Did Not</v>
      </c>
      <c r="G1401" s="28"/>
      <c r="H1401" s="28"/>
      <c r="I1401" s="28"/>
      <c r="J1401" s="28"/>
      <c r="K1401" s="28"/>
      <c r="L1401" s="28"/>
      <c r="M1401" s="28"/>
      <c r="N1401" s="21"/>
      <c r="O1401" s="28"/>
      <c r="P1401" s="38"/>
      <c r="Q1401" s="21"/>
      <c r="R1401" s="21"/>
      <c r="S1401" s="47"/>
      <c r="T1401" s="25">
        <f t="shared" si="45"/>
        <v>0</v>
      </c>
      <c r="U1401" s="25" t="str">
        <f>IF('PART III-DEMOGRAPHICS'!Q1411="","",'PART III-DEMOGRAPHICS'!Q1411)</f>
        <v/>
      </c>
    </row>
    <row r="1402" spans="1:21">
      <c r="A1402" s="25" t="str">
        <f>IF('PART III-DEMOGRAPHICS'!A1412="","",'PART III-DEMOGRAPHICS'!A1412)</f>
        <v/>
      </c>
      <c r="B1402" s="28"/>
      <c r="C1402" s="27"/>
      <c r="D1402" s="28"/>
      <c r="E1402" s="21"/>
      <c r="F1402" s="36" t="str">
        <f t="shared" si="46"/>
        <v>Did Not</v>
      </c>
      <c r="G1402" s="28"/>
      <c r="H1402" s="28"/>
      <c r="I1402" s="28"/>
      <c r="J1402" s="28"/>
      <c r="K1402" s="28"/>
      <c r="L1402" s="28"/>
      <c r="M1402" s="28"/>
      <c r="N1402" s="21"/>
      <c r="O1402" s="28"/>
      <c r="P1402" s="38"/>
      <c r="Q1402" s="21"/>
      <c r="R1402" s="21"/>
      <c r="S1402" s="47"/>
      <c r="T1402" s="25">
        <f t="shared" si="45"/>
        <v>0</v>
      </c>
      <c r="U1402" s="25" t="str">
        <f>IF('PART III-DEMOGRAPHICS'!Q1412="","",'PART III-DEMOGRAPHICS'!Q1412)</f>
        <v/>
      </c>
    </row>
    <row r="1403" spans="1:21">
      <c r="A1403" s="25" t="str">
        <f>IF('PART III-DEMOGRAPHICS'!A1413="","",'PART III-DEMOGRAPHICS'!A1413)</f>
        <v/>
      </c>
      <c r="B1403" s="28"/>
      <c r="C1403" s="27"/>
      <c r="D1403" s="28"/>
      <c r="E1403" s="21"/>
      <c r="F1403" s="36" t="str">
        <f t="shared" si="46"/>
        <v>Did Not</v>
      </c>
      <c r="G1403" s="28"/>
      <c r="H1403" s="28"/>
      <c r="I1403" s="28"/>
      <c r="J1403" s="28"/>
      <c r="K1403" s="28"/>
      <c r="L1403" s="28"/>
      <c r="M1403" s="28"/>
      <c r="N1403" s="21"/>
      <c r="O1403" s="28"/>
      <c r="P1403" s="38"/>
      <c r="Q1403" s="21"/>
      <c r="R1403" s="21"/>
      <c r="S1403" s="47"/>
      <c r="T1403" s="25">
        <f t="shared" si="45"/>
        <v>0</v>
      </c>
      <c r="U1403" s="25" t="str">
        <f>IF('PART III-DEMOGRAPHICS'!Q1413="","",'PART III-DEMOGRAPHICS'!Q1413)</f>
        <v/>
      </c>
    </row>
    <row r="1404" spans="1:21">
      <c r="A1404" s="25" t="str">
        <f>IF('PART III-DEMOGRAPHICS'!A1414="","",'PART III-DEMOGRAPHICS'!A1414)</f>
        <v/>
      </c>
      <c r="B1404" s="28"/>
      <c r="C1404" s="27"/>
      <c r="D1404" s="28"/>
      <c r="E1404" s="21"/>
      <c r="F1404" s="36" t="str">
        <f t="shared" si="46"/>
        <v>Did Not</v>
      </c>
      <c r="G1404" s="28"/>
      <c r="H1404" s="28"/>
      <c r="I1404" s="28"/>
      <c r="J1404" s="28"/>
      <c r="K1404" s="28"/>
      <c r="L1404" s="28"/>
      <c r="M1404" s="28"/>
      <c r="N1404" s="21"/>
      <c r="O1404" s="28"/>
      <c r="P1404" s="38"/>
      <c r="Q1404" s="21"/>
      <c r="R1404" s="21"/>
      <c r="S1404" s="47"/>
      <c r="T1404" s="25">
        <f t="shared" si="45"/>
        <v>0</v>
      </c>
      <c r="U1404" s="25" t="str">
        <f>IF('PART III-DEMOGRAPHICS'!Q1414="","",'PART III-DEMOGRAPHICS'!Q1414)</f>
        <v/>
      </c>
    </row>
    <row r="1405" spans="1:21">
      <c r="A1405" s="25" t="str">
        <f>IF('PART III-DEMOGRAPHICS'!A1415="","",'PART III-DEMOGRAPHICS'!A1415)</f>
        <v/>
      </c>
      <c r="B1405" s="28"/>
      <c r="C1405" s="27"/>
      <c r="D1405" s="28"/>
      <c r="E1405" s="21"/>
      <c r="F1405" s="36" t="str">
        <f t="shared" si="46"/>
        <v>Did Not</v>
      </c>
      <c r="G1405" s="28"/>
      <c r="H1405" s="28"/>
      <c r="I1405" s="28"/>
      <c r="J1405" s="28"/>
      <c r="K1405" s="28"/>
      <c r="L1405" s="28"/>
      <c r="M1405" s="28"/>
      <c r="N1405" s="21"/>
      <c r="O1405" s="28"/>
      <c r="P1405" s="38"/>
      <c r="Q1405" s="21"/>
      <c r="R1405" s="21"/>
      <c r="S1405" s="47"/>
      <c r="T1405" s="25">
        <f t="shared" si="45"/>
        <v>0</v>
      </c>
      <c r="U1405" s="25" t="str">
        <f>IF('PART III-DEMOGRAPHICS'!Q1415="","",'PART III-DEMOGRAPHICS'!Q1415)</f>
        <v/>
      </c>
    </row>
    <row r="1406" spans="1:21">
      <c r="A1406" s="25" t="str">
        <f>IF('PART III-DEMOGRAPHICS'!A1416="","",'PART III-DEMOGRAPHICS'!A1416)</f>
        <v/>
      </c>
      <c r="B1406" s="28"/>
      <c r="C1406" s="27"/>
      <c r="D1406" s="28"/>
      <c r="E1406" s="21"/>
      <c r="F1406" s="36" t="str">
        <f t="shared" si="46"/>
        <v>Did Not</v>
      </c>
      <c r="G1406" s="28"/>
      <c r="H1406" s="28"/>
      <c r="I1406" s="28"/>
      <c r="J1406" s="28"/>
      <c r="K1406" s="28"/>
      <c r="L1406" s="28"/>
      <c r="M1406" s="28"/>
      <c r="N1406" s="21"/>
      <c r="O1406" s="28"/>
      <c r="P1406" s="38"/>
      <c r="Q1406" s="21"/>
      <c r="R1406" s="21"/>
      <c r="S1406" s="47"/>
      <c r="T1406" s="25">
        <f t="shared" si="45"/>
        <v>0</v>
      </c>
      <c r="U1406" s="25" t="str">
        <f>IF('PART III-DEMOGRAPHICS'!Q1416="","",'PART III-DEMOGRAPHICS'!Q1416)</f>
        <v/>
      </c>
    </row>
    <row r="1407" spans="1:21">
      <c r="A1407" s="25" t="str">
        <f>IF('PART III-DEMOGRAPHICS'!A1417="","",'PART III-DEMOGRAPHICS'!A1417)</f>
        <v/>
      </c>
      <c r="B1407" s="28"/>
      <c r="C1407" s="27"/>
      <c r="D1407" s="28"/>
      <c r="E1407" s="21"/>
      <c r="F1407" s="36" t="str">
        <f t="shared" si="46"/>
        <v>Did Not</v>
      </c>
      <c r="G1407" s="28"/>
      <c r="H1407" s="28"/>
      <c r="I1407" s="28"/>
      <c r="J1407" s="28"/>
      <c r="K1407" s="28"/>
      <c r="L1407" s="28"/>
      <c r="M1407" s="28"/>
      <c r="N1407" s="21"/>
      <c r="O1407" s="28"/>
      <c r="P1407" s="38"/>
      <c r="Q1407" s="21"/>
      <c r="R1407" s="21"/>
      <c r="S1407" s="47"/>
      <c r="T1407" s="25">
        <f t="shared" si="45"/>
        <v>0</v>
      </c>
      <c r="U1407" s="25" t="str">
        <f>IF('PART III-DEMOGRAPHICS'!Q1417="","",'PART III-DEMOGRAPHICS'!Q1417)</f>
        <v/>
      </c>
    </row>
    <row r="1408" spans="1:21">
      <c r="A1408" s="25" t="str">
        <f>IF('PART III-DEMOGRAPHICS'!A1418="","",'PART III-DEMOGRAPHICS'!A1418)</f>
        <v/>
      </c>
      <c r="B1408" s="28"/>
      <c r="C1408" s="27"/>
      <c r="D1408" s="28"/>
      <c r="E1408" s="21"/>
      <c r="F1408" s="36" t="str">
        <f t="shared" si="46"/>
        <v>Did Not</v>
      </c>
      <c r="G1408" s="28"/>
      <c r="H1408" s="28"/>
      <c r="I1408" s="28"/>
      <c r="J1408" s="28"/>
      <c r="K1408" s="28"/>
      <c r="L1408" s="28"/>
      <c r="M1408" s="28"/>
      <c r="N1408" s="21"/>
      <c r="O1408" s="28"/>
      <c r="P1408" s="38"/>
      <c r="Q1408" s="21"/>
      <c r="R1408" s="21"/>
      <c r="S1408" s="47"/>
      <c r="T1408" s="25">
        <f t="shared" si="45"/>
        <v>0</v>
      </c>
      <c r="U1408" s="25" t="str">
        <f>IF('PART III-DEMOGRAPHICS'!Q1418="","",'PART III-DEMOGRAPHICS'!Q1418)</f>
        <v/>
      </c>
    </row>
    <row r="1409" spans="1:21">
      <c r="A1409" s="25" t="str">
        <f>IF('PART III-DEMOGRAPHICS'!A1419="","",'PART III-DEMOGRAPHICS'!A1419)</f>
        <v/>
      </c>
      <c r="B1409" s="28"/>
      <c r="C1409" s="27"/>
      <c r="D1409" s="28"/>
      <c r="E1409" s="21"/>
      <c r="F1409" s="36" t="str">
        <f t="shared" si="46"/>
        <v>Did Not</v>
      </c>
      <c r="G1409" s="28"/>
      <c r="H1409" s="28"/>
      <c r="I1409" s="28"/>
      <c r="J1409" s="28"/>
      <c r="K1409" s="28"/>
      <c r="L1409" s="28"/>
      <c r="M1409" s="28"/>
      <c r="N1409" s="21"/>
      <c r="O1409" s="28"/>
      <c r="P1409" s="38"/>
      <c r="Q1409" s="21"/>
      <c r="R1409" s="21"/>
      <c r="S1409" s="47"/>
      <c r="T1409" s="25">
        <f t="shared" si="45"/>
        <v>0</v>
      </c>
      <c r="U1409" s="25" t="str">
        <f>IF('PART III-DEMOGRAPHICS'!Q1419="","",'PART III-DEMOGRAPHICS'!Q1419)</f>
        <v/>
      </c>
    </row>
    <row r="1410" spans="1:21">
      <c r="A1410" s="25" t="str">
        <f>IF('PART III-DEMOGRAPHICS'!A1420="","",'PART III-DEMOGRAPHICS'!A1420)</f>
        <v/>
      </c>
      <c r="B1410" s="28"/>
      <c r="C1410" s="27"/>
      <c r="D1410" s="28"/>
      <c r="E1410" s="21"/>
      <c r="F1410" s="36" t="str">
        <f t="shared" si="46"/>
        <v>Did Not</v>
      </c>
      <c r="G1410" s="28"/>
      <c r="H1410" s="28"/>
      <c r="I1410" s="28"/>
      <c r="J1410" s="28"/>
      <c r="K1410" s="28"/>
      <c r="L1410" s="28"/>
      <c r="M1410" s="28"/>
      <c r="N1410" s="21"/>
      <c r="O1410" s="28"/>
      <c r="P1410" s="38"/>
      <c r="Q1410" s="21"/>
      <c r="R1410" s="21"/>
      <c r="S1410" s="47"/>
      <c r="T1410" s="25">
        <f t="shared" si="45"/>
        <v>0</v>
      </c>
      <c r="U1410" s="25" t="str">
        <f>IF('PART III-DEMOGRAPHICS'!Q1420="","",'PART III-DEMOGRAPHICS'!Q1420)</f>
        <v/>
      </c>
    </row>
    <row r="1411" spans="1:21">
      <c r="A1411" s="25" t="str">
        <f>IF('PART III-DEMOGRAPHICS'!A1421="","",'PART III-DEMOGRAPHICS'!A1421)</f>
        <v/>
      </c>
      <c r="B1411" s="28"/>
      <c r="C1411" s="27"/>
      <c r="D1411" s="28"/>
      <c r="E1411" s="21"/>
      <c r="F1411" s="36" t="str">
        <f t="shared" si="46"/>
        <v>Did Not</v>
      </c>
      <c r="G1411" s="28"/>
      <c r="H1411" s="28"/>
      <c r="I1411" s="28"/>
      <c r="J1411" s="28"/>
      <c r="K1411" s="28"/>
      <c r="L1411" s="28"/>
      <c r="M1411" s="28"/>
      <c r="N1411" s="21"/>
      <c r="O1411" s="28"/>
      <c r="P1411" s="38"/>
      <c r="Q1411" s="21"/>
      <c r="R1411" s="21"/>
      <c r="S1411" s="47"/>
      <c r="T1411" s="25">
        <f t="shared" si="45"/>
        <v>0</v>
      </c>
      <c r="U1411" s="25" t="str">
        <f>IF('PART III-DEMOGRAPHICS'!Q1421="","",'PART III-DEMOGRAPHICS'!Q1421)</f>
        <v/>
      </c>
    </row>
    <row r="1412" spans="1:21">
      <c r="A1412" s="25" t="str">
        <f>IF('PART III-DEMOGRAPHICS'!A1422="","",'PART III-DEMOGRAPHICS'!A1422)</f>
        <v/>
      </c>
      <c r="B1412" s="28"/>
      <c r="C1412" s="27"/>
      <c r="D1412" s="28"/>
      <c r="E1412" s="21"/>
      <c r="F1412" s="36" t="str">
        <f t="shared" si="46"/>
        <v>Did Not</v>
      </c>
      <c r="G1412" s="28"/>
      <c r="H1412" s="28"/>
      <c r="I1412" s="28"/>
      <c r="J1412" s="28"/>
      <c r="K1412" s="28"/>
      <c r="L1412" s="28"/>
      <c r="M1412" s="28"/>
      <c r="N1412" s="21"/>
      <c r="O1412" s="28"/>
      <c r="P1412" s="38"/>
      <c r="Q1412" s="21"/>
      <c r="R1412" s="21"/>
      <c r="S1412" s="47"/>
      <c r="T1412" s="25">
        <f t="shared" si="45"/>
        <v>0</v>
      </c>
      <c r="U1412" s="25" t="str">
        <f>IF('PART III-DEMOGRAPHICS'!Q1422="","",'PART III-DEMOGRAPHICS'!Q1422)</f>
        <v/>
      </c>
    </row>
    <row r="1413" spans="1:21">
      <c r="A1413" s="25" t="str">
        <f>IF('PART III-DEMOGRAPHICS'!A1423="","",'PART III-DEMOGRAPHICS'!A1423)</f>
        <v/>
      </c>
      <c r="B1413" s="28"/>
      <c r="C1413" s="27"/>
      <c r="D1413" s="28"/>
      <c r="E1413" s="21"/>
      <c r="F1413" s="36" t="str">
        <f t="shared" si="46"/>
        <v>Did Not</v>
      </c>
      <c r="G1413" s="28"/>
      <c r="H1413" s="28"/>
      <c r="I1413" s="28"/>
      <c r="J1413" s="28"/>
      <c r="K1413" s="28"/>
      <c r="L1413" s="28"/>
      <c r="M1413" s="28"/>
      <c r="N1413" s="21"/>
      <c r="O1413" s="28"/>
      <c r="P1413" s="38"/>
      <c r="Q1413" s="21"/>
      <c r="R1413" s="21"/>
      <c r="S1413" s="47"/>
      <c r="T1413" s="25">
        <f t="shared" si="45"/>
        <v>0</v>
      </c>
      <c r="U1413" s="25" t="str">
        <f>IF('PART III-DEMOGRAPHICS'!Q1423="","",'PART III-DEMOGRAPHICS'!Q1423)</f>
        <v/>
      </c>
    </row>
    <row r="1414" spans="1:21">
      <c r="A1414" s="25" t="str">
        <f>IF('PART III-DEMOGRAPHICS'!A1424="","",'PART III-DEMOGRAPHICS'!A1424)</f>
        <v/>
      </c>
      <c r="B1414" s="28"/>
      <c r="C1414" s="27"/>
      <c r="D1414" s="28"/>
      <c r="E1414" s="21"/>
      <c r="F1414" s="36" t="str">
        <f t="shared" si="46"/>
        <v>Did Not</v>
      </c>
      <c r="G1414" s="28"/>
      <c r="H1414" s="28"/>
      <c r="I1414" s="28"/>
      <c r="J1414" s="28"/>
      <c r="K1414" s="28"/>
      <c r="L1414" s="28"/>
      <c r="M1414" s="28"/>
      <c r="N1414" s="21"/>
      <c r="O1414" s="28"/>
      <c r="P1414" s="38"/>
      <c r="Q1414" s="21"/>
      <c r="R1414" s="21"/>
      <c r="S1414" s="47"/>
      <c r="T1414" s="25">
        <f t="shared" si="45"/>
        <v>0</v>
      </c>
      <c r="U1414" s="25" t="str">
        <f>IF('PART III-DEMOGRAPHICS'!Q1424="","",'PART III-DEMOGRAPHICS'!Q1424)</f>
        <v/>
      </c>
    </row>
    <row r="1415" spans="1:21">
      <c r="A1415" s="25" t="str">
        <f>IF('PART III-DEMOGRAPHICS'!A1425="","",'PART III-DEMOGRAPHICS'!A1425)</f>
        <v/>
      </c>
      <c r="B1415" s="28"/>
      <c r="C1415" s="27"/>
      <c r="D1415" s="28"/>
      <c r="E1415" s="21"/>
      <c r="F1415" s="36" t="str">
        <f t="shared" si="46"/>
        <v>Did Not</v>
      </c>
      <c r="G1415" s="28"/>
      <c r="H1415" s="28"/>
      <c r="I1415" s="28"/>
      <c r="J1415" s="28"/>
      <c r="K1415" s="28"/>
      <c r="L1415" s="28"/>
      <c r="M1415" s="28"/>
      <c r="N1415" s="21"/>
      <c r="O1415" s="28"/>
      <c r="P1415" s="38"/>
      <c r="Q1415" s="21"/>
      <c r="R1415" s="21"/>
      <c r="S1415" s="47"/>
      <c r="T1415" s="25">
        <f t="shared" ref="T1415:T1478" si="47">COUNTIF(A1415:R1415,"Yes")</f>
        <v>0</v>
      </c>
      <c r="U1415" s="25" t="str">
        <f>IF('PART III-DEMOGRAPHICS'!Q1425="","",'PART III-DEMOGRAPHICS'!Q1425)</f>
        <v/>
      </c>
    </row>
    <row r="1416" spans="1:21">
      <c r="A1416" s="25" t="str">
        <f>IF('PART III-DEMOGRAPHICS'!A1426="","",'PART III-DEMOGRAPHICS'!A1426)</f>
        <v/>
      </c>
      <c r="B1416" s="28"/>
      <c r="C1416" s="27"/>
      <c r="D1416" s="28"/>
      <c r="E1416" s="21"/>
      <c r="F1416" s="36" t="str">
        <f t="shared" si="46"/>
        <v>Did Not</v>
      </c>
      <c r="G1416" s="28"/>
      <c r="H1416" s="28"/>
      <c r="I1416" s="28"/>
      <c r="J1416" s="28"/>
      <c r="K1416" s="28"/>
      <c r="L1416" s="28"/>
      <c r="M1416" s="28"/>
      <c r="N1416" s="21"/>
      <c r="O1416" s="28"/>
      <c r="P1416" s="38"/>
      <c r="Q1416" s="21"/>
      <c r="R1416" s="21"/>
      <c r="S1416" s="47"/>
      <c r="T1416" s="25">
        <f t="shared" si="47"/>
        <v>0</v>
      </c>
      <c r="U1416" s="25" t="str">
        <f>IF('PART III-DEMOGRAPHICS'!Q1426="","",'PART III-DEMOGRAPHICS'!Q1426)</f>
        <v/>
      </c>
    </row>
    <row r="1417" spans="1:21">
      <c r="A1417" s="25" t="str">
        <f>IF('PART III-DEMOGRAPHICS'!A1427="","",'PART III-DEMOGRAPHICS'!A1427)</f>
        <v/>
      </c>
      <c r="B1417" s="28"/>
      <c r="C1417" s="27"/>
      <c r="D1417" s="28"/>
      <c r="E1417" s="21"/>
      <c r="F1417" s="36" t="str">
        <f t="shared" si="46"/>
        <v>Did Not</v>
      </c>
      <c r="G1417" s="28"/>
      <c r="H1417" s="28"/>
      <c r="I1417" s="28"/>
      <c r="J1417" s="28"/>
      <c r="K1417" s="28"/>
      <c r="L1417" s="28"/>
      <c r="M1417" s="28"/>
      <c r="N1417" s="21"/>
      <c r="O1417" s="28"/>
      <c r="P1417" s="38"/>
      <c r="Q1417" s="21"/>
      <c r="R1417" s="21"/>
      <c r="S1417" s="47"/>
      <c r="T1417" s="25">
        <f t="shared" si="47"/>
        <v>0</v>
      </c>
      <c r="U1417" s="25" t="str">
        <f>IF('PART III-DEMOGRAPHICS'!Q1427="","",'PART III-DEMOGRAPHICS'!Q1427)</f>
        <v/>
      </c>
    </row>
    <row r="1418" spans="1:21">
      <c r="A1418" s="25" t="str">
        <f>IF('PART III-DEMOGRAPHICS'!A1428="","",'PART III-DEMOGRAPHICS'!A1428)</f>
        <v/>
      </c>
      <c r="B1418" s="28"/>
      <c r="C1418" s="27"/>
      <c r="D1418" s="28"/>
      <c r="E1418" s="21"/>
      <c r="F1418" s="36" t="str">
        <f t="shared" si="46"/>
        <v>Did Not</v>
      </c>
      <c r="G1418" s="28"/>
      <c r="H1418" s="28"/>
      <c r="I1418" s="28"/>
      <c r="J1418" s="28"/>
      <c r="K1418" s="28"/>
      <c r="L1418" s="28"/>
      <c r="M1418" s="28"/>
      <c r="N1418" s="21"/>
      <c r="O1418" s="28"/>
      <c r="P1418" s="38"/>
      <c r="Q1418" s="21"/>
      <c r="R1418" s="21"/>
      <c r="S1418" s="47"/>
      <c r="T1418" s="25">
        <f t="shared" si="47"/>
        <v>0</v>
      </c>
      <c r="U1418" s="25" t="str">
        <f>IF('PART III-DEMOGRAPHICS'!Q1428="","",'PART III-DEMOGRAPHICS'!Q1428)</f>
        <v/>
      </c>
    </row>
    <row r="1419" spans="1:21">
      <c r="A1419" s="25" t="str">
        <f>IF('PART III-DEMOGRAPHICS'!A1429="","",'PART III-DEMOGRAPHICS'!A1429)</f>
        <v/>
      </c>
      <c r="B1419" s="28"/>
      <c r="C1419" s="27"/>
      <c r="D1419" s="28"/>
      <c r="E1419" s="21"/>
      <c r="F1419" s="36" t="str">
        <f t="shared" si="46"/>
        <v>Did Not</v>
      </c>
      <c r="G1419" s="28"/>
      <c r="H1419" s="28"/>
      <c r="I1419" s="28"/>
      <c r="J1419" s="28"/>
      <c r="K1419" s="28"/>
      <c r="L1419" s="28"/>
      <c r="M1419" s="28"/>
      <c r="N1419" s="21"/>
      <c r="O1419" s="28"/>
      <c r="P1419" s="38"/>
      <c r="Q1419" s="21"/>
      <c r="R1419" s="21"/>
      <c r="S1419" s="47"/>
      <c r="T1419" s="25">
        <f t="shared" si="47"/>
        <v>0</v>
      </c>
      <c r="U1419" s="25" t="str">
        <f>IF('PART III-DEMOGRAPHICS'!Q1429="","",'PART III-DEMOGRAPHICS'!Q1429)</f>
        <v/>
      </c>
    </row>
    <row r="1420" spans="1:21">
      <c r="A1420" s="25" t="str">
        <f>IF('PART III-DEMOGRAPHICS'!A1430="","",'PART III-DEMOGRAPHICS'!A1430)</f>
        <v/>
      </c>
      <c r="B1420" s="28"/>
      <c r="C1420" s="27"/>
      <c r="D1420" s="28"/>
      <c r="E1420" s="21"/>
      <c r="F1420" s="36" t="str">
        <f t="shared" si="46"/>
        <v>Did Not</v>
      </c>
      <c r="G1420" s="28"/>
      <c r="H1420" s="28"/>
      <c r="I1420" s="28"/>
      <c r="J1420" s="28"/>
      <c r="K1420" s="28"/>
      <c r="L1420" s="28"/>
      <c r="M1420" s="28"/>
      <c r="N1420" s="21"/>
      <c r="O1420" s="28"/>
      <c r="P1420" s="38"/>
      <c r="Q1420" s="21"/>
      <c r="R1420" s="21"/>
      <c r="S1420" s="47"/>
      <c r="T1420" s="25">
        <f t="shared" si="47"/>
        <v>0</v>
      </c>
      <c r="U1420" s="25" t="str">
        <f>IF('PART III-DEMOGRAPHICS'!Q1430="","",'PART III-DEMOGRAPHICS'!Q1430)</f>
        <v/>
      </c>
    </row>
    <row r="1421" spans="1:21">
      <c r="A1421" s="25" t="str">
        <f>IF('PART III-DEMOGRAPHICS'!A1431="","",'PART III-DEMOGRAPHICS'!A1431)</f>
        <v/>
      </c>
      <c r="B1421" s="28"/>
      <c r="C1421" s="27"/>
      <c r="D1421" s="28"/>
      <c r="E1421" s="21"/>
      <c r="F1421" s="36" t="str">
        <f t="shared" si="46"/>
        <v>Did Not</v>
      </c>
      <c r="G1421" s="28"/>
      <c r="H1421" s="28"/>
      <c r="I1421" s="28"/>
      <c r="J1421" s="28"/>
      <c r="K1421" s="28"/>
      <c r="L1421" s="28"/>
      <c r="M1421" s="28"/>
      <c r="N1421" s="21"/>
      <c r="O1421" s="28"/>
      <c r="P1421" s="38"/>
      <c r="Q1421" s="21"/>
      <c r="R1421" s="21"/>
      <c r="S1421" s="47"/>
      <c r="T1421" s="25">
        <f t="shared" si="47"/>
        <v>0</v>
      </c>
      <c r="U1421" s="25" t="str">
        <f>IF('PART III-DEMOGRAPHICS'!Q1431="","",'PART III-DEMOGRAPHICS'!Q1431)</f>
        <v/>
      </c>
    </row>
    <row r="1422" spans="1:21">
      <c r="A1422" s="25" t="str">
        <f>IF('PART III-DEMOGRAPHICS'!A1432="","",'PART III-DEMOGRAPHICS'!A1432)</f>
        <v/>
      </c>
      <c r="B1422" s="28"/>
      <c r="C1422" s="27"/>
      <c r="D1422" s="28"/>
      <c r="E1422" s="21"/>
      <c r="F1422" s="36" t="str">
        <f t="shared" ref="F1422:F1485" si="48">IF(OR(G1422="Yes",H1422="Yes",I1422="Yes",J1422="Yes",K1422="Yes",L1422="Yes",M1422="Yes"),"Did","Did Not")</f>
        <v>Did Not</v>
      </c>
      <c r="G1422" s="28"/>
      <c r="H1422" s="28"/>
      <c r="I1422" s="28"/>
      <c r="J1422" s="28"/>
      <c r="K1422" s="28"/>
      <c r="L1422" s="28"/>
      <c r="M1422" s="28"/>
      <c r="N1422" s="21"/>
      <c r="O1422" s="28"/>
      <c r="P1422" s="38"/>
      <c r="Q1422" s="21"/>
      <c r="R1422" s="21"/>
      <c r="S1422" s="47"/>
      <c r="T1422" s="25">
        <f t="shared" si="47"/>
        <v>0</v>
      </c>
      <c r="U1422" s="25" t="str">
        <f>IF('PART III-DEMOGRAPHICS'!Q1432="","",'PART III-DEMOGRAPHICS'!Q1432)</f>
        <v/>
      </c>
    </row>
    <row r="1423" spans="1:21">
      <c r="A1423" s="25" t="str">
        <f>IF('PART III-DEMOGRAPHICS'!A1433="","",'PART III-DEMOGRAPHICS'!A1433)</f>
        <v/>
      </c>
      <c r="B1423" s="28"/>
      <c r="C1423" s="27"/>
      <c r="D1423" s="28"/>
      <c r="E1423" s="21"/>
      <c r="F1423" s="36" t="str">
        <f t="shared" si="48"/>
        <v>Did Not</v>
      </c>
      <c r="G1423" s="28"/>
      <c r="H1423" s="28"/>
      <c r="I1423" s="28"/>
      <c r="J1423" s="28"/>
      <c r="K1423" s="28"/>
      <c r="L1423" s="28"/>
      <c r="M1423" s="28"/>
      <c r="N1423" s="21"/>
      <c r="O1423" s="28"/>
      <c r="P1423" s="38"/>
      <c r="Q1423" s="21"/>
      <c r="R1423" s="21"/>
      <c r="S1423" s="47"/>
      <c r="T1423" s="25">
        <f t="shared" si="47"/>
        <v>0</v>
      </c>
      <c r="U1423" s="25" t="str">
        <f>IF('PART III-DEMOGRAPHICS'!Q1433="","",'PART III-DEMOGRAPHICS'!Q1433)</f>
        <v/>
      </c>
    </row>
    <row r="1424" spans="1:21">
      <c r="A1424" s="25" t="str">
        <f>IF('PART III-DEMOGRAPHICS'!A1434="","",'PART III-DEMOGRAPHICS'!A1434)</f>
        <v/>
      </c>
      <c r="B1424" s="28"/>
      <c r="C1424" s="27"/>
      <c r="D1424" s="28"/>
      <c r="E1424" s="21"/>
      <c r="F1424" s="36" t="str">
        <f t="shared" si="48"/>
        <v>Did Not</v>
      </c>
      <c r="G1424" s="28"/>
      <c r="H1424" s="28"/>
      <c r="I1424" s="28"/>
      <c r="J1424" s="28"/>
      <c r="K1424" s="28"/>
      <c r="L1424" s="28"/>
      <c r="M1424" s="28"/>
      <c r="N1424" s="21"/>
      <c r="O1424" s="28"/>
      <c r="P1424" s="38"/>
      <c r="Q1424" s="21"/>
      <c r="R1424" s="21"/>
      <c r="S1424" s="47"/>
      <c r="T1424" s="25">
        <f t="shared" si="47"/>
        <v>0</v>
      </c>
      <c r="U1424" s="25" t="str">
        <f>IF('PART III-DEMOGRAPHICS'!Q1434="","",'PART III-DEMOGRAPHICS'!Q1434)</f>
        <v/>
      </c>
    </row>
    <row r="1425" spans="1:21">
      <c r="A1425" s="25" t="str">
        <f>IF('PART III-DEMOGRAPHICS'!A1435="","",'PART III-DEMOGRAPHICS'!A1435)</f>
        <v/>
      </c>
      <c r="B1425" s="28"/>
      <c r="C1425" s="27"/>
      <c r="D1425" s="28"/>
      <c r="E1425" s="21"/>
      <c r="F1425" s="36" t="str">
        <f t="shared" si="48"/>
        <v>Did Not</v>
      </c>
      <c r="G1425" s="28"/>
      <c r="H1425" s="28"/>
      <c r="I1425" s="28"/>
      <c r="J1425" s="28"/>
      <c r="K1425" s="28"/>
      <c r="L1425" s="28"/>
      <c r="M1425" s="28"/>
      <c r="N1425" s="21"/>
      <c r="O1425" s="28"/>
      <c r="P1425" s="38"/>
      <c r="Q1425" s="21"/>
      <c r="R1425" s="21"/>
      <c r="S1425" s="47"/>
      <c r="T1425" s="25">
        <f t="shared" si="47"/>
        <v>0</v>
      </c>
      <c r="U1425" s="25" t="str">
        <f>IF('PART III-DEMOGRAPHICS'!Q1435="","",'PART III-DEMOGRAPHICS'!Q1435)</f>
        <v/>
      </c>
    </row>
    <row r="1426" spans="1:21">
      <c r="A1426" s="25" t="str">
        <f>IF('PART III-DEMOGRAPHICS'!A1436="","",'PART III-DEMOGRAPHICS'!A1436)</f>
        <v/>
      </c>
      <c r="B1426" s="28"/>
      <c r="C1426" s="27"/>
      <c r="D1426" s="28"/>
      <c r="E1426" s="21"/>
      <c r="F1426" s="36" t="str">
        <f t="shared" si="48"/>
        <v>Did Not</v>
      </c>
      <c r="G1426" s="28"/>
      <c r="H1426" s="28"/>
      <c r="I1426" s="28"/>
      <c r="J1426" s="28"/>
      <c r="K1426" s="28"/>
      <c r="L1426" s="28"/>
      <c r="M1426" s="28"/>
      <c r="N1426" s="21"/>
      <c r="O1426" s="28"/>
      <c r="P1426" s="38"/>
      <c r="Q1426" s="21"/>
      <c r="R1426" s="21"/>
      <c r="S1426" s="47"/>
      <c r="T1426" s="25">
        <f t="shared" si="47"/>
        <v>0</v>
      </c>
      <c r="U1426" s="25" t="str">
        <f>IF('PART III-DEMOGRAPHICS'!Q1436="","",'PART III-DEMOGRAPHICS'!Q1436)</f>
        <v/>
      </c>
    </row>
    <row r="1427" spans="1:21">
      <c r="A1427" s="25" t="str">
        <f>IF('PART III-DEMOGRAPHICS'!A1437="","",'PART III-DEMOGRAPHICS'!A1437)</f>
        <v/>
      </c>
      <c r="B1427" s="28"/>
      <c r="C1427" s="27"/>
      <c r="D1427" s="28"/>
      <c r="E1427" s="21"/>
      <c r="F1427" s="36" t="str">
        <f t="shared" si="48"/>
        <v>Did Not</v>
      </c>
      <c r="G1427" s="28"/>
      <c r="H1427" s="28"/>
      <c r="I1427" s="28"/>
      <c r="J1427" s="28"/>
      <c r="K1427" s="28"/>
      <c r="L1427" s="28"/>
      <c r="M1427" s="28"/>
      <c r="N1427" s="21"/>
      <c r="O1427" s="28"/>
      <c r="P1427" s="38"/>
      <c r="Q1427" s="21"/>
      <c r="R1427" s="21"/>
      <c r="S1427" s="47"/>
      <c r="T1427" s="25">
        <f t="shared" si="47"/>
        <v>0</v>
      </c>
      <c r="U1427" s="25" t="str">
        <f>IF('PART III-DEMOGRAPHICS'!Q1437="","",'PART III-DEMOGRAPHICS'!Q1437)</f>
        <v/>
      </c>
    </row>
    <row r="1428" spans="1:21">
      <c r="A1428" s="25" t="str">
        <f>IF('PART III-DEMOGRAPHICS'!A1438="","",'PART III-DEMOGRAPHICS'!A1438)</f>
        <v/>
      </c>
      <c r="B1428" s="28"/>
      <c r="C1428" s="27"/>
      <c r="D1428" s="28"/>
      <c r="E1428" s="21"/>
      <c r="F1428" s="36" t="str">
        <f t="shared" si="48"/>
        <v>Did Not</v>
      </c>
      <c r="G1428" s="28"/>
      <c r="H1428" s="28"/>
      <c r="I1428" s="28"/>
      <c r="J1428" s="28"/>
      <c r="K1428" s="28"/>
      <c r="L1428" s="28"/>
      <c r="M1428" s="28"/>
      <c r="N1428" s="21"/>
      <c r="O1428" s="28"/>
      <c r="P1428" s="38"/>
      <c r="Q1428" s="21"/>
      <c r="R1428" s="21"/>
      <c r="S1428" s="47"/>
      <c r="T1428" s="25">
        <f t="shared" si="47"/>
        <v>0</v>
      </c>
      <c r="U1428" s="25" t="str">
        <f>IF('PART III-DEMOGRAPHICS'!Q1438="","",'PART III-DEMOGRAPHICS'!Q1438)</f>
        <v/>
      </c>
    </row>
    <row r="1429" spans="1:21">
      <c r="A1429" s="25" t="str">
        <f>IF('PART III-DEMOGRAPHICS'!A1439="","",'PART III-DEMOGRAPHICS'!A1439)</f>
        <v/>
      </c>
      <c r="B1429" s="28"/>
      <c r="C1429" s="27"/>
      <c r="D1429" s="28"/>
      <c r="E1429" s="21"/>
      <c r="F1429" s="36" t="str">
        <f t="shared" si="48"/>
        <v>Did Not</v>
      </c>
      <c r="G1429" s="28"/>
      <c r="H1429" s="28"/>
      <c r="I1429" s="28"/>
      <c r="J1429" s="28"/>
      <c r="K1429" s="28"/>
      <c r="L1429" s="28"/>
      <c r="M1429" s="28"/>
      <c r="N1429" s="21"/>
      <c r="O1429" s="28"/>
      <c r="P1429" s="38"/>
      <c r="Q1429" s="21"/>
      <c r="R1429" s="21"/>
      <c r="S1429" s="47"/>
      <c r="T1429" s="25">
        <f t="shared" si="47"/>
        <v>0</v>
      </c>
      <c r="U1429" s="25" t="str">
        <f>IF('PART III-DEMOGRAPHICS'!Q1439="","",'PART III-DEMOGRAPHICS'!Q1439)</f>
        <v/>
      </c>
    </row>
    <row r="1430" spans="1:21">
      <c r="A1430" s="25" t="str">
        <f>IF('PART III-DEMOGRAPHICS'!A1440="","",'PART III-DEMOGRAPHICS'!A1440)</f>
        <v/>
      </c>
      <c r="B1430" s="28"/>
      <c r="C1430" s="27"/>
      <c r="D1430" s="28"/>
      <c r="E1430" s="21"/>
      <c r="F1430" s="36" t="str">
        <f t="shared" si="48"/>
        <v>Did Not</v>
      </c>
      <c r="G1430" s="28"/>
      <c r="H1430" s="28"/>
      <c r="I1430" s="28"/>
      <c r="J1430" s="28"/>
      <c r="K1430" s="28"/>
      <c r="L1430" s="28"/>
      <c r="M1430" s="28"/>
      <c r="N1430" s="21"/>
      <c r="O1430" s="28"/>
      <c r="P1430" s="38"/>
      <c r="Q1430" s="21"/>
      <c r="R1430" s="21"/>
      <c r="S1430" s="47"/>
      <c r="T1430" s="25">
        <f t="shared" si="47"/>
        <v>0</v>
      </c>
      <c r="U1430" s="25" t="str">
        <f>IF('PART III-DEMOGRAPHICS'!Q1440="","",'PART III-DEMOGRAPHICS'!Q1440)</f>
        <v/>
      </c>
    </row>
    <row r="1431" spans="1:21">
      <c r="A1431" s="25" t="str">
        <f>IF('PART III-DEMOGRAPHICS'!A1441="","",'PART III-DEMOGRAPHICS'!A1441)</f>
        <v/>
      </c>
      <c r="B1431" s="28"/>
      <c r="C1431" s="27"/>
      <c r="D1431" s="28"/>
      <c r="E1431" s="21"/>
      <c r="F1431" s="36" t="str">
        <f t="shared" si="48"/>
        <v>Did Not</v>
      </c>
      <c r="G1431" s="28"/>
      <c r="H1431" s="28"/>
      <c r="I1431" s="28"/>
      <c r="J1431" s="28"/>
      <c r="K1431" s="28"/>
      <c r="L1431" s="28"/>
      <c r="M1431" s="28"/>
      <c r="N1431" s="21"/>
      <c r="O1431" s="28"/>
      <c r="P1431" s="38"/>
      <c r="Q1431" s="21"/>
      <c r="R1431" s="21"/>
      <c r="S1431" s="47"/>
      <c r="T1431" s="25">
        <f t="shared" si="47"/>
        <v>0</v>
      </c>
      <c r="U1431" s="25" t="str">
        <f>IF('PART III-DEMOGRAPHICS'!Q1441="","",'PART III-DEMOGRAPHICS'!Q1441)</f>
        <v/>
      </c>
    </row>
    <row r="1432" spans="1:21">
      <c r="A1432" s="25" t="str">
        <f>IF('PART III-DEMOGRAPHICS'!A1442="","",'PART III-DEMOGRAPHICS'!A1442)</f>
        <v/>
      </c>
      <c r="B1432" s="28"/>
      <c r="C1432" s="27"/>
      <c r="D1432" s="28"/>
      <c r="E1432" s="21"/>
      <c r="F1432" s="36" t="str">
        <f t="shared" si="48"/>
        <v>Did Not</v>
      </c>
      <c r="G1432" s="28"/>
      <c r="H1432" s="28"/>
      <c r="I1432" s="28"/>
      <c r="J1432" s="28"/>
      <c r="K1432" s="28"/>
      <c r="L1432" s="28"/>
      <c r="M1432" s="28"/>
      <c r="N1432" s="21"/>
      <c r="O1432" s="28"/>
      <c r="P1432" s="38"/>
      <c r="Q1432" s="21"/>
      <c r="R1432" s="21"/>
      <c r="S1432" s="47"/>
      <c r="T1432" s="25">
        <f t="shared" si="47"/>
        <v>0</v>
      </c>
      <c r="U1432" s="25" t="str">
        <f>IF('PART III-DEMOGRAPHICS'!Q1442="","",'PART III-DEMOGRAPHICS'!Q1442)</f>
        <v/>
      </c>
    </row>
    <row r="1433" spans="1:21">
      <c r="A1433" s="25" t="str">
        <f>IF('PART III-DEMOGRAPHICS'!A1443="","",'PART III-DEMOGRAPHICS'!A1443)</f>
        <v/>
      </c>
      <c r="B1433" s="28"/>
      <c r="C1433" s="27"/>
      <c r="D1433" s="28"/>
      <c r="E1433" s="21"/>
      <c r="F1433" s="36" t="str">
        <f t="shared" si="48"/>
        <v>Did Not</v>
      </c>
      <c r="G1433" s="28"/>
      <c r="H1433" s="28"/>
      <c r="I1433" s="28"/>
      <c r="J1433" s="28"/>
      <c r="K1433" s="28"/>
      <c r="L1433" s="28"/>
      <c r="M1433" s="28"/>
      <c r="N1433" s="21"/>
      <c r="O1433" s="28"/>
      <c r="P1433" s="38"/>
      <c r="Q1433" s="21"/>
      <c r="R1433" s="21"/>
      <c r="S1433" s="47"/>
      <c r="T1433" s="25">
        <f t="shared" si="47"/>
        <v>0</v>
      </c>
      <c r="U1433" s="25" t="str">
        <f>IF('PART III-DEMOGRAPHICS'!Q1443="","",'PART III-DEMOGRAPHICS'!Q1443)</f>
        <v/>
      </c>
    </row>
    <row r="1434" spans="1:21">
      <c r="A1434" s="25" t="str">
        <f>IF('PART III-DEMOGRAPHICS'!A1444="","",'PART III-DEMOGRAPHICS'!A1444)</f>
        <v/>
      </c>
      <c r="B1434" s="28"/>
      <c r="C1434" s="27"/>
      <c r="D1434" s="28"/>
      <c r="E1434" s="21"/>
      <c r="F1434" s="36" t="str">
        <f t="shared" si="48"/>
        <v>Did Not</v>
      </c>
      <c r="G1434" s="28"/>
      <c r="H1434" s="28"/>
      <c r="I1434" s="28"/>
      <c r="J1434" s="28"/>
      <c r="K1434" s="28"/>
      <c r="L1434" s="28"/>
      <c r="M1434" s="28"/>
      <c r="N1434" s="21"/>
      <c r="O1434" s="28"/>
      <c r="P1434" s="38"/>
      <c r="Q1434" s="21"/>
      <c r="R1434" s="21"/>
      <c r="S1434" s="47"/>
      <c r="T1434" s="25">
        <f t="shared" si="47"/>
        <v>0</v>
      </c>
      <c r="U1434" s="25" t="str">
        <f>IF('PART III-DEMOGRAPHICS'!Q1444="","",'PART III-DEMOGRAPHICS'!Q1444)</f>
        <v/>
      </c>
    </row>
    <row r="1435" spans="1:21">
      <c r="A1435" s="25" t="str">
        <f>IF('PART III-DEMOGRAPHICS'!A1445="","",'PART III-DEMOGRAPHICS'!A1445)</f>
        <v/>
      </c>
      <c r="B1435" s="28"/>
      <c r="C1435" s="27"/>
      <c r="D1435" s="28"/>
      <c r="E1435" s="21"/>
      <c r="F1435" s="36" t="str">
        <f t="shared" si="48"/>
        <v>Did Not</v>
      </c>
      <c r="G1435" s="28"/>
      <c r="H1435" s="28"/>
      <c r="I1435" s="28"/>
      <c r="J1435" s="28"/>
      <c r="K1435" s="28"/>
      <c r="L1435" s="28"/>
      <c r="M1435" s="28"/>
      <c r="N1435" s="21"/>
      <c r="O1435" s="28"/>
      <c r="P1435" s="38"/>
      <c r="Q1435" s="21"/>
      <c r="R1435" s="21"/>
      <c r="S1435" s="47"/>
      <c r="T1435" s="25">
        <f t="shared" si="47"/>
        <v>0</v>
      </c>
      <c r="U1435" s="25" t="str">
        <f>IF('PART III-DEMOGRAPHICS'!Q1445="","",'PART III-DEMOGRAPHICS'!Q1445)</f>
        <v/>
      </c>
    </row>
    <row r="1436" spans="1:21">
      <c r="A1436" s="25" t="str">
        <f>IF('PART III-DEMOGRAPHICS'!A1446="","",'PART III-DEMOGRAPHICS'!A1446)</f>
        <v/>
      </c>
      <c r="B1436" s="28"/>
      <c r="C1436" s="27"/>
      <c r="D1436" s="28"/>
      <c r="E1436" s="21"/>
      <c r="F1436" s="36" t="str">
        <f t="shared" si="48"/>
        <v>Did Not</v>
      </c>
      <c r="G1436" s="28"/>
      <c r="H1436" s="28"/>
      <c r="I1436" s="28"/>
      <c r="J1436" s="28"/>
      <c r="K1436" s="28"/>
      <c r="L1436" s="28"/>
      <c r="M1436" s="28"/>
      <c r="N1436" s="21"/>
      <c r="O1436" s="28"/>
      <c r="P1436" s="38"/>
      <c r="Q1436" s="21"/>
      <c r="R1436" s="21"/>
      <c r="S1436" s="47"/>
      <c r="T1436" s="25">
        <f t="shared" si="47"/>
        <v>0</v>
      </c>
      <c r="U1436" s="25" t="str">
        <f>IF('PART III-DEMOGRAPHICS'!Q1446="","",'PART III-DEMOGRAPHICS'!Q1446)</f>
        <v/>
      </c>
    </row>
    <row r="1437" spans="1:21">
      <c r="A1437" s="25" t="str">
        <f>IF('PART III-DEMOGRAPHICS'!A1447="","",'PART III-DEMOGRAPHICS'!A1447)</f>
        <v/>
      </c>
      <c r="B1437" s="28"/>
      <c r="C1437" s="27"/>
      <c r="D1437" s="28"/>
      <c r="E1437" s="21"/>
      <c r="F1437" s="36" t="str">
        <f t="shared" si="48"/>
        <v>Did Not</v>
      </c>
      <c r="G1437" s="28"/>
      <c r="H1437" s="28"/>
      <c r="I1437" s="28"/>
      <c r="J1437" s="28"/>
      <c r="K1437" s="28"/>
      <c r="L1437" s="28"/>
      <c r="M1437" s="28"/>
      <c r="N1437" s="21"/>
      <c r="O1437" s="28"/>
      <c r="P1437" s="38"/>
      <c r="Q1437" s="21"/>
      <c r="R1437" s="21"/>
      <c r="S1437" s="47"/>
      <c r="T1437" s="25">
        <f t="shared" si="47"/>
        <v>0</v>
      </c>
      <c r="U1437" s="25" t="str">
        <f>IF('PART III-DEMOGRAPHICS'!Q1447="","",'PART III-DEMOGRAPHICS'!Q1447)</f>
        <v/>
      </c>
    </row>
    <row r="1438" spans="1:21">
      <c r="A1438" s="25" t="str">
        <f>IF('PART III-DEMOGRAPHICS'!A1448="","",'PART III-DEMOGRAPHICS'!A1448)</f>
        <v/>
      </c>
      <c r="B1438" s="28"/>
      <c r="C1438" s="27"/>
      <c r="D1438" s="28"/>
      <c r="E1438" s="21"/>
      <c r="F1438" s="36" t="str">
        <f t="shared" si="48"/>
        <v>Did Not</v>
      </c>
      <c r="G1438" s="28"/>
      <c r="H1438" s="28"/>
      <c r="I1438" s="28"/>
      <c r="J1438" s="28"/>
      <c r="K1438" s="28"/>
      <c r="L1438" s="28"/>
      <c r="M1438" s="28"/>
      <c r="N1438" s="21"/>
      <c r="O1438" s="28"/>
      <c r="P1438" s="38"/>
      <c r="Q1438" s="21"/>
      <c r="R1438" s="21"/>
      <c r="S1438" s="47"/>
      <c r="T1438" s="25">
        <f t="shared" si="47"/>
        <v>0</v>
      </c>
      <c r="U1438" s="25" t="str">
        <f>IF('PART III-DEMOGRAPHICS'!Q1448="","",'PART III-DEMOGRAPHICS'!Q1448)</f>
        <v/>
      </c>
    </row>
    <row r="1439" spans="1:21">
      <c r="A1439" s="25" t="str">
        <f>IF('PART III-DEMOGRAPHICS'!A1449="","",'PART III-DEMOGRAPHICS'!A1449)</f>
        <v/>
      </c>
      <c r="B1439" s="28"/>
      <c r="C1439" s="27"/>
      <c r="D1439" s="28"/>
      <c r="E1439" s="21"/>
      <c r="F1439" s="36" t="str">
        <f t="shared" si="48"/>
        <v>Did Not</v>
      </c>
      <c r="G1439" s="28"/>
      <c r="H1439" s="28"/>
      <c r="I1439" s="28"/>
      <c r="J1439" s="28"/>
      <c r="K1439" s="28"/>
      <c r="L1439" s="28"/>
      <c r="M1439" s="28"/>
      <c r="N1439" s="21"/>
      <c r="O1439" s="28"/>
      <c r="P1439" s="38"/>
      <c r="Q1439" s="21"/>
      <c r="R1439" s="21"/>
      <c r="S1439" s="47"/>
      <c r="T1439" s="25">
        <f t="shared" si="47"/>
        <v>0</v>
      </c>
      <c r="U1439" s="25" t="str">
        <f>IF('PART III-DEMOGRAPHICS'!Q1449="","",'PART III-DEMOGRAPHICS'!Q1449)</f>
        <v/>
      </c>
    </row>
    <row r="1440" spans="1:21">
      <c r="A1440" s="25" t="str">
        <f>IF('PART III-DEMOGRAPHICS'!A1450="","",'PART III-DEMOGRAPHICS'!A1450)</f>
        <v/>
      </c>
      <c r="B1440" s="28"/>
      <c r="C1440" s="27"/>
      <c r="D1440" s="28"/>
      <c r="E1440" s="21"/>
      <c r="F1440" s="36" t="str">
        <f t="shared" si="48"/>
        <v>Did Not</v>
      </c>
      <c r="G1440" s="28"/>
      <c r="H1440" s="28"/>
      <c r="I1440" s="28"/>
      <c r="J1440" s="28"/>
      <c r="K1440" s="28"/>
      <c r="L1440" s="28"/>
      <c r="M1440" s="28"/>
      <c r="N1440" s="21"/>
      <c r="O1440" s="28"/>
      <c r="P1440" s="38"/>
      <c r="Q1440" s="21"/>
      <c r="R1440" s="21"/>
      <c r="S1440" s="47"/>
      <c r="T1440" s="25">
        <f t="shared" si="47"/>
        <v>0</v>
      </c>
      <c r="U1440" s="25" t="str">
        <f>IF('PART III-DEMOGRAPHICS'!Q1450="","",'PART III-DEMOGRAPHICS'!Q1450)</f>
        <v/>
      </c>
    </row>
    <row r="1441" spans="1:21">
      <c r="A1441" s="25" t="str">
        <f>IF('PART III-DEMOGRAPHICS'!A1451="","",'PART III-DEMOGRAPHICS'!A1451)</f>
        <v/>
      </c>
      <c r="B1441" s="28"/>
      <c r="C1441" s="27"/>
      <c r="D1441" s="28"/>
      <c r="E1441" s="21"/>
      <c r="F1441" s="36" t="str">
        <f t="shared" si="48"/>
        <v>Did Not</v>
      </c>
      <c r="G1441" s="28"/>
      <c r="H1441" s="28"/>
      <c r="I1441" s="28"/>
      <c r="J1441" s="28"/>
      <c r="K1441" s="28"/>
      <c r="L1441" s="28"/>
      <c r="M1441" s="28"/>
      <c r="N1441" s="21"/>
      <c r="O1441" s="28"/>
      <c r="P1441" s="38"/>
      <c r="Q1441" s="21"/>
      <c r="R1441" s="21"/>
      <c r="S1441" s="47"/>
      <c r="T1441" s="25">
        <f t="shared" si="47"/>
        <v>0</v>
      </c>
      <c r="U1441" s="25" t="str">
        <f>IF('PART III-DEMOGRAPHICS'!Q1451="","",'PART III-DEMOGRAPHICS'!Q1451)</f>
        <v/>
      </c>
    </row>
    <row r="1442" spans="1:21">
      <c r="A1442" s="25" t="str">
        <f>IF('PART III-DEMOGRAPHICS'!A1452="","",'PART III-DEMOGRAPHICS'!A1452)</f>
        <v/>
      </c>
      <c r="B1442" s="28"/>
      <c r="C1442" s="27"/>
      <c r="D1442" s="28"/>
      <c r="E1442" s="21"/>
      <c r="F1442" s="36" t="str">
        <f t="shared" si="48"/>
        <v>Did Not</v>
      </c>
      <c r="G1442" s="28"/>
      <c r="H1442" s="28"/>
      <c r="I1442" s="28"/>
      <c r="J1442" s="28"/>
      <c r="K1442" s="28"/>
      <c r="L1442" s="28"/>
      <c r="M1442" s="28"/>
      <c r="N1442" s="21"/>
      <c r="O1442" s="28"/>
      <c r="P1442" s="38"/>
      <c r="Q1442" s="21"/>
      <c r="R1442" s="21"/>
      <c r="S1442" s="47"/>
      <c r="T1442" s="25">
        <f t="shared" si="47"/>
        <v>0</v>
      </c>
      <c r="U1442" s="25" t="str">
        <f>IF('PART III-DEMOGRAPHICS'!Q1452="","",'PART III-DEMOGRAPHICS'!Q1452)</f>
        <v/>
      </c>
    </row>
    <row r="1443" spans="1:21">
      <c r="A1443" s="25" t="str">
        <f>IF('PART III-DEMOGRAPHICS'!A1453="","",'PART III-DEMOGRAPHICS'!A1453)</f>
        <v/>
      </c>
      <c r="B1443" s="28"/>
      <c r="C1443" s="27"/>
      <c r="D1443" s="28"/>
      <c r="E1443" s="21"/>
      <c r="F1443" s="36" t="str">
        <f t="shared" si="48"/>
        <v>Did Not</v>
      </c>
      <c r="G1443" s="28"/>
      <c r="H1443" s="28"/>
      <c r="I1443" s="28"/>
      <c r="J1443" s="28"/>
      <c r="K1443" s="28"/>
      <c r="L1443" s="28"/>
      <c r="M1443" s="28"/>
      <c r="N1443" s="21"/>
      <c r="O1443" s="28"/>
      <c r="P1443" s="38"/>
      <c r="Q1443" s="21"/>
      <c r="R1443" s="21"/>
      <c r="S1443" s="47"/>
      <c r="T1443" s="25">
        <f t="shared" si="47"/>
        <v>0</v>
      </c>
      <c r="U1443" s="25" t="str">
        <f>IF('PART III-DEMOGRAPHICS'!Q1453="","",'PART III-DEMOGRAPHICS'!Q1453)</f>
        <v/>
      </c>
    </row>
    <row r="1444" spans="1:21">
      <c r="A1444" s="25" t="str">
        <f>IF('PART III-DEMOGRAPHICS'!A1454="","",'PART III-DEMOGRAPHICS'!A1454)</f>
        <v/>
      </c>
      <c r="B1444" s="28"/>
      <c r="C1444" s="27"/>
      <c r="D1444" s="28"/>
      <c r="E1444" s="21"/>
      <c r="F1444" s="36" t="str">
        <f t="shared" si="48"/>
        <v>Did Not</v>
      </c>
      <c r="G1444" s="28"/>
      <c r="H1444" s="28"/>
      <c r="I1444" s="28"/>
      <c r="J1444" s="28"/>
      <c r="K1444" s="28"/>
      <c r="L1444" s="28"/>
      <c r="M1444" s="28"/>
      <c r="N1444" s="21"/>
      <c r="O1444" s="28"/>
      <c r="P1444" s="38"/>
      <c r="Q1444" s="21"/>
      <c r="R1444" s="21"/>
      <c r="S1444" s="47"/>
      <c r="T1444" s="25">
        <f t="shared" si="47"/>
        <v>0</v>
      </c>
      <c r="U1444" s="25" t="str">
        <f>IF('PART III-DEMOGRAPHICS'!Q1454="","",'PART III-DEMOGRAPHICS'!Q1454)</f>
        <v/>
      </c>
    </row>
    <row r="1445" spans="1:21">
      <c r="A1445" s="25" t="str">
        <f>IF('PART III-DEMOGRAPHICS'!A1455="","",'PART III-DEMOGRAPHICS'!A1455)</f>
        <v/>
      </c>
      <c r="B1445" s="28"/>
      <c r="C1445" s="27"/>
      <c r="D1445" s="28"/>
      <c r="E1445" s="21"/>
      <c r="F1445" s="36" t="str">
        <f t="shared" si="48"/>
        <v>Did Not</v>
      </c>
      <c r="G1445" s="28"/>
      <c r="H1445" s="28"/>
      <c r="I1445" s="28"/>
      <c r="J1445" s="28"/>
      <c r="K1445" s="28"/>
      <c r="L1445" s="28"/>
      <c r="M1445" s="28"/>
      <c r="N1445" s="21"/>
      <c r="O1445" s="28"/>
      <c r="P1445" s="38"/>
      <c r="Q1445" s="21"/>
      <c r="R1445" s="21"/>
      <c r="S1445" s="47"/>
      <c r="T1445" s="25">
        <f t="shared" si="47"/>
        <v>0</v>
      </c>
      <c r="U1445" s="25" t="str">
        <f>IF('PART III-DEMOGRAPHICS'!Q1455="","",'PART III-DEMOGRAPHICS'!Q1455)</f>
        <v/>
      </c>
    </row>
    <row r="1446" spans="1:21">
      <c r="A1446" s="25" t="str">
        <f>IF('PART III-DEMOGRAPHICS'!A1456="","",'PART III-DEMOGRAPHICS'!A1456)</f>
        <v/>
      </c>
      <c r="B1446" s="28"/>
      <c r="C1446" s="27"/>
      <c r="D1446" s="28"/>
      <c r="E1446" s="21"/>
      <c r="F1446" s="36" t="str">
        <f t="shared" si="48"/>
        <v>Did Not</v>
      </c>
      <c r="G1446" s="28"/>
      <c r="H1446" s="28"/>
      <c r="I1446" s="28"/>
      <c r="J1446" s="28"/>
      <c r="K1446" s="28"/>
      <c r="L1446" s="28"/>
      <c r="M1446" s="28"/>
      <c r="N1446" s="21"/>
      <c r="O1446" s="28"/>
      <c r="P1446" s="38"/>
      <c r="Q1446" s="21"/>
      <c r="R1446" s="21"/>
      <c r="S1446" s="47"/>
      <c r="T1446" s="25">
        <f t="shared" si="47"/>
        <v>0</v>
      </c>
      <c r="U1446" s="25" t="str">
        <f>IF('PART III-DEMOGRAPHICS'!Q1456="","",'PART III-DEMOGRAPHICS'!Q1456)</f>
        <v/>
      </c>
    </row>
    <row r="1447" spans="1:21">
      <c r="A1447" s="25" t="str">
        <f>IF('PART III-DEMOGRAPHICS'!A1457="","",'PART III-DEMOGRAPHICS'!A1457)</f>
        <v/>
      </c>
      <c r="B1447" s="28"/>
      <c r="C1447" s="27"/>
      <c r="D1447" s="28"/>
      <c r="E1447" s="21"/>
      <c r="F1447" s="36" t="str">
        <f t="shared" si="48"/>
        <v>Did Not</v>
      </c>
      <c r="G1447" s="28"/>
      <c r="H1447" s="28"/>
      <c r="I1447" s="28"/>
      <c r="J1447" s="28"/>
      <c r="K1447" s="28"/>
      <c r="L1447" s="28"/>
      <c r="M1447" s="28"/>
      <c r="N1447" s="21"/>
      <c r="O1447" s="28"/>
      <c r="P1447" s="38"/>
      <c r="Q1447" s="21"/>
      <c r="R1447" s="21"/>
      <c r="S1447" s="47"/>
      <c r="T1447" s="25">
        <f t="shared" si="47"/>
        <v>0</v>
      </c>
      <c r="U1447" s="25" t="str">
        <f>IF('PART III-DEMOGRAPHICS'!Q1457="","",'PART III-DEMOGRAPHICS'!Q1457)</f>
        <v/>
      </c>
    </row>
    <row r="1448" spans="1:21">
      <c r="A1448" s="25" t="str">
        <f>IF('PART III-DEMOGRAPHICS'!A1458="","",'PART III-DEMOGRAPHICS'!A1458)</f>
        <v/>
      </c>
      <c r="B1448" s="28"/>
      <c r="C1448" s="27"/>
      <c r="D1448" s="28"/>
      <c r="E1448" s="21"/>
      <c r="F1448" s="36" t="str">
        <f t="shared" si="48"/>
        <v>Did Not</v>
      </c>
      <c r="G1448" s="28"/>
      <c r="H1448" s="28"/>
      <c r="I1448" s="28"/>
      <c r="J1448" s="28"/>
      <c r="K1448" s="28"/>
      <c r="L1448" s="28"/>
      <c r="M1448" s="28"/>
      <c r="N1448" s="21"/>
      <c r="O1448" s="28"/>
      <c r="P1448" s="38"/>
      <c r="Q1448" s="21"/>
      <c r="R1448" s="21"/>
      <c r="S1448" s="47"/>
      <c r="T1448" s="25">
        <f t="shared" si="47"/>
        <v>0</v>
      </c>
      <c r="U1448" s="25" t="str">
        <f>IF('PART III-DEMOGRAPHICS'!Q1458="","",'PART III-DEMOGRAPHICS'!Q1458)</f>
        <v/>
      </c>
    </row>
    <row r="1449" spans="1:21">
      <c r="A1449" s="25" t="str">
        <f>IF('PART III-DEMOGRAPHICS'!A1459="","",'PART III-DEMOGRAPHICS'!A1459)</f>
        <v/>
      </c>
      <c r="B1449" s="28"/>
      <c r="C1449" s="27"/>
      <c r="D1449" s="28"/>
      <c r="E1449" s="21"/>
      <c r="F1449" s="36" t="str">
        <f t="shared" si="48"/>
        <v>Did Not</v>
      </c>
      <c r="G1449" s="28"/>
      <c r="H1449" s="28"/>
      <c r="I1449" s="28"/>
      <c r="J1449" s="28"/>
      <c r="K1449" s="28"/>
      <c r="L1449" s="28"/>
      <c r="M1449" s="28"/>
      <c r="N1449" s="21"/>
      <c r="O1449" s="28"/>
      <c r="P1449" s="38"/>
      <c r="Q1449" s="21"/>
      <c r="R1449" s="21"/>
      <c r="S1449" s="47"/>
      <c r="T1449" s="25">
        <f t="shared" si="47"/>
        <v>0</v>
      </c>
      <c r="U1449" s="25" t="str">
        <f>IF('PART III-DEMOGRAPHICS'!Q1459="","",'PART III-DEMOGRAPHICS'!Q1459)</f>
        <v/>
      </c>
    </row>
    <row r="1450" spans="1:21">
      <c r="A1450" s="25" t="str">
        <f>IF('PART III-DEMOGRAPHICS'!A1460="","",'PART III-DEMOGRAPHICS'!A1460)</f>
        <v/>
      </c>
      <c r="B1450" s="28"/>
      <c r="C1450" s="27"/>
      <c r="D1450" s="28"/>
      <c r="E1450" s="21"/>
      <c r="F1450" s="36" t="str">
        <f t="shared" si="48"/>
        <v>Did Not</v>
      </c>
      <c r="G1450" s="28"/>
      <c r="H1450" s="28"/>
      <c r="I1450" s="28"/>
      <c r="J1450" s="28"/>
      <c r="K1450" s="28"/>
      <c r="L1450" s="28"/>
      <c r="M1450" s="28"/>
      <c r="N1450" s="21"/>
      <c r="O1450" s="28"/>
      <c r="P1450" s="38"/>
      <c r="Q1450" s="21"/>
      <c r="R1450" s="21"/>
      <c r="S1450" s="47"/>
      <c r="T1450" s="25">
        <f t="shared" si="47"/>
        <v>0</v>
      </c>
      <c r="U1450" s="25" t="str">
        <f>IF('PART III-DEMOGRAPHICS'!Q1460="","",'PART III-DEMOGRAPHICS'!Q1460)</f>
        <v/>
      </c>
    </row>
    <row r="1451" spans="1:21">
      <c r="A1451" s="25" t="str">
        <f>IF('PART III-DEMOGRAPHICS'!A1461="","",'PART III-DEMOGRAPHICS'!A1461)</f>
        <v/>
      </c>
      <c r="B1451" s="28"/>
      <c r="C1451" s="27"/>
      <c r="D1451" s="28"/>
      <c r="E1451" s="21"/>
      <c r="F1451" s="36" t="str">
        <f t="shared" si="48"/>
        <v>Did Not</v>
      </c>
      <c r="G1451" s="28"/>
      <c r="H1451" s="28"/>
      <c r="I1451" s="28"/>
      <c r="J1451" s="28"/>
      <c r="K1451" s="28"/>
      <c r="L1451" s="28"/>
      <c r="M1451" s="28"/>
      <c r="N1451" s="21"/>
      <c r="O1451" s="28"/>
      <c r="P1451" s="38"/>
      <c r="Q1451" s="21"/>
      <c r="R1451" s="21"/>
      <c r="S1451" s="47"/>
      <c r="T1451" s="25">
        <f t="shared" si="47"/>
        <v>0</v>
      </c>
      <c r="U1451" s="25" t="str">
        <f>IF('PART III-DEMOGRAPHICS'!Q1461="","",'PART III-DEMOGRAPHICS'!Q1461)</f>
        <v/>
      </c>
    </row>
    <row r="1452" spans="1:21">
      <c r="A1452" s="25" t="str">
        <f>IF('PART III-DEMOGRAPHICS'!A1462="","",'PART III-DEMOGRAPHICS'!A1462)</f>
        <v/>
      </c>
      <c r="B1452" s="28"/>
      <c r="C1452" s="27"/>
      <c r="D1452" s="28"/>
      <c r="E1452" s="21"/>
      <c r="F1452" s="36" t="str">
        <f t="shared" si="48"/>
        <v>Did Not</v>
      </c>
      <c r="G1452" s="28"/>
      <c r="H1452" s="28"/>
      <c r="I1452" s="28"/>
      <c r="J1452" s="28"/>
      <c r="K1452" s="28"/>
      <c r="L1452" s="28"/>
      <c r="M1452" s="28"/>
      <c r="N1452" s="21"/>
      <c r="O1452" s="28"/>
      <c r="P1452" s="38"/>
      <c r="Q1452" s="21"/>
      <c r="R1452" s="21"/>
      <c r="S1452" s="47"/>
      <c r="T1452" s="25">
        <f t="shared" si="47"/>
        <v>0</v>
      </c>
      <c r="U1452" s="25" t="str">
        <f>IF('PART III-DEMOGRAPHICS'!Q1462="","",'PART III-DEMOGRAPHICS'!Q1462)</f>
        <v/>
      </c>
    </row>
    <row r="1453" spans="1:21">
      <c r="A1453" s="25" t="str">
        <f>IF('PART III-DEMOGRAPHICS'!A1463="","",'PART III-DEMOGRAPHICS'!A1463)</f>
        <v/>
      </c>
      <c r="B1453" s="28"/>
      <c r="C1453" s="27"/>
      <c r="D1453" s="28"/>
      <c r="E1453" s="21"/>
      <c r="F1453" s="36" t="str">
        <f t="shared" si="48"/>
        <v>Did Not</v>
      </c>
      <c r="G1453" s="28"/>
      <c r="H1453" s="28"/>
      <c r="I1453" s="28"/>
      <c r="J1453" s="28"/>
      <c r="K1453" s="28"/>
      <c r="L1453" s="28"/>
      <c r="M1453" s="28"/>
      <c r="N1453" s="21"/>
      <c r="O1453" s="28"/>
      <c r="P1453" s="38"/>
      <c r="Q1453" s="21"/>
      <c r="R1453" s="21"/>
      <c r="S1453" s="47"/>
      <c r="T1453" s="25">
        <f t="shared" si="47"/>
        <v>0</v>
      </c>
      <c r="U1453" s="25" t="str">
        <f>IF('PART III-DEMOGRAPHICS'!Q1463="","",'PART III-DEMOGRAPHICS'!Q1463)</f>
        <v/>
      </c>
    </row>
    <row r="1454" spans="1:21">
      <c r="A1454" s="25" t="str">
        <f>IF('PART III-DEMOGRAPHICS'!A1464="","",'PART III-DEMOGRAPHICS'!A1464)</f>
        <v/>
      </c>
      <c r="B1454" s="28"/>
      <c r="C1454" s="27"/>
      <c r="D1454" s="28"/>
      <c r="E1454" s="21"/>
      <c r="F1454" s="36" t="str">
        <f t="shared" si="48"/>
        <v>Did Not</v>
      </c>
      <c r="G1454" s="28"/>
      <c r="H1454" s="28"/>
      <c r="I1454" s="28"/>
      <c r="J1454" s="28"/>
      <c r="K1454" s="28"/>
      <c r="L1454" s="28"/>
      <c r="M1454" s="28"/>
      <c r="N1454" s="21"/>
      <c r="O1454" s="28"/>
      <c r="P1454" s="38"/>
      <c r="Q1454" s="21"/>
      <c r="R1454" s="21"/>
      <c r="S1454" s="47"/>
      <c r="T1454" s="25">
        <f t="shared" si="47"/>
        <v>0</v>
      </c>
      <c r="U1454" s="25" t="str">
        <f>IF('PART III-DEMOGRAPHICS'!Q1464="","",'PART III-DEMOGRAPHICS'!Q1464)</f>
        <v/>
      </c>
    </row>
    <row r="1455" spans="1:21">
      <c r="A1455" s="25" t="str">
        <f>IF('PART III-DEMOGRAPHICS'!A1465="","",'PART III-DEMOGRAPHICS'!A1465)</f>
        <v/>
      </c>
      <c r="B1455" s="28"/>
      <c r="C1455" s="27"/>
      <c r="D1455" s="28"/>
      <c r="E1455" s="21"/>
      <c r="F1455" s="36" t="str">
        <f t="shared" si="48"/>
        <v>Did Not</v>
      </c>
      <c r="G1455" s="28"/>
      <c r="H1455" s="28"/>
      <c r="I1455" s="28"/>
      <c r="J1455" s="28"/>
      <c r="K1455" s="28"/>
      <c r="L1455" s="28"/>
      <c r="M1455" s="28"/>
      <c r="N1455" s="21"/>
      <c r="O1455" s="28"/>
      <c r="P1455" s="38"/>
      <c r="Q1455" s="21"/>
      <c r="R1455" s="21"/>
      <c r="S1455" s="47"/>
      <c r="T1455" s="25">
        <f t="shared" si="47"/>
        <v>0</v>
      </c>
      <c r="U1455" s="25" t="str">
        <f>IF('PART III-DEMOGRAPHICS'!Q1465="","",'PART III-DEMOGRAPHICS'!Q1465)</f>
        <v/>
      </c>
    </row>
    <row r="1456" spans="1:21">
      <c r="A1456" s="25" t="str">
        <f>IF('PART III-DEMOGRAPHICS'!A1466="","",'PART III-DEMOGRAPHICS'!A1466)</f>
        <v/>
      </c>
      <c r="B1456" s="28"/>
      <c r="C1456" s="27"/>
      <c r="D1456" s="28"/>
      <c r="E1456" s="21"/>
      <c r="F1456" s="36" t="str">
        <f t="shared" si="48"/>
        <v>Did Not</v>
      </c>
      <c r="G1456" s="28"/>
      <c r="H1456" s="28"/>
      <c r="I1456" s="28"/>
      <c r="J1456" s="28"/>
      <c r="K1456" s="28"/>
      <c r="L1456" s="28"/>
      <c r="M1456" s="28"/>
      <c r="N1456" s="21"/>
      <c r="O1456" s="28"/>
      <c r="P1456" s="38"/>
      <c r="Q1456" s="21"/>
      <c r="R1456" s="21"/>
      <c r="S1456" s="47"/>
      <c r="T1456" s="25">
        <f t="shared" si="47"/>
        <v>0</v>
      </c>
      <c r="U1456" s="25" t="str">
        <f>IF('PART III-DEMOGRAPHICS'!Q1466="","",'PART III-DEMOGRAPHICS'!Q1466)</f>
        <v/>
      </c>
    </row>
    <row r="1457" spans="1:21">
      <c r="A1457" s="25" t="str">
        <f>IF('PART III-DEMOGRAPHICS'!A1467="","",'PART III-DEMOGRAPHICS'!A1467)</f>
        <v/>
      </c>
      <c r="B1457" s="28"/>
      <c r="C1457" s="27"/>
      <c r="D1457" s="28"/>
      <c r="E1457" s="21"/>
      <c r="F1457" s="36" t="str">
        <f t="shared" si="48"/>
        <v>Did Not</v>
      </c>
      <c r="G1457" s="28"/>
      <c r="H1457" s="28"/>
      <c r="I1457" s="28"/>
      <c r="J1457" s="28"/>
      <c r="K1457" s="28"/>
      <c r="L1457" s="28"/>
      <c r="M1457" s="28"/>
      <c r="N1457" s="21"/>
      <c r="O1457" s="28"/>
      <c r="P1457" s="38"/>
      <c r="Q1457" s="21"/>
      <c r="R1457" s="21"/>
      <c r="S1457" s="47"/>
      <c r="T1457" s="25">
        <f t="shared" si="47"/>
        <v>0</v>
      </c>
      <c r="U1457" s="25" t="str">
        <f>IF('PART III-DEMOGRAPHICS'!Q1467="","",'PART III-DEMOGRAPHICS'!Q1467)</f>
        <v/>
      </c>
    </row>
    <row r="1458" spans="1:21">
      <c r="A1458" s="25" t="str">
        <f>IF('PART III-DEMOGRAPHICS'!A1468="","",'PART III-DEMOGRAPHICS'!A1468)</f>
        <v/>
      </c>
      <c r="B1458" s="28"/>
      <c r="C1458" s="27"/>
      <c r="D1458" s="28"/>
      <c r="E1458" s="21"/>
      <c r="F1458" s="36" t="str">
        <f t="shared" si="48"/>
        <v>Did Not</v>
      </c>
      <c r="G1458" s="28"/>
      <c r="H1458" s="28"/>
      <c r="I1458" s="28"/>
      <c r="J1458" s="28"/>
      <c r="K1458" s="28"/>
      <c r="L1458" s="28"/>
      <c r="M1458" s="28"/>
      <c r="N1458" s="21"/>
      <c r="O1458" s="28"/>
      <c r="P1458" s="38"/>
      <c r="Q1458" s="21"/>
      <c r="R1458" s="21"/>
      <c r="S1458" s="47"/>
      <c r="T1458" s="25">
        <f t="shared" si="47"/>
        <v>0</v>
      </c>
      <c r="U1458" s="25" t="str">
        <f>IF('PART III-DEMOGRAPHICS'!Q1468="","",'PART III-DEMOGRAPHICS'!Q1468)</f>
        <v/>
      </c>
    </row>
    <row r="1459" spans="1:21">
      <c r="A1459" s="25" t="str">
        <f>IF('PART III-DEMOGRAPHICS'!A1469="","",'PART III-DEMOGRAPHICS'!A1469)</f>
        <v/>
      </c>
      <c r="B1459" s="28"/>
      <c r="C1459" s="27"/>
      <c r="D1459" s="28"/>
      <c r="E1459" s="21"/>
      <c r="F1459" s="36" t="str">
        <f t="shared" si="48"/>
        <v>Did Not</v>
      </c>
      <c r="G1459" s="28"/>
      <c r="H1459" s="28"/>
      <c r="I1459" s="28"/>
      <c r="J1459" s="28"/>
      <c r="K1459" s="28"/>
      <c r="L1459" s="28"/>
      <c r="M1459" s="28"/>
      <c r="N1459" s="21"/>
      <c r="O1459" s="28"/>
      <c r="P1459" s="38"/>
      <c r="Q1459" s="21"/>
      <c r="R1459" s="21"/>
      <c r="S1459" s="47"/>
      <c r="T1459" s="25">
        <f t="shared" si="47"/>
        <v>0</v>
      </c>
      <c r="U1459" s="25" t="str">
        <f>IF('PART III-DEMOGRAPHICS'!Q1469="","",'PART III-DEMOGRAPHICS'!Q1469)</f>
        <v/>
      </c>
    </row>
    <row r="1460" spans="1:21">
      <c r="A1460" s="25" t="str">
        <f>IF('PART III-DEMOGRAPHICS'!A1470="","",'PART III-DEMOGRAPHICS'!A1470)</f>
        <v/>
      </c>
      <c r="B1460" s="28"/>
      <c r="C1460" s="27"/>
      <c r="D1460" s="28"/>
      <c r="E1460" s="21"/>
      <c r="F1460" s="36" t="str">
        <f t="shared" si="48"/>
        <v>Did Not</v>
      </c>
      <c r="G1460" s="28"/>
      <c r="H1460" s="28"/>
      <c r="I1460" s="28"/>
      <c r="J1460" s="28"/>
      <c r="K1460" s="28"/>
      <c r="L1460" s="28"/>
      <c r="M1460" s="28"/>
      <c r="N1460" s="21"/>
      <c r="O1460" s="28"/>
      <c r="P1460" s="38"/>
      <c r="Q1460" s="21"/>
      <c r="R1460" s="21"/>
      <c r="S1460" s="47"/>
      <c r="T1460" s="25">
        <f t="shared" si="47"/>
        <v>0</v>
      </c>
      <c r="U1460" s="25" t="str">
        <f>IF('PART III-DEMOGRAPHICS'!Q1470="","",'PART III-DEMOGRAPHICS'!Q1470)</f>
        <v/>
      </c>
    </row>
    <row r="1461" spans="1:21">
      <c r="A1461" s="25" t="str">
        <f>IF('PART III-DEMOGRAPHICS'!A1471="","",'PART III-DEMOGRAPHICS'!A1471)</f>
        <v/>
      </c>
      <c r="B1461" s="28"/>
      <c r="C1461" s="27"/>
      <c r="D1461" s="28"/>
      <c r="E1461" s="21"/>
      <c r="F1461" s="36" t="str">
        <f t="shared" si="48"/>
        <v>Did Not</v>
      </c>
      <c r="G1461" s="28"/>
      <c r="H1461" s="28"/>
      <c r="I1461" s="28"/>
      <c r="J1461" s="28"/>
      <c r="K1461" s="28"/>
      <c r="L1461" s="28"/>
      <c r="M1461" s="28"/>
      <c r="N1461" s="21"/>
      <c r="O1461" s="28"/>
      <c r="P1461" s="38"/>
      <c r="Q1461" s="21"/>
      <c r="R1461" s="21"/>
      <c r="S1461" s="47"/>
      <c r="T1461" s="25">
        <f t="shared" si="47"/>
        <v>0</v>
      </c>
      <c r="U1461" s="25" t="str">
        <f>IF('PART III-DEMOGRAPHICS'!Q1471="","",'PART III-DEMOGRAPHICS'!Q1471)</f>
        <v/>
      </c>
    </row>
    <row r="1462" spans="1:21">
      <c r="A1462" s="25" t="str">
        <f>IF('PART III-DEMOGRAPHICS'!A1472="","",'PART III-DEMOGRAPHICS'!A1472)</f>
        <v/>
      </c>
      <c r="B1462" s="28"/>
      <c r="C1462" s="27"/>
      <c r="D1462" s="28"/>
      <c r="E1462" s="21"/>
      <c r="F1462" s="36" t="str">
        <f t="shared" si="48"/>
        <v>Did Not</v>
      </c>
      <c r="G1462" s="28"/>
      <c r="H1462" s="28"/>
      <c r="I1462" s="28"/>
      <c r="J1462" s="28"/>
      <c r="K1462" s="28"/>
      <c r="L1462" s="28"/>
      <c r="M1462" s="28"/>
      <c r="N1462" s="21"/>
      <c r="O1462" s="28"/>
      <c r="P1462" s="38"/>
      <c r="Q1462" s="21"/>
      <c r="R1462" s="21"/>
      <c r="S1462" s="47"/>
      <c r="T1462" s="25">
        <f t="shared" si="47"/>
        <v>0</v>
      </c>
      <c r="U1462" s="25" t="str">
        <f>IF('PART III-DEMOGRAPHICS'!Q1472="","",'PART III-DEMOGRAPHICS'!Q1472)</f>
        <v/>
      </c>
    </row>
    <row r="1463" spans="1:21">
      <c r="A1463" s="25" t="str">
        <f>IF('PART III-DEMOGRAPHICS'!A1473="","",'PART III-DEMOGRAPHICS'!A1473)</f>
        <v/>
      </c>
      <c r="B1463" s="28"/>
      <c r="C1463" s="27"/>
      <c r="D1463" s="28"/>
      <c r="E1463" s="21"/>
      <c r="F1463" s="36" t="str">
        <f t="shared" si="48"/>
        <v>Did Not</v>
      </c>
      <c r="G1463" s="28"/>
      <c r="H1463" s="28"/>
      <c r="I1463" s="28"/>
      <c r="J1463" s="28"/>
      <c r="K1463" s="28"/>
      <c r="L1463" s="28"/>
      <c r="M1463" s="28"/>
      <c r="N1463" s="21"/>
      <c r="O1463" s="28"/>
      <c r="P1463" s="38"/>
      <c r="Q1463" s="21"/>
      <c r="R1463" s="21"/>
      <c r="S1463" s="47"/>
      <c r="T1463" s="25">
        <f t="shared" si="47"/>
        <v>0</v>
      </c>
      <c r="U1463" s="25" t="str">
        <f>IF('PART III-DEMOGRAPHICS'!Q1473="","",'PART III-DEMOGRAPHICS'!Q1473)</f>
        <v/>
      </c>
    </row>
    <row r="1464" spans="1:21">
      <c r="A1464" s="25" t="str">
        <f>IF('PART III-DEMOGRAPHICS'!A1474="","",'PART III-DEMOGRAPHICS'!A1474)</f>
        <v/>
      </c>
      <c r="B1464" s="28"/>
      <c r="C1464" s="27"/>
      <c r="D1464" s="28"/>
      <c r="E1464" s="21"/>
      <c r="F1464" s="36" t="str">
        <f t="shared" si="48"/>
        <v>Did Not</v>
      </c>
      <c r="G1464" s="28"/>
      <c r="H1464" s="28"/>
      <c r="I1464" s="28"/>
      <c r="J1464" s="28"/>
      <c r="K1464" s="28"/>
      <c r="L1464" s="28"/>
      <c r="M1464" s="28"/>
      <c r="N1464" s="21"/>
      <c r="O1464" s="28"/>
      <c r="P1464" s="38"/>
      <c r="Q1464" s="21"/>
      <c r="R1464" s="21"/>
      <c r="S1464" s="47"/>
      <c r="T1464" s="25">
        <f t="shared" si="47"/>
        <v>0</v>
      </c>
      <c r="U1464" s="25" t="str">
        <f>IF('PART III-DEMOGRAPHICS'!Q1474="","",'PART III-DEMOGRAPHICS'!Q1474)</f>
        <v/>
      </c>
    </row>
    <row r="1465" spans="1:21">
      <c r="A1465" s="25" t="str">
        <f>IF('PART III-DEMOGRAPHICS'!A1475="","",'PART III-DEMOGRAPHICS'!A1475)</f>
        <v/>
      </c>
      <c r="B1465" s="28"/>
      <c r="C1465" s="27"/>
      <c r="D1465" s="28"/>
      <c r="E1465" s="21"/>
      <c r="F1465" s="36" t="str">
        <f t="shared" si="48"/>
        <v>Did Not</v>
      </c>
      <c r="G1465" s="28"/>
      <c r="H1465" s="28"/>
      <c r="I1465" s="28"/>
      <c r="J1465" s="28"/>
      <c r="K1465" s="28"/>
      <c r="L1465" s="28"/>
      <c r="M1465" s="28"/>
      <c r="N1465" s="21"/>
      <c r="O1465" s="28"/>
      <c r="P1465" s="38"/>
      <c r="Q1465" s="21"/>
      <c r="R1465" s="21"/>
      <c r="S1465" s="47"/>
      <c r="T1465" s="25">
        <f t="shared" si="47"/>
        <v>0</v>
      </c>
      <c r="U1465" s="25" t="str">
        <f>IF('PART III-DEMOGRAPHICS'!Q1475="","",'PART III-DEMOGRAPHICS'!Q1475)</f>
        <v/>
      </c>
    </row>
    <row r="1466" spans="1:21">
      <c r="A1466" s="25" t="str">
        <f>IF('PART III-DEMOGRAPHICS'!A1476="","",'PART III-DEMOGRAPHICS'!A1476)</f>
        <v/>
      </c>
      <c r="B1466" s="28"/>
      <c r="C1466" s="27"/>
      <c r="D1466" s="28"/>
      <c r="E1466" s="21"/>
      <c r="F1466" s="36" t="str">
        <f t="shared" si="48"/>
        <v>Did Not</v>
      </c>
      <c r="G1466" s="28"/>
      <c r="H1466" s="28"/>
      <c r="I1466" s="28"/>
      <c r="J1466" s="28"/>
      <c r="K1466" s="28"/>
      <c r="L1466" s="28"/>
      <c r="M1466" s="28"/>
      <c r="N1466" s="21"/>
      <c r="O1466" s="28"/>
      <c r="P1466" s="38"/>
      <c r="Q1466" s="21"/>
      <c r="R1466" s="21"/>
      <c r="S1466" s="47"/>
      <c r="T1466" s="25">
        <f t="shared" si="47"/>
        <v>0</v>
      </c>
      <c r="U1466" s="25" t="str">
        <f>IF('PART III-DEMOGRAPHICS'!Q1476="","",'PART III-DEMOGRAPHICS'!Q1476)</f>
        <v/>
      </c>
    </row>
    <row r="1467" spans="1:21">
      <c r="A1467" s="25" t="str">
        <f>IF('PART III-DEMOGRAPHICS'!A1477="","",'PART III-DEMOGRAPHICS'!A1477)</f>
        <v/>
      </c>
      <c r="B1467" s="28"/>
      <c r="C1467" s="27"/>
      <c r="D1467" s="28"/>
      <c r="E1467" s="21"/>
      <c r="F1467" s="36" t="str">
        <f t="shared" si="48"/>
        <v>Did Not</v>
      </c>
      <c r="G1467" s="28"/>
      <c r="H1467" s="28"/>
      <c r="I1467" s="28"/>
      <c r="J1467" s="28"/>
      <c r="K1467" s="28"/>
      <c r="L1467" s="28"/>
      <c r="M1467" s="28"/>
      <c r="N1467" s="21"/>
      <c r="O1467" s="28"/>
      <c r="P1467" s="38"/>
      <c r="Q1467" s="21"/>
      <c r="R1467" s="21"/>
      <c r="S1467" s="47"/>
      <c r="T1467" s="25">
        <f t="shared" si="47"/>
        <v>0</v>
      </c>
      <c r="U1467" s="25" t="str">
        <f>IF('PART III-DEMOGRAPHICS'!Q1477="","",'PART III-DEMOGRAPHICS'!Q1477)</f>
        <v/>
      </c>
    </row>
    <row r="1468" spans="1:21">
      <c r="A1468" s="25" t="str">
        <f>IF('PART III-DEMOGRAPHICS'!A1478="","",'PART III-DEMOGRAPHICS'!A1478)</f>
        <v/>
      </c>
      <c r="B1468" s="28"/>
      <c r="C1468" s="27"/>
      <c r="D1468" s="28"/>
      <c r="E1468" s="21"/>
      <c r="F1468" s="36" t="str">
        <f t="shared" si="48"/>
        <v>Did Not</v>
      </c>
      <c r="G1468" s="28"/>
      <c r="H1468" s="28"/>
      <c r="I1468" s="28"/>
      <c r="J1468" s="28"/>
      <c r="K1468" s="28"/>
      <c r="L1468" s="28"/>
      <c r="M1468" s="28"/>
      <c r="N1468" s="21"/>
      <c r="O1468" s="28"/>
      <c r="P1468" s="38"/>
      <c r="Q1468" s="21"/>
      <c r="R1468" s="21"/>
      <c r="S1468" s="47"/>
      <c r="T1468" s="25">
        <f t="shared" si="47"/>
        <v>0</v>
      </c>
      <c r="U1468" s="25" t="str">
        <f>IF('PART III-DEMOGRAPHICS'!Q1478="","",'PART III-DEMOGRAPHICS'!Q1478)</f>
        <v/>
      </c>
    </row>
    <row r="1469" spans="1:21">
      <c r="A1469" s="25" t="str">
        <f>IF('PART III-DEMOGRAPHICS'!A1479="","",'PART III-DEMOGRAPHICS'!A1479)</f>
        <v/>
      </c>
      <c r="B1469" s="28"/>
      <c r="C1469" s="27"/>
      <c r="D1469" s="28"/>
      <c r="E1469" s="21"/>
      <c r="F1469" s="36" t="str">
        <f t="shared" si="48"/>
        <v>Did Not</v>
      </c>
      <c r="G1469" s="28"/>
      <c r="H1469" s="28"/>
      <c r="I1469" s="28"/>
      <c r="J1469" s="28"/>
      <c r="K1469" s="28"/>
      <c r="L1469" s="28"/>
      <c r="M1469" s="28"/>
      <c r="N1469" s="21"/>
      <c r="O1469" s="28"/>
      <c r="P1469" s="38"/>
      <c r="Q1469" s="21"/>
      <c r="R1469" s="21"/>
      <c r="S1469" s="47"/>
      <c r="T1469" s="25">
        <f t="shared" si="47"/>
        <v>0</v>
      </c>
      <c r="U1469" s="25" t="str">
        <f>IF('PART III-DEMOGRAPHICS'!Q1479="","",'PART III-DEMOGRAPHICS'!Q1479)</f>
        <v/>
      </c>
    </row>
    <row r="1470" spans="1:21">
      <c r="A1470" s="25" t="str">
        <f>IF('PART III-DEMOGRAPHICS'!A1480="","",'PART III-DEMOGRAPHICS'!A1480)</f>
        <v/>
      </c>
      <c r="B1470" s="28"/>
      <c r="C1470" s="27"/>
      <c r="D1470" s="28"/>
      <c r="E1470" s="21"/>
      <c r="F1470" s="36" t="str">
        <f t="shared" si="48"/>
        <v>Did Not</v>
      </c>
      <c r="G1470" s="28"/>
      <c r="H1470" s="28"/>
      <c r="I1470" s="28"/>
      <c r="J1470" s="28"/>
      <c r="K1470" s="28"/>
      <c r="L1470" s="28"/>
      <c r="M1470" s="28"/>
      <c r="N1470" s="21"/>
      <c r="O1470" s="28"/>
      <c r="P1470" s="38"/>
      <c r="Q1470" s="21"/>
      <c r="R1470" s="21"/>
      <c r="S1470" s="47"/>
      <c r="T1470" s="25">
        <f t="shared" si="47"/>
        <v>0</v>
      </c>
      <c r="U1470" s="25" t="str">
        <f>IF('PART III-DEMOGRAPHICS'!Q1480="","",'PART III-DEMOGRAPHICS'!Q1480)</f>
        <v/>
      </c>
    </row>
    <row r="1471" spans="1:21">
      <c r="A1471" s="25" t="str">
        <f>IF('PART III-DEMOGRAPHICS'!A1481="","",'PART III-DEMOGRAPHICS'!A1481)</f>
        <v/>
      </c>
      <c r="B1471" s="28"/>
      <c r="C1471" s="27"/>
      <c r="D1471" s="28"/>
      <c r="E1471" s="21"/>
      <c r="F1471" s="36" t="str">
        <f t="shared" si="48"/>
        <v>Did Not</v>
      </c>
      <c r="G1471" s="28"/>
      <c r="H1471" s="28"/>
      <c r="I1471" s="28"/>
      <c r="J1471" s="28"/>
      <c r="K1471" s="28"/>
      <c r="L1471" s="28"/>
      <c r="M1471" s="28"/>
      <c r="N1471" s="21"/>
      <c r="O1471" s="28"/>
      <c r="P1471" s="38"/>
      <c r="Q1471" s="21"/>
      <c r="R1471" s="21"/>
      <c r="S1471" s="47"/>
      <c r="T1471" s="25">
        <f t="shared" si="47"/>
        <v>0</v>
      </c>
      <c r="U1471" s="25" t="str">
        <f>IF('PART III-DEMOGRAPHICS'!Q1481="","",'PART III-DEMOGRAPHICS'!Q1481)</f>
        <v/>
      </c>
    </row>
    <row r="1472" spans="1:21">
      <c r="A1472" s="25" t="str">
        <f>IF('PART III-DEMOGRAPHICS'!A1482="","",'PART III-DEMOGRAPHICS'!A1482)</f>
        <v/>
      </c>
      <c r="B1472" s="28"/>
      <c r="C1472" s="27"/>
      <c r="D1472" s="28"/>
      <c r="E1472" s="21"/>
      <c r="F1472" s="36" t="str">
        <f t="shared" si="48"/>
        <v>Did Not</v>
      </c>
      <c r="G1472" s="28"/>
      <c r="H1472" s="28"/>
      <c r="I1472" s="28"/>
      <c r="J1472" s="28"/>
      <c r="K1472" s="28"/>
      <c r="L1472" s="28"/>
      <c r="M1472" s="28"/>
      <c r="N1472" s="21"/>
      <c r="O1472" s="28"/>
      <c r="P1472" s="38"/>
      <c r="Q1472" s="21"/>
      <c r="R1472" s="21"/>
      <c r="S1472" s="47"/>
      <c r="T1472" s="25">
        <f t="shared" si="47"/>
        <v>0</v>
      </c>
      <c r="U1472" s="25" t="str">
        <f>IF('PART III-DEMOGRAPHICS'!Q1482="","",'PART III-DEMOGRAPHICS'!Q1482)</f>
        <v/>
      </c>
    </row>
    <row r="1473" spans="1:21">
      <c r="A1473" s="25" t="str">
        <f>IF('PART III-DEMOGRAPHICS'!A1483="","",'PART III-DEMOGRAPHICS'!A1483)</f>
        <v/>
      </c>
      <c r="B1473" s="28"/>
      <c r="C1473" s="27"/>
      <c r="D1473" s="28"/>
      <c r="E1473" s="21"/>
      <c r="F1473" s="36" t="str">
        <f t="shared" si="48"/>
        <v>Did Not</v>
      </c>
      <c r="G1473" s="28"/>
      <c r="H1473" s="28"/>
      <c r="I1473" s="28"/>
      <c r="J1473" s="28"/>
      <c r="K1473" s="28"/>
      <c r="L1473" s="28"/>
      <c r="M1473" s="28"/>
      <c r="N1473" s="21"/>
      <c r="O1473" s="28"/>
      <c r="P1473" s="38"/>
      <c r="Q1473" s="21"/>
      <c r="R1473" s="21"/>
      <c r="S1473" s="47"/>
      <c r="T1473" s="25">
        <f t="shared" si="47"/>
        <v>0</v>
      </c>
      <c r="U1473" s="25" t="str">
        <f>IF('PART III-DEMOGRAPHICS'!Q1483="","",'PART III-DEMOGRAPHICS'!Q1483)</f>
        <v/>
      </c>
    </row>
    <row r="1474" spans="1:21">
      <c r="A1474" s="25" t="str">
        <f>IF('PART III-DEMOGRAPHICS'!A1484="","",'PART III-DEMOGRAPHICS'!A1484)</f>
        <v/>
      </c>
      <c r="B1474" s="28"/>
      <c r="C1474" s="27"/>
      <c r="D1474" s="28"/>
      <c r="E1474" s="21"/>
      <c r="F1474" s="36" t="str">
        <f t="shared" si="48"/>
        <v>Did Not</v>
      </c>
      <c r="G1474" s="28"/>
      <c r="H1474" s="28"/>
      <c r="I1474" s="28"/>
      <c r="J1474" s="28"/>
      <c r="K1474" s="28"/>
      <c r="L1474" s="28"/>
      <c r="M1474" s="28"/>
      <c r="N1474" s="21"/>
      <c r="O1474" s="28"/>
      <c r="P1474" s="38"/>
      <c r="Q1474" s="21"/>
      <c r="R1474" s="21"/>
      <c r="S1474" s="47"/>
      <c r="T1474" s="25">
        <f t="shared" si="47"/>
        <v>0</v>
      </c>
      <c r="U1474" s="25" t="str">
        <f>IF('PART III-DEMOGRAPHICS'!Q1484="","",'PART III-DEMOGRAPHICS'!Q1484)</f>
        <v/>
      </c>
    </row>
    <row r="1475" spans="1:21">
      <c r="A1475" s="25" t="str">
        <f>IF('PART III-DEMOGRAPHICS'!A1485="","",'PART III-DEMOGRAPHICS'!A1485)</f>
        <v/>
      </c>
      <c r="B1475" s="28"/>
      <c r="C1475" s="27"/>
      <c r="D1475" s="28"/>
      <c r="E1475" s="21"/>
      <c r="F1475" s="36" t="str">
        <f t="shared" si="48"/>
        <v>Did Not</v>
      </c>
      <c r="G1475" s="28"/>
      <c r="H1475" s="28"/>
      <c r="I1475" s="28"/>
      <c r="J1475" s="28"/>
      <c r="K1475" s="28"/>
      <c r="L1475" s="28"/>
      <c r="M1475" s="28"/>
      <c r="N1475" s="21"/>
      <c r="O1475" s="28"/>
      <c r="P1475" s="38"/>
      <c r="Q1475" s="21"/>
      <c r="R1475" s="21"/>
      <c r="S1475" s="47"/>
      <c r="T1475" s="25">
        <f t="shared" si="47"/>
        <v>0</v>
      </c>
      <c r="U1475" s="25" t="str">
        <f>IF('PART III-DEMOGRAPHICS'!Q1485="","",'PART III-DEMOGRAPHICS'!Q1485)</f>
        <v/>
      </c>
    </row>
    <row r="1476" spans="1:21">
      <c r="A1476" s="25" t="str">
        <f>IF('PART III-DEMOGRAPHICS'!A1486="","",'PART III-DEMOGRAPHICS'!A1486)</f>
        <v/>
      </c>
      <c r="B1476" s="28"/>
      <c r="C1476" s="27"/>
      <c r="D1476" s="28"/>
      <c r="E1476" s="21"/>
      <c r="F1476" s="36" t="str">
        <f t="shared" si="48"/>
        <v>Did Not</v>
      </c>
      <c r="G1476" s="28"/>
      <c r="H1476" s="28"/>
      <c r="I1476" s="28"/>
      <c r="J1476" s="28"/>
      <c r="K1476" s="28"/>
      <c r="L1476" s="28"/>
      <c r="M1476" s="28"/>
      <c r="N1476" s="21"/>
      <c r="O1476" s="28"/>
      <c r="P1476" s="38"/>
      <c r="Q1476" s="21"/>
      <c r="R1476" s="21"/>
      <c r="S1476" s="47"/>
      <c r="T1476" s="25">
        <f t="shared" si="47"/>
        <v>0</v>
      </c>
      <c r="U1476" s="25" t="str">
        <f>IF('PART III-DEMOGRAPHICS'!Q1486="","",'PART III-DEMOGRAPHICS'!Q1486)</f>
        <v/>
      </c>
    </row>
    <row r="1477" spans="1:21">
      <c r="A1477" s="25" t="str">
        <f>IF('PART III-DEMOGRAPHICS'!A1487="","",'PART III-DEMOGRAPHICS'!A1487)</f>
        <v/>
      </c>
      <c r="B1477" s="28"/>
      <c r="C1477" s="27"/>
      <c r="D1477" s="28"/>
      <c r="E1477" s="21"/>
      <c r="F1477" s="36" t="str">
        <f t="shared" si="48"/>
        <v>Did Not</v>
      </c>
      <c r="G1477" s="28"/>
      <c r="H1477" s="28"/>
      <c r="I1477" s="28"/>
      <c r="J1477" s="28"/>
      <c r="K1477" s="28"/>
      <c r="L1477" s="28"/>
      <c r="M1477" s="28"/>
      <c r="N1477" s="21"/>
      <c r="O1477" s="28"/>
      <c r="P1477" s="38"/>
      <c r="Q1477" s="21"/>
      <c r="R1477" s="21"/>
      <c r="S1477" s="47"/>
      <c r="T1477" s="25">
        <f t="shared" si="47"/>
        <v>0</v>
      </c>
      <c r="U1477" s="25" t="str">
        <f>IF('PART III-DEMOGRAPHICS'!Q1487="","",'PART III-DEMOGRAPHICS'!Q1487)</f>
        <v/>
      </c>
    </row>
    <row r="1478" spans="1:21">
      <c r="A1478" s="25" t="str">
        <f>IF('PART III-DEMOGRAPHICS'!A1488="","",'PART III-DEMOGRAPHICS'!A1488)</f>
        <v/>
      </c>
      <c r="B1478" s="28"/>
      <c r="C1478" s="27"/>
      <c r="D1478" s="28"/>
      <c r="E1478" s="21"/>
      <c r="F1478" s="36" t="str">
        <f t="shared" si="48"/>
        <v>Did Not</v>
      </c>
      <c r="G1478" s="28"/>
      <c r="H1478" s="28"/>
      <c r="I1478" s="28"/>
      <c r="J1478" s="28"/>
      <c r="K1478" s="28"/>
      <c r="L1478" s="28"/>
      <c r="M1478" s="28"/>
      <c r="N1478" s="21"/>
      <c r="O1478" s="28"/>
      <c r="P1478" s="38"/>
      <c r="Q1478" s="21"/>
      <c r="R1478" s="21"/>
      <c r="S1478" s="47"/>
      <c r="T1478" s="25">
        <f t="shared" si="47"/>
        <v>0</v>
      </c>
      <c r="U1478" s="25" t="str">
        <f>IF('PART III-DEMOGRAPHICS'!Q1488="","",'PART III-DEMOGRAPHICS'!Q1488)</f>
        <v/>
      </c>
    </row>
    <row r="1479" spans="1:21">
      <c r="A1479" s="25" t="str">
        <f>IF('PART III-DEMOGRAPHICS'!A1489="","",'PART III-DEMOGRAPHICS'!A1489)</f>
        <v/>
      </c>
      <c r="B1479" s="28"/>
      <c r="C1479" s="27"/>
      <c r="D1479" s="28"/>
      <c r="E1479" s="21"/>
      <c r="F1479" s="36" t="str">
        <f t="shared" si="48"/>
        <v>Did Not</v>
      </c>
      <c r="G1479" s="28"/>
      <c r="H1479" s="28"/>
      <c r="I1479" s="28"/>
      <c r="J1479" s="28"/>
      <c r="K1479" s="28"/>
      <c r="L1479" s="28"/>
      <c r="M1479" s="28"/>
      <c r="N1479" s="21"/>
      <c r="O1479" s="28"/>
      <c r="P1479" s="38"/>
      <c r="Q1479" s="21"/>
      <c r="R1479" s="21"/>
      <c r="S1479" s="47"/>
      <c r="T1479" s="25">
        <f t="shared" ref="T1479:T1542" si="49">COUNTIF(A1479:R1479,"Yes")</f>
        <v>0</v>
      </c>
      <c r="U1479" s="25" t="str">
        <f>IF('PART III-DEMOGRAPHICS'!Q1489="","",'PART III-DEMOGRAPHICS'!Q1489)</f>
        <v/>
      </c>
    </row>
    <row r="1480" spans="1:21">
      <c r="A1480" s="25" t="str">
        <f>IF('PART III-DEMOGRAPHICS'!A1490="","",'PART III-DEMOGRAPHICS'!A1490)</f>
        <v/>
      </c>
      <c r="B1480" s="28"/>
      <c r="C1480" s="27"/>
      <c r="D1480" s="28"/>
      <c r="E1480" s="21"/>
      <c r="F1480" s="36" t="str">
        <f t="shared" si="48"/>
        <v>Did Not</v>
      </c>
      <c r="G1480" s="28"/>
      <c r="H1480" s="28"/>
      <c r="I1480" s="28"/>
      <c r="J1480" s="28"/>
      <c r="K1480" s="28"/>
      <c r="L1480" s="28"/>
      <c r="M1480" s="28"/>
      <c r="N1480" s="21"/>
      <c r="O1480" s="28"/>
      <c r="P1480" s="38"/>
      <c r="Q1480" s="21"/>
      <c r="R1480" s="21"/>
      <c r="S1480" s="47"/>
      <c r="T1480" s="25">
        <f t="shared" si="49"/>
        <v>0</v>
      </c>
      <c r="U1480" s="25" t="str">
        <f>IF('PART III-DEMOGRAPHICS'!Q1490="","",'PART III-DEMOGRAPHICS'!Q1490)</f>
        <v/>
      </c>
    </row>
    <row r="1481" spans="1:21">
      <c r="A1481" s="25" t="str">
        <f>IF('PART III-DEMOGRAPHICS'!A1491="","",'PART III-DEMOGRAPHICS'!A1491)</f>
        <v/>
      </c>
      <c r="B1481" s="28"/>
      <c r="C1481" s="27"/>
      <c r="D1481" s="28"/>
      <c r="E1481" s="21"/>
      <c r="F1481" s="36" t="str">
        <f t="shared" si="48"/>
        <v>Did Not</v>
      </c>
      <c r="G1481" s="28"/>
      <c r="H1481" s="28"/>
      <c r="I1481" s="28"/>
      <c r="J1481" s="28"/>
      <c r="K1481" s="28"/>
      <c r="L1481" s="28"/>
      <c r="M1481" s="28"/>
      <c r="N1481" s="21"/>
      <c r="O1481" s="28"/>
      <c r="P1481" s="38"/>
      <c r="Q1481" s="21"/>
      <c r="R1481" s="21"/>
      <c r="S1481" s="47"/>
      <c r="T1481" s="25">
        <f t="shared" si="49"/>
        <v>0</v>
      </c>
      <c r="U1481" s="25" t="str">
        <f>IF('PART III-DEMOGRAPHICS'!Q1491="","",'PART III-DEMOGRAPHICS'!Q1491)</f>
        <v/>
      </c>
    </row>
    <row r="1482" spans="1:21">
      <c r="A1482" s="25" t="str">
        <f>IF('PART III-DEMOGRAPHICS'!A1492="","",'PART III-DEMOGRAPHICS'!A1492)</f>
        <v/>
      </c>
      <c r="B1482" s="28"/>
      <c r="C1482" s="27"/>
      <c r="D1482" s="28"/>
      <c r="E1482" s="21"/>
      <c r="F1482" s="36" t="str">
        <f t="shared" si="48"/>
        <v>Did Not</v>
      </c>
      <c r="G1482" s="28"/>
      <c r="H1482" s="28"/>
      <c r="I1482" s="28"/>
      <c r="J1482" s="28"/>
      <c r="K1482" s="28"/>
      <c r="L1482" s="28"/>
      <c r="M1482" s="28"/>
      <c r="N1482" s="21"/>
      <c r="O1482" s="28"/>
      <c r="P1482" s="38"/>
      <c r="Q1482" s="21"/>
      <c r="R1482" s="21"/>
      <c r="S1482" s="47"/>
      <c r="T1482" s="25">
        <f t="shared" si="49"/>
        <v>0</v>
      </c>
      <c r="U1482" s="25" t="str">
        <f>IF('PART III-DEMOGRAPHICS'!Q1492="","",'PART III-DEMOGRAPHICS'!Q1492)</f>
        <v/>
      </c>
    </row>
    <row r="1483" spans="1:21">
      <c r="A1483" s="25" t="str">
        <f>IF('PART III-DEMOGRAPHICS'!A1493="","",'PART III-DEMOGRAPHICS'!A1493)</f>
        <v/>
      </c>
      <c r="B1483" s="28"/>
      <c r="C1483" s="27"/>
      <c r="D1483" s="28"/>
      <c r="E1483" s="21"/>
      <c r="F1483" s="36" t="str">
        <f t="shared" si="48"/>
        <v>Did Not</v>
      </c>
      <c r="G1483" s="28"/>
      <c r="H1483" s="28"/>
      <c r="I1483" s="28"/>
      <c r="J1483" s="28"/>
      <c r="K1483" s="28"/>
      <c r="L1483" s="28"/>
      <c r="M1483" s="28"/>
      <c r="N1483" s="21"/>
      <c r="O1483" s="28"/>
      <c r="P1483" s="38"/>
      <c r="Q1483" s="21"/>
      <c r="R1483" s="21"/>
      <c r="S1483" s="47"/>
      <c r="T1483" s="25">
        <f t="shared" si="49"/>
        <v>0</v>
      </c>
      <c r="U1483" s="25" t="str">
        <f>IF('PART III-DEMOGRAPHICS'!Q1493="","",'PART III-DEMOGRAPHICS'!Q1493)</f>
        <v/>
      </c>
    </row>
    <row r="1484" spans="1:21">
      <c r="A1484" s="25" t="str">
        <f>IF('PART III-DEMOGRAPHICS'!A1494="","",'PART III-DEMOGRAPHICS'!A1494)</f>
        <v/>
      </c>
      <c r="B1484" s="28"/>
      <c r="C1484" s="27"/>
      <c r="D1484" s="28"/>
      <c r="E1484" s="21"/>
      <c r="F1484" s="36" t="str">
        <f t="shared" si="48"/>
        <v>Did Not</v>
      </c>
      <c r="G1484" s="28"/>
      <c r="H1484" s="28"/>
      <c r="I1484" s="28"/>
      <c r="J1484" s="28"/>
      <c r="K1484" s="28"/>
      <c r="L1484" s="28"/>
      <c r="M1484" s="28"/>
      <c r="N1484" s="21"/>
      <c r="O1484" s="28"/>
      <c r="P1484" s="38"/>
      <c r="Q1484" s="21"/>
      <c r="R1484" s="21"/>
      <c r="S1484" s="47"/>
      <c r="T1484" s="25">
        <f t="shared" si="49"/>
        <v>0</v>
      </c>
      <c r="U1484" s="25" t="str">
        <f>IF('PART III-DEMOGRAPHICS'!Q1494="","",'PART III-DEMOGRAPHICS'!Q1494)</f>
        <v/>
      </c>
    </row>
    <row r="1485" spans="1:21">
      <c r="A1485" s="25" t="str">
        <f>IF('PART III-DEMOGRAPHICS'!A1495="","",'PART III-DEMOGRAPHICS'!A1495)</f>
        <v/>
      </c>
      <c r="B1485" s="28"/>
      <c r="C1485" s="27"/>
      <c r="D1485" s="28"/>
      <c r="E1485" s="21"/>
      <c r="F1485" s="36" t="str">
        <f t="shared" si="48"/>
        <v>Did Not</v>
      </c>
      <c r="G1485" s="28"/>
      <c r="H1485" s="28"/>
      <c r="I1485" s="28"/>
      <c r="J1485" s="28"/>
      <c r="K1485" s="28"/>
      <c r="L1485" s="28"/>
      <c r="M1485" s="28"/>
      <c r="N1485" s="21"/>
      <c r="O1485" s="28"/>
      <c r="P1485" s="38"/>
      <c r="Q1485" s="21"/>
      <c r="R1485" s="21"/>
      <c r="S1485" s="47"/>
      <c r="T1485" s="25">
        <f t="shared" si="49"/>
        <v>0</v>
      </c>
      <c r="U1485" s="25" t="str">
        <f>IF('PART III-DEMOGRAPHICS'!Q1495="","",'PART III-DEMOGRAPHICS'!Q1495)</f>
        <v/>
      </c>
    </row>
    <row r="1486" spans="1:21">
      <c r="A1486" s="25" t="str">
        <f>IF('PART III-DEMOGRAPHICS'!A1496="","",'PART III-DEMOGRAPHICS'!A1496)</f>
        <v/>
      </c>
      <c r="B1486" s="28"/>
      <c r="C1486" s="27"/>
      <c r="D1486" s="28"/>
      <c r="E1486" s="21"/>
      <c r="F1486" s="36" t="str">
        <f t="shared" ref="F1486:F1549" si="50">IF(OR(G1486="Yes",H1486="Yes",I1486="Yes",J1486="Yes",K1486="Yes",L1486="Yes",M1486="Yes"),"Did","Did Not")</f>
        <v>Did Not</v>
      </c>
      <c r="G1486" s="28"/>
      <c r="H1486" s="28"/>
      <c r="I1486" s="28"/>
      <c r="J1486" s="28"/>
      <c r="K1486" s="28"/>
      <c r="L1486" s="28"/>
      <c r="M1486" s="28"/>
      <c r="N1486" s="21"/>
      <c r="O1486" s="28"/>
      <c r="P1486" s="38"/>
      <c r="Q1486" s="21"/>
      <c r="R1486" s="21"/>
      <c r="S1486" s="47"/>
      <c r="T1486" s="25">
        <f t="shared" si="49"/>
        <v>0</v>
      </c>
      <c r="U1486" s="25" t="str">
        <f>IF('PART III-DEMOGRAPHICS'!Q1496="","",'PART III-DEMOGRAPHICS'!Q1496)</f>
        <v/>
      </c>
    </row>
    <row r="1487" spans="1:21">
      <c r="A1487" s="25" t="str">
        <f>IF('PART III-DEMOGRAPHICS'!A1497="","",'PART III-DEMOGRAPHICS'!A1497)</f>
        <v/>
      </c>
      <c r="B1487" s="28"/>
      <c r="C1487" s="27"/>
      <c r="D1487" s="28"/>
      <c r="E1487" s="21"/>
      <c r="F1487" s="36" t="str">
        <f t="shared" si="50"/>
        <v>Did Not</v>
      </c>
      <c r="G1487" s="28"/>
      <c r="H1487" s="28"/>
      <c r="I1487" s="28"/>
      <c r="J1487" s="28"/>
      <c r="K1487" s="28"/>
      <c r="L1487" s="28"/>
      <c r="M1487" s="28"/>
      <c r="N1487" s="21"/>
      <c r="O1487" s="28"/>
      <c r="P1487" s="38"/>
      <c r="Q1487" s="21"/>
      <c r="R1487" s="21"/>
      <c r="S1487" s="47"/>
      <c r="T1487" s="25">
        <f t="shared" si="49"/>
        <v>0</v>
      </c>
      <c r="U1487" s="25" t="str">
        <f>IF('PART III-DEMOGRAPHICS'!Q1497="","",'PART III-DEMOGRAPHICS'!Q1497)</f>
        <v/>
      </c>
    </row>
    <row r="1488" spans="1:21">
      <c r="A1488" s="25" t="str">
        <f>IF('PART III-DEMOGRAPHICS'!A1498="","",'PART III-DEMOGRAPHICS'!A1498)</f>
        <v/>
      </c>
      <c r="B1488" s="28"/>
      <c r="C1488" s="27"/>
      <c r="D1488" s="28"/>
      <c r="E1488" s="21"/>
      <c r="F1488" s="36" t="str">
        <f t="shared" si="50"/>
        <v>Did Not</v>
      </c>
      <c r="G1488" s="28"/>
      <c r="H1488" s="28"/>
      <c r="I1488" s="28"/>
      <c r="J1488" s="28"/>
      <c r="K1488" s="28"/>
      <c r="L1488" s="28"/>
      <c r="M1488" s="28"/>
      <c r="N1488" s="21"/>
      <c r="O1488" s="28"/>
      <c r="P1488" s="38"/>
      <c r="Q1488" s="21"/>
      <c r="R1488" s="21"/>
      <c r="S1488" s="47"/>
      <c r="T1488" s="25">
        <f t="shared" si="49"/>
        <v>0</v>
      </c>
      <c r="U1488" s="25" t="str">
        <f>IF('PART III-DEMOGRAPHICS'!Q1498="","",'PART III-DEMOGRAPHICS'!Q1498)</f>
        <v/>
      </c>
    </row>
    <row r="1489" spans="1:21">
      <c r="A1489" s="25" t="str">
        <f>IF('PART III-DEMOGRAPHICS'!A1499="","",'PART III-DEMOGRAPHICS'!A1499)</f>
        <v/>
      </c>
      <c r="B1489" s="28"/>
      <c r="C1489" s="27"/>
      <c r="D1489" s="28"/>
      <c r="E1489" s="21"/>
      <c r="F1489" s="36" t="str">
        <f t="shared" si="50"/>
        <v>Did Not</v>
      </c>
      <c r="G1489" s="28"/>
      <c r="H1489" s="28"/>
      <c r="I1489" s="28"/>
      <c r="J1489" s="28"/>
      <c r="K1489" s="28"/>
      <c r="L1489" s="28"/>
      <c r="M1489" s="28"/>
      <c r="N1489" s="21"/>
      <c r="O1489" s="28"/>
      <c r="P1489" s="38"/>
      <c r="Q1489" s="21"/>
      <c r="R1489" s="21"/>
      <c r="S1489" s="47"/>
      <c r="T1489" s="25">
        <f t="shared" si="49"/>
        <v>0</v>
      </c>
      <c r="U1489" s="25" t="str">
        <f>IF('PART III-DEMOGRAPHICS'!Q1499="","",'PART III-DEMOGRAPHICS'!Q1499)</f>
        <v/>
      </c>
    </row>
    <row r="1490" spans="1:21">
      <c r="A1490" s="25" t="str">
        <f>IF('PART III-DEMOGRAPHICS'!A1500="","",'PART III-DEMOGRAPHICS'!A1500)</f>
        <v/>
      </c>
      <c r="B1490" s="28"/>
      <c r="C1490" s="27"/>
      <c r="D1490" s="28"/>
      <c r="E1490" s="21"/>
      <c r="F1490" s="36" t="str">
        <f t="shared" si="50"/>
        <v>Did Not</v>
      </c>
      <c r="G1490" s="28"/>
      <c r="H1490" s="28"/>
      <c r="I1490" s="28"/>
      <c r="J1490" s="28"/>
      <c r="K1490" s="28"/>
      <c r="L1490" s="28"/>
      <c r="M1490" s="28"/>
      <c r="N1490" s="21"/>
      <c r="O1490" s="28"/>
      <c r="P1490" s="38"/>
      <c r="Q1490" s="21"/>
      <c r="R1490" s="21"/>
      <c r="S1490" s="47"/>
      <c r="T1490" s="25">
        <f t="shared" si="49"/>
        <v>0</v>
      </c>
      <c r="U1490" s="25" t="str">
        <f>IF('PART III-DEMOGRAPHICS'!Q1500="","",'PART III-DEMOGRAPHICS'!Q1500)</f>
        <v/>
      </c>
    </row>
    <row r="1491" spans="1:21">
      <c r="A1491" s="25" t="str">
        <f>IF('PART III-DEMOGRAPHICS'!A1501="","",'PART III-DEMOGRAPHICS'!A1501)</f>
        <v/>
      </c>
      <c r="B1491" s="28"/>
      <c r="C1491" s="27"/>
      <c r="D1491" s="28"/>
      <c r="E1491" s="21"/>
      <c r="F1491" s="36" t="str">
        <f t="shared" si="50"/>
        <v>Did Not</v>
      </c>
      <c r="G1491" s="28"/>
      <c r="H1491" s="28"/>
      <c r="I1491" s="28"/>
      <c r="J1491" s="28"/>
      <c r="K1491" s="28"/>
      <c r="L1491" s="28"/>
      <c r="M1491" s="28"/>
      <c r="N1491" s="21"/>
      <c r="O1491" s="28"/>
      <c r="P1491" s="38"/>
      <c r="Q1491" s="21"/>
      <c r="R1491" s="21"/>
      <c r="S1491" s="47"/>
      <c r="T1491" s="25">
        <f t="shared" si="49"/>
        <v>0</v>
      </c>
      <c r="U1491" s="25" t="str">
        <f>IF('PART III-DEMOGRAPHICS'!Q1501="","",'PART III-DEMOGRAPHICS'!Q1501)</f>
        <v/>
      </c>
    </row>
    <row r="1492" spans="1:21">
      <c r="A1492" s="25" t="str">
        <f>IF('PART III-DEMOGRAPHICS'!A1502="","",'PART III-DEMOGRAPHICS'!A1502)</f>
        <v/>
      </c>
      <c r="B1492" s="28"/>
      <c r="C1492" s="27"/>
      <c r="D1492" s="28"/>
      <c r="E1492" s="21"/>
      <c r="F1492" s="36" t="str">
        <f t="shared" si="50"/>
        <v>Did Not</v>
      </c>
      <c r="G1492" s="28"/>
      <c r="H1492" s="28"/>
      <c r="I1492" s="28"/>
      <c r="J1492" s="28"/>
      <c r="K1492" s="28"/>
      <c r="L1492" s="28"/>
      <c r="M1492" s="28"/>
      <c r="N1492" s="21"/>
      <c r="O1492" s="28"/>
      <c r="P1492" s="38"/>
      <c r="Q1492" s="21"/>
      <c r="R1492" s="21"/>
      <c r="S1492" s="47"/>
      <c r="T1492" s="25">
        <f t="shared" si="49"/>
        <v>0</v>
      </c>
      <c r="U1492" s="25" t="str">
        <f>IF('PART III-DEMOGRAPHICS'!Q1502="","",'PART III-DEMOGRAPHICS'!Q1502)</f>
        <v/>
      </c>
    </row>
    <row r="1493" spans="1:21">
      <c r="A1493" s="25" t="str">
        <f>IF('PART III-DEMOGRAPHICS'!A1503="","",'PART III-DEMOGRAPHICS'!A1503)</f>
        <v/>
      </c>
      <c r="B1493" s="28"/>
      <c r="C1493" s="27"/>
      <c r="D1493" s="28"/>
      <c r="E1493" s="21"/>
      <c r="F1493" s="36" t="str">
        <f t="shared" si="50"/>
        <v>Did Not</v>
      </c>
      <c r="G1493" s="28"/>
      <c r="H1493" s="28"/>
      <c r="I1493" s="28"/>
      <c r="J1493" s="28"/>
      <c r="K1493" s="28"/>
      <c r="L1493" s="28"/>
      <c r="M1493" s="28"/>
      <c r="N1493" s="21"/>
      <c r="O1493" s="28"/>
      <c r="P1493" s="38"/>
      <c r="Q1493" s="21"/>
      <c r="R1493" s="21"/>
      <c r="S1493" s="47"/>
      <c r="T1493" s="25">
        <f t="shared" si="49"/>
        <v>0</v>
      </c>
      <c r="U1493" s="25" t="str">
        <f>IF('PART III-DEMOGRAPHICS'!Q1503="","",'PART III-DEMOGRAPHICS'!Q1503)</f>
        <v/>
      </c>
    </row>
    <row r="1494" spans="1:21">
      <c r="A1494" s="25" t="str">
        <f>IF('PART III-DEMOGRAPHICS'!A1504="","",'PART III-DEMOGRAPHICS'!A1504)</f>
        <v/>
      </c>
      <c r="B1494" s="28"/>
      <c r="C1494" s="27"/>
      <c r="D1494" s="28"/>
      <c r="E1494" s="21"/>
      <c r="F1494" s="36" t="str">
        <f t="shared" si="50"/>
        <v>Did Not</v>
      </c>
      <c r="G1494" s="28"/>
      <c r="H1494" s="28"/>
      <c r="I1494" s="28"/>
      <c r="J1494" s="28"/>
      <c r="K1494" s="28"/>
      <c r="L1494" s="28"/>
      <c r="M1494" s="28"/>
      <c r="N1494" s="21"/>
      <c r="O1494" s="28"/>
      <c r="P1494" s="38"/>
      <c r="Q1494" s="21"/>
      <c r="R1494" s="21"/>
      <c r="S1494" s="47"/>
      <c r="T1494" s="25">
        <f t="shared" si="49"/>
        <v>0</v>
      </c>
      <c r="U1494" s="25" t="str">
        <f>IF('PART III-DEMOGRAPHICS'!Q1504="","",'PART III-DEMOGRAPHICS'!Q1504)</f>
        <v/>
      </c>
    </row>
    <row r="1495" spans="1:21">
      <c r="A1495" s="25" t="str">
        <f>IF('PART III-DEMOGRAPHICS'!A1505="","",'PART III-DEMOGRAPHICS'!A1505)</f>
        <v/>
      </c>
      <c r="B1495" s="28"/>
      <c r="C1495" s="27"/>
      <c r="D1495" s="28"/>
      <c r="E1495" s="21"/>
      <c r="F1495" s="36" t="str">
        <f t="shared" si="50"/>
        <v>Did Not</v>
      </c>
      <c r="G1495" s="28"/>
      <c r="H1495" s="28"/>
      <c r="I1495" s="28"/>
      <c r="J1495" s="28"/>
      <c r="K1495" s="28"/>
      <c r="L1495" s="28"/>
      <c r="M1495" s="28"/>
      <c r="N1495" s="21"/>
      <c r="O1495" s="28"/>
      <c r="P1495" s="38"/>
      <c r="Q1495" s="21"/>
      <c r="R1495" s="21"/>
      <c r="S1495" s="47"/>
      <c r="T1495" s="25">
        <f t="shared" si="49"/>
        <v>0</v>
      </c>
      <c r="U1495" s="25" t="str">
        <f>IF('PART III-DEMOGRAPHICS'!Q1505="","",'PART III-DEMOGRAPHICS'!Q1505)</f>
        <v/>
      </c>
    </row>
    <row r="1496" spans="1:21">
      <c r="A1496" s="25" t="str">
        <f>IF('PART III-DEMOGRAPHICS'!A1506="","",'PART III-DEMOGRAPHICS'!A1506)</f>
        <v/>
      </c>
      <c r="B1496" s="28"/>
      <c r="C1496" s="27"/>
      <c r="D1496" s="28"/>
      <c r="E1496" s="21"/>
      <c r="F1496" s="36" t="str">
        <f t="shared" si="50"/>
        <v>Did Not</v>
      </c>
      <c r="G1496" s="28"/>
      <c r="H1496" s="28"/>
      <c r="I1496" s="28"/>
      <c r="J1496" s="28"/>
      <c r="K1496" s="28"/>
      <c r="L1496" s="28"/>
      <c r="M1496" s="28"/>
      <c r="N1496" s="21"/>
      <c r="O1496" s="28"/>
      <c r="P1496" s="38"/>
      <c r="Q1496" s="21"/>
      <c r="R1496" s="21"/>
      <c r="S1496" s="47"/>
      <c r="T1496" s="25">
        <f t="shared" si="49"/>
        <v>0</v>
      </c>
      <c r="U1496" s="25" t="str">
        <f>IF('PART III-DEMOGRAPHICS'!Q1506="","",'PART III-DEMOGRAPHICS'!Q1506)</f>
        <v/>
      </c>
    </row>
    <row r="1497" spans="1:21">
      <c r="A1497" s="25" t="str">
        <f>IF('PART III-DEMOGRAPHICS'!A1507="","",'PART III-DEMOGRAPHICS'!A1507)</f>
        <v/>
      </c>
      <c r="B1497" s="28"/>
      <c r="C1497" s="27"/>
      <c r="D1497" s="28"/>
      <c r="E1497" s="21"/>
      <c r="F1497" s="36" t="str">
        <f t="shared" si="50"/>
        <v>Did Not</v>
      </c>
      <c r="G1497" s="28"/>
      <c r="H1497" s="28"/>
      <c r="I1497" s="28"/>
      <c r="J1497" s="28"/>
      <c r="K1497" s="28"/>
      <c r="L1497" s="28"/>
      <c r="M1497" s="28"/>
      <c r="N1497" s="21"/>
      <c r="O1497" s="28"/>
      <c r="P1497" s="38"/>
      <c r="Q1497" s="21"/>
      <c r="R1497" s="21"/>
      <c r="S1497" s="47"/>
      <c r="T1497" s="25">
        <f t="shared" si="49"/>
        <v>0</v>
      </c>
      <c r="U1497" s="25" t="str">
        <f>IF('PART III-DEMOGRAPHICS'!Q1507="","",'PART III-DEMOGRAPHICS'!Q1507)</f>
        <v/>
      </c>
    </row>
    <row r="1498" spans="1:21">
      <c r="A1498" s="25" t="str">
        <f>IF('PART III-DEMOGRAPHICS'!A1508="","",'PART III-DEMOGRAPHICS'!A1508)</f>
        <v/>
      </c>
      <c r="B1498" s="28"/>
      <c r="C1498" s="27"/>
      <c r="D1498" s="28"/>
      <c r="E1498" s="21"/>
      <c r="F1498" s="36" t="str">
        <f t="shared" si="50"/>
        <v>Did Not</v>
      </c>
      <c r="G1498" s="28"/>
      <c r="H1498" s="28"/>
      <c r="I1498" s="28"/>
      <c r="J1498" s="28"/>
      <c r="K1498" s="28"/>
      <c r="L1498" s="28"/>
      <c r="M1498" s="28"/>
      <c r="N1498" s="21"/>
      <c r="O1498" s="28"/>
      <c r="P1498" s="38"/>
      <c r="Q1498" s="21"/>
      <c r="R1498" s="21"/>
      <c r="S1498" s="47"/>
      <c r="T1498" s="25">
        <f t="shared" si="49"/>
        <v>0</v>
      </c>
      <c r="U1498" s="25" t="str">
        <f>IF('PART III-DEMOGRAPHICS'!Q1508="","",'PART III-DEMOGRAPHICS'!Q1508)</f>
        <v/>
      </c>
    </row>
    <row r="1499" spans="1:21">
      <c r="A1499" s="25" t="str">
        <f>IF('PART III-DEMOGRAPHICS'!A1509="","",'PART III-DEMOGRAPHICS'!A1509)</f>
        <v/>
      </c>
      <c r="B1499" s="28"/>
      <c r="C1499" s="27"/>
      <c r="D1499" s="28"/>
      <c r="E1499" s="21"/>
      <c r="F1499" s="36" t="str">
        <f t="shared" si="50"/>
        <v>Did Not</v>
      </c>
      <c r="G1499" s="28"/>
      <c r="H1499" s="28"/>
      <c r="I1499" s="28"/>
      <c r="J1499" s="28"/>
      <c r="K1499" s="28"/>
      <c r="L1499" s="28"/>
      <c r="M1499" s="28"/>
      <c r="N1499" s="21"/>
      <c r="O1499" s="28"/>
      <c r="P1499" s="38"/>
      <c r="Q1499" s="21"/>
      <c r="R1499" s="21"/>
      <c r="S1499" s="47"/>
      <c r="T1499" s="25">
        <f t="shared" si="49"/>
        <v>0</v>
      </c>
      <c r="U1499" s="25" t="str">
        <f>IF('PART III-DEMOGRAPHICS'!Q1509="","",'PART III-DEMOGRAPHICS'!Q1509)</f>
        <v/>
      </c>
    </row>
    <row r="1500" spans="1:21">
      <c r="A1500" s="25" t="str">
        <f>IF('PART III-DEMOGRAPHICS'!A1510="","",'PART III-DEMOGRAPHICS'!A1510)</f>
        <v/>
      </c>
      <c r="B1500" s="28"/>
      <c r="C1500" s="27"/>
      <c r="D1500" s="28"/>
      <c r="E1500" s="21"/>
      <c r="F1500" s="36" t="str">
        <f t="shared" si="50"/>
        <v>Did Not</v>
      </c>
      <c r="G1500" s="28"/>
      <c r="H1500" s="28"/>
      <c r="I1500" s="28"/>
      <c r="J1500" s="28"/>
      <c r="K1500" s="28"/>
      <c r="L1500" s="28"/>
      <c r="M1500" s="28"/>
      <c r="N1500" s="21"/>
      <c r="O1500" s="28"/>
      <c r="P1500" s="38"/>
      <c r="Q1500" s="21"/>
      <c r="R1500" s="21"/>
      <c r="S1500" s="47"/>
      <c r="T1500" s="25">
        <f t="shared" si="49"/>
        <v>0</v>
      </c>
      <c r="U1500" s="25" t="str">
        <f>IF('PART III-DEMOGRAPHICS'!Q1510="","",'PART III-DEMOGRAPHICS'!Q1510)</f>
        <v/>
      </c>
    </row>
    <row r="1501" spans="1:21">
      <c r="A1501" s="25" t="str">
        <f>IF('PART III-DEMOGRAPHICS'!A1511="","",'PART III-DEMOGRAPHICS'!A1511)</f>
        <v/>
      </c>
      <c r="B1501" s="28"/>
      <c r="C1501" s="27"/>
      <c r="D1501" s="28"/>
      <c r="E1501" s="21"/>
      <c r="F1501" s="36" t="str">
        <f t="shared" si="50"/>
        <v>Did Not</v>
      </c>
      <c r="G1501" s="28"/>
      <c r="H1501" s="28"/>
      <c r="I1501" s="28"/>
      <c r="J1501" s="28"/>
      <c r="K1501" s="28"/>
      <c r="L1501" s="28"/>
      <c r="M1501" s="28"/>
      <c r="N1501" s="21"/>
      <c r="O1501" s="28"/>
      <c r="P1501" s="38"/>
      <c r="Q1501" s="21"/>
      <c r="R1501" s="21"/>
      <c r="S1501" s="47"/>
      <c r="T1501" s="25">
        <f t="shared" si="49"/>
        <v>0</v>
      </c>
      <c r="U1501" s="25" t="str">
        <f>IF('PART III-DEMOGRAPHICS'!Q1511="","",'PART III-DEMOGRAPHICS'!Q1511)</f>
        <v/>
      </c>
    </row>
    <row r="1502" spans="1:21">
      <c r="A1502" s="25" t="str">
        <f>IF('PART III-DEMOGRAPHICS'!A1512="","",'PART III-DEMOGRAPHICS'!A1512)</f>
        <v/>
      </c>
      <c r="B1502" s="28"/>
      <c r="C1502" s="27"/>
      <c r="D1502" s="28"/>
      <c r="E1502" s="21"/>
      <c r="F1502" s="36" t="str">
        <f t="shared" si="50"/>
        <v>Did Not</v>
      </c>
      <c r="G1502" s="28"/>
      <c r="H1502" s="28"/>
      <c r="I1502" s="28"/>
      <c r="J1502" s="28"/>
      <c r="K1502" s="28"/>
      <c r="L1502" s="28"/>
      <c r="M1502" s="28"/>
      <c r="N1502" s="21"/>
      <c r="O1502" s="28"/>
      <c r="P1502" s="38"/>
      <c r="Q1502" s="21"/>
      <c r="R1502" s="21"/>
      <c r="S1502" s="47"/>
      <c r="T1502" s="25">
        <f t="shared" si="49"/>
        <v>0</v>
      </c>
      <c r="U1502" s="25" t="str">
        <f>IF('PART III-DEMOGRAPHICS'!Q1512="","",'PART III-DEMOGRAPHICS'!Q1512)</f>
        <v/>
      </c>
    </row>
    <row r="1503" spans="1:21">
      <c r="A1503" s="25" t="str">
        <f>IF('PART III-DEMOGRAPHICS'!A1513="","",'PART III-DEMOGRAPHICS'!A1513)</f>
        <v/>
      </c>
      <c r="B1503" s="28"/>
      <c r="C1503" s="27"/>
      <c r="D1503" s="28"/>
      <c r="E1503" s="21"/>
      <c r="F1503" s="36" t="str">
        <f t="shared" si="50"/>
        <v>Did Not</v>
      </c>
      <c r="G1503" s="28"/>
      <c r="H1503" s="28"/>
      <c r="I1503" s="28"/>
      <c r="J1503" s="28"/>
      <c r="K1503" s="28"/>
      <c r="L1503" s="28"/>
      <c r="M1503" s="28"/>
      <c r="N1503" s="21"/>
      <c r="O1503" s="28"/>
      <c r="P1503" s="38"/>
      <c r="Q1503" s="21"/>
      <c r="R1503" s="21"/>
      <c r="S1503" s="47"/>
      <c r="T1503" s="25">
        <f t="shared" si="49"/>
        <v>0</v>
      </c>
      <c r="U1503" s="25" t="str">
        <f>IF('PART III-DEMOGRAPHICS'!Q1513="","",'PART III-DEMOGRAPHICS'!Q1513)</f>
        <v/>
      </c>
    </row>
    <row r="1504" spans="1:21">
      <c r="A1504" s="25" t="str">
        <f>IF('PART III-DEMOGRAPHICS'!A1514="","",'PART III-DEMOGRAPHICS'!A1514)</f>
        <v/>
      </c>
      <c r="B1504" s="28"/>
      <c r="C1504" s="27"/>
      <c r="D1504" s="28"/>
      <c r="E1504" s="21"/>
      <c r="F1504" s="36" t="str">
        <f t="shared" si="50"/>
        <v>Did Not</v>
      </c>
      <c r="G1504" s="28"/>
      <c r="H1504" s="28"/>
      <c r="I1504" s="28"/>
      <c r="J1504" s="28"/>
      <c r="K1504" s="28"/>
      <c r="L1504" s="28"/>
      <c r="M1504" s="28"/>
      <c r="N1504" s="21"/>
      <c r="O1504" s="28"/>
      <c r="P1504" s="38"/>
      <c r="Q1504" s="21"/>
      <c r="R1504" s="21"/>
      <c r="S1504" s="47"/>
      <c r="T1504" s="25">
        <f t="shared" si="49"/>
        <v>0</v>
      </c>
      <c r="U1504" s="25" t="str">
        <f>IF('PART III-DEMOGRAPHICS'!Q1514="","",'PART III-DEMOGRAPHICS'!Q1514)</f>
        <v/>
      </c>
    </row>
    <row r="1505" spans="1:21">
      <c r="A1505" s="25" t="str">
        <f>IF('PART III-DEMOGRAPHICS'!A1515="","",'PART III-DEMOGRAPHICS'!A1515)</f>
        <v/>
      </c>
      <c r="B1505" s="28"/>
      <c r="C1505" s="27"/>
      <c r="D1505" s="28"/>
      <c r="E1505" s="21"/>
      <c r="F1505" s="36" t="str">
        <f t="shared" si="50"/>
        <v>Did Not</v>
      </c>
      <c r="G1505" s="28"/>
      <c r="H1505" s="28"/>
      <c r="I1505" s="28"/>
      <c r="J1505" s="28"/>
      <c r="K1505" s="28"/>
      <c r="L1505" s="28"/>
      <c r="M1505" s="28"/>
      <c r="N1505" s="21"/>
      <c r="O1505" s="28"/>
      <c r="P1505" s="38"/>
      <c r="Q1505" s="21"/>
      <c r="R1505" s="21"/>
      <c r="S1505" s="47"/>
      <c r="T1505" s="25">
        <f t="shared" si="49"/>
        <v>0</v>
      </c>
      <c r="U1505" s="25" t="str">
        <f>IF('PART III-DEMOGRAPHICS'!Q1515="","",'PART III-DEMOGRAPHICS'!Q1515)</f>
        <v/>
      </c>
    </row>
    <row r="1506" spans="1:21">
      <c r="A1506" s="25" t="str">
        <f>IF('PART III-DEMOGRAPHICS'!A1516="","",'PART III-DEMOGRAPHICS'!A1516)</f>
        <v/>
      </c>
      <c r="B1506" s="28"/>
      <c r="C1506" s="27"/>
      <c r="D1506" s="28"/>
      <c r="E1506" s="21"/>
      <c r="F1506" s="36" t="str">
        <f t="shared" si="50"/>
        <v>Did Not</v>
      </c>
      <c r="G1506" s="28"/>
      <c r="H1506" s="28"/>
      <c r="I1506" s="28"/>
      <c r="J1506" s="28"/>
      <c r="K1506" s="28"/>
      <c r="L1506" s="28"/>
      <c r="M1506" s="28"/>
      <c r="N1506" s="21"/>
      <c r="O1506" s="28"/>
      <c r="P1506" s="38"/>
      <c r="Q1506" s="21"/>
      <c r="R1506" s="21"/>
      <c r="S1506" s="47"/>
      <c r="T1506" s="25">
        <f t="shared" si="49"/>
        <v>0</v>
      </c>
      <c r="U1506" s="25" t="str">
        <f>IF('PART III-DEMOGRAPHICS'!Q1516="","",'PART III-DEMOGRAPHICS'!Q1516)</f>
        <v/>
      </c>
    </row>
    <row r="1507" spans="1:21">
      <c r="A1507" s="25" t="str">
        <f>IF('PART III-DEMOGRAPHICS'!A1517="","",'PART III-DEMOGRAPHICS'!A1517)</f>
        <v/>
      </c>
      <c r="B1507" s="28"/>
      <c r="C1507" s="27"/>
      <c r="D1507" s="28"/>
      <c r="E1507" s="21"/>
      <c r="F1507" s="36" t="str">
        <f t="shared" si="50"/>
        <v>Did Not</v>
      </c>
      <c r="G1507" s="28"/>
      <c r="H1507" s="28"/>
      <c r="I1507" s="28"/>
      <c r="J1507" s="28"/>
      <c r="K1507" s="28"/>
      <c r="L1507" s="28"/>
      <c r="M1507" s="28"/>
      <c r="N1507" s="21"/>
      <c r="O1507" s="28"/>
      <c r="P1507" s="38"/>
      <c r="Q1507" s="21"/>
      <c r="R1507" s="21"/>
      <c r="S1507" s="47"/>
      <c r="T1507" s="25">
        <f t="shared" si="49"/>
        <v>0</v>
      </c>
      <c r="U1507" s="25" t="str">
        <f>IF('PART III-DEMOGRAPHICS'!Q1517="","",'PART III-DEMOGRAPHICS'!Q1517)</f>
        <v/>
      </c>
    </row>
    <row r="1508" spans="1:21">
      <c r="A1508" s="25" t="str">
        <f>IF('PART III-DEMOGRAPHICS'!A1518="","",'PART III-DEMOGRAPHICS'!A1518)</f>
        <v/>
      </c>
      <c r="B1508" s="28"/>
      <c r="C1508" s="27"/>
      <c r="D1508" s="28"/>
      <c r="E1508" s="21"/>
      <c r="F1508" s="36" t="str">
        <f t="shared" si="50"/>
        <v>Did Not</v>
      </c>
      <c r="G1508" s="28"/>
      <c r="H1508" s="28"/>
      <c r="I1508" s="28"/>
      <c r="J1508" s="28"/>
      <c r="K1508" s="28"/>
      <c r="L1508" s="28"/>
      <c r="M1508" s="28"/>
      <c r="N1508" s="21"/>
      <c r="O1508" s="28"/>
      <c r="P1508" s="38"/>
      <c r="Q1508" s="21"/>
      <c r="R1508" s="21"/>
      <c r="S1508" s="47"/>
      <c r="T1508" s="25">
        <f t="shared" si="49"/>
        <v>0</v>
      </c>
      <c r="U1508" s="25" t="str">
        <f>IF('PART III-DEMOGRAPHICS'!Q1518="","",'PART III-DEMOGRAPHICS'!Q1518)</f>
        <v/>
      </c>
    </row>
    <row r="1509" spans="1:21">
      <c r="A1509" s="25" t="str">
        <f>IF('PART III-DEMOGRAPHICS'!A1519="","",'PART III-DEMOGRAPHICS'!A1519)</f>
        <v/>
      </c>
      <c r="B1509" s="28"/>
      <c r="C1509" s="27"/>
      <c r="D1509" s="28"/>
      <c r="E1509" s="21"/>
      <c r="F1509" s="36" t="str">
        <f t="shared" si="50"/>
        <v>Did Not</v>
      </c>
      <c r="G1509" s="28"/>
      <c r="H1509" s="28"/>
      <c r="I1509" s="28"/>
      <c r="J1509" s="28"/>
      <c r="K1509" s="28"/>
      <c r="L1509" s="28"/>
      <c r="M1509" s="28"/>
      <c r="N1509" s="21"/>
      <c r="O1509" s="28"/>
      <c r="P1509" s="38"/>
      <c r="Q1509" s="21"/>
      <c r="R1509" s="21"/>
      <c r="S1509" s="47"/>
      <c r="T1509" s="25">
        <f t="shared" si="49"/>
        <v>0</v>
      </c>
      <c r="U1509" s="25" t="str">
        <f>IF('PART III-DEMOGRAPHICS'!Q1519="","",'PART III-DEMOGRAPHICS'!Q1519)</f>
        <v/>
      </c>
    </row>
    <row r="1510" spans="1:21">
      <c r="A1510" s="25" t="str">
        <f>IF('PART III-DEMOGRAPHICS'!A1520="","",'PART III-DEMOGRAPHICS'!A1520)</f>
        <v/>
      </c>
      <c r="B1510" s="28"/>
      <c r="C1510" s="27"/>
      <c r="D1510" s="28"/>
      <c r="E1510" s="21"/>
      <c r="F1510" s="36" t="str">
        <f t="shared" si="50"/>
        <v>Did Not</v>
      </c>
      <c r="G1510" s="28"/>
      <c r="H1510" s="28"/>
      <c r="I1510" s="28"/>
      <c r="J1510" s="28"/>
      <c r="K1510" s="28"/>
      <c r="L1510" s="28"/>
      <c r="M1510" s="28"/>
      <c r="N1510" s="21"/>
      <c r="O1510" s="28"/>
      <c r="P1510" s="38"/>
      <c r="Q1510" s="21"/>
      <c r="R1510" s="21"/>
      <c r="S1510" s="47"/>
      <c r="T1510" s="25">
        <f t="shared" si="49"/>
        <v>0</v>
      </c>
      <c r="U1510" s="25" t="str">
        <f>IF('PART III-DEMOGRAPHICS'!Q1520="","",'PART III-DEMOGRAPHICS'!Q1520)</f>
        <v/>
      </c>
    </row>
    <row r="1511" spans="1:21">
      <c r="A1511" s="25" t="str">
        <f>IF('PART III-DEMOGRAPHICS'!A1521="","",'PART III-DEMOGRAPHICS'!A1521)</f>
        <v/>
      </c>
      <c r="B1511" s="28"/>
      <c r="C1511" s="27"/>
      <c r="D1511" s="28"/>
      <c r="E1511" s="21"/>
      <c r="F1511" s="36" t="str">
        <f t="shared" si="50"/>
        <v>Did Not</v>
      </c>
      <c r="G1511" s="28"/>
      <c r="H1511" s="28"/>
      <c r="I1511" s="28"/>
      <c r="J1511" s="28"/>
      <c r="K1511" s="28"/>
      <c r="L1511" s="28"/>
      <c r="M1511" s="28"/>
      <c r="N1511" s="21"/>
      <c r="O1511" s="28"/>
      <c r="P1511" s="38"/>
      <c r="Q1511" s="21"/>
      <c r="R1511" s="21"/>
      <c r="S1511" s="47"/>
      <c r="T1511" s="25">
        <f t="shared" si="49"/>
        <v>0</v>
      </c>
      <c r="U1511" s="25" t="str">
        <f>IF('PART III-DEMOGRAPHICS'!Q1521="","",'PART III-DEMOGRAPHICS'!Q1521)</f>
        <v/>
      </c>
    </row>
    <row r="1512" spans="1:21">
      <c r="A1512" s="25" t="str">
        <f>IF('PART III-DEMOGRAPHICS'!A1522="","",'PART III-DEMOGRAPHICS'!A1522)</f>
        <v/>
      </c>
      <c r="B1512" s="28"/>
      <c r="C1512" s="27"/>
      <c r="D1512" s="28"/>
      <c r="E1512" s="21"/>
      <c r="F1512" s="36" t="str">
        <f t="shared" si="50"/>
        <v>Did Not</v>
      </c>
      <c r="G1512" s="28"/>
      <c r="H1512" s="28"/>
      <c r="I1512" s="28"/>
      <c r="J1512" s="28"/>
      <c r="K1512" s="28"/>
      <c r="L1512" s="28"/>
      <c r="M1512" s="28"/>
      <c r="N1512" s="21"/>
      <c r="O1512" s="28"/>
      <c r="P1512" s="38"/>
      <c r="Q1512" s="21"/>
      <c r="R1512" s="21"/>
      <c r="S1512" s="47"/>
      <c r="T1512" s="25">
        <f t="shared" si="49"/>
        <v>0</v>
      </c>
      <c r="U1512" s="25" t="str">
        <f>IF('PART III-DEMOGRAPHICS'!Q1522="","",'PART III-DEMOGRAPHICS'!Q1522)</f>
        <v/>
      </c>
    </row>
    <row r="1513" spans="1:21">
      <c r="A1513" s="25" t="str">
        <f>IF('PART III-DEMOGRAPHICS'!A1523="","",'PART III-DEMOGRAPHICS'!A1523)</f>
        <v/>
      </c>
      <c r="B1513" s="28"/>
      <c r="C1513" s="27"/>
      <c r="D1513" s="28"/>
      <c r="E1513" s="21"/>
      <c r="F1513" s="36" t="str">
        <f t="shared" si="50"/>
        <v>Did Not</v>
      </c>
      <c r="G1513" s="28"/>
      <c r="H1513" s="28"/>
      <c r="I1513" s="28"/>
      <c r="J1513" s="28"/>
      <c r="K1513" s="28"/>
      <c r="L1513" s="28"/>
      <c r="M1513" s="28"/>
      <c r="N1513" s="21"/>
      <c r="O1513" s="28"/>
      <c r="P1513" s="38"/>
      <c r="Q1513" s="21"/>
      <c r="R1513" s="21"/>
      <c r="S1513" s="47"/>
      <c r="T1513" s="25">
        <f t="shared" si="49"/>
        <v>0</v>
      </c>
      <c r="U1513" s="25" t="str">
        <f>IF('PART III-DEMOGRAPHICS'!Q1523="","",'PART III-DEMOGRAPHICS'!Q1523)</f>
        <v/>
      </c>
    </row>
    <row r="1514" spans="1:21">
      <c r="A1514" s="25" t="str">
        <f>IF('PART III-DEMOGRAPHICS'!A1524="","",'PART III-DEMOGRAPHICS'!A1524)</f>
        <v/>
      </c>
      <c r="B1514" s="28"/>
      <c r="C1514" s="27"/>
      <c r="D1514" s="28"/>
      <c r="E1514" s="21"/>
      <c r="F1514" s="36" t="str">
        <f t="shared" si="50"/>
        <v>Did Not</v>
      </c>
      <c r="G1514" s="28"/>
      <c r="H1514" s="28"/>
      <c r="I1514" s="28"/>
      <c r="J1514" s="28"/>
      <c r="K1514" s="28"/>
      <c r="L1514" s="28"/>
      <c r="M1514" s="28"/>
      <c r="N1514" s="21"/>
      <c r="O1514" s="28"/>
      <c r="P1514" s="38"/>
      <c r="Q1514" s="21"/>
      <c r="R1514" s="21"/>
      <c r="S1514" s="47"/>
      <c r="T1514" s="25">
        <f t="shared" si="49"/>
        <v>0</v>
      </c>
      <c r="U1514" s="25" t="str">
        <f>IF('PART III-DEMOGRAPHICS'!Q1524="","",'PART III-DEMOGRAPHICS'!Q1524)</f>
        <v/>
      </c>
    </row>
    <row r="1515" spans="1:21">
      <c r="A1515" s="25" t="str">
        <f>IF('PART III-DEMOGRAPHICS'!A1525="","",'PART III-DEMOGRAPHICS'!A1525)</f>
        <v/>
      </c>
      <c r="B1515" s="28"/>
      <c r="C1515" s="27"/>
      <c r="D1515" s="28"/>
      <c r="E1515" s="21"/>
      <c r="F1515" s="36" t="str">
        <f t="shared" si="50"/>
        <v>Did Not</v>
      </c>
      <c r="G1515" s="28"/>
      <c r="H1515" s="28"/>
      <c r="I1515" s="28"/>
      <c r="J1515" s="28"/>
      <c r="K1515" s="28"/>
      <c r="L1515" s="28"/>
      <c r="M1515" s="28"/>
      <c r="N1515" s="21"/>
      <c r="O1515" s="28"/>
      <c r="P1515" s="38"/>
      <c r="Q1515" s="21"/>
      <c r="R1515" s="21"/>
      <c r="S1515" s="47"/>
      <c r="T1515" s="25">
        <f t="shared" si="49"/>
        <v>0</v>
      </c>
      <c r="U1515" s="25" t="str">
        <f>IF('PART III-DEMOGRAPHICS'!Q1525="","",'PART III-DEMOGRAPHICS'!Q1525)</f>
        <v/>
      </c>
    </row>
    <row r="1516" spans="1:21">
      <c r="A1516" s="25" t="str">
        <f>IF('PART III-DEMOGRAPHICS'!A1526="","",'PART III-DEMOGRAPHICS'!A1526)</f>
        <v/>
      </c>
      <c r="B1516" s="28"/>
      <c r="C1516" s="27"/>
      <c r="D1516" s="28"/>
      <c r="E1516" s="21"/>
      <c r="F1516" s="36" t="str">
        <f t="shared" si="50"/>
        <v>Did Not</v>
      </c>
      <c r="G1516" s="28"/>
      <c r="H1516" s="28"/>
      <c r="I1516" s="28"/>
      <c r="J1516" s="28"/>
      <c r="K1516" s="28"/>
      <c r="L1516" s="28"/>
      <c r="M1516" s="28"/>
      <c r="N1516" s="21"/>
      <c r="O1516" s="28"/>
      <c r="P1516" s="38"/>
      <c r="Q1516" s="21"/>
      <c r="R1516" s="21"/>
      <c r="S1516" s="47"/>
      <c r="T1516" s="25">
        <f t="shared" si="49"/>
        <v>0</v>
      </c>
      <c r="U1516" s="25" t="str">
        <f>IF('PART III-DEMOGRAPHICS'!Q1526="","",'PART III-DEMOGRAPHICS'!Q1526)</f>
        <v/>
      </c>
    </row>
    <row r="1517" spans="1:21">
      <c r="A1517" s="25" t="str">
        <f>IF('PART III-DEMOGRAPHICS'!A1527="","",'PART III-DEMOGRAPHICS'!A1527)</f>
        <v/>
      </c>
      <c r="B1517" s="28"/>
      <c r="C1517" s="27"/>
      <c r="D1517" s="28"/>
      <c r="E1517" s="21"/>
      <c r="F1517" s="36" t="str">
        <f t="shared" si="50"/>
        <v>Did Not</v>
      </c>
      <c r="G1517" s="28"/>
      <c r="H1517" s="28"/>
      <c r="I1517" s="28"/>
      <c r="J1517" s="28"/>
      <c r="K1517" s="28"/>
      <c r="L1517" s="28"/>
      <c r="M1517" s="28"/>
      <c r="N1517" s="21"/>
      <c r="O1517" s="28"/>
      <c r="P1517" s="38"/>
      <c r="Q1517" s="21"/>
      <c r="R1517" s="21"/>
      <c r="S1517" s="47"/>
      <c r="T1517" s="25">
        <f t="shared" si="49"/>
        <v>0</v>
      </c>
      <c r="U1517" s="25" t="str">
        <f>IF('PART III-DEMOGRAPHICS'!Q1527="","",'PART III-DEMOGRAPHICS'!Q1527)</f>
        <v/>
      </c>
    </row>
    <row r="1518" spans="1:21">
      <c r="A1518" s="25" t="str">
        <f>IF('PART III-DEMOGRAPHICS'!A1528="","",'PART III-DEMOGRAPHICS'!A1528)</f>
        <v/>
      </c>
      <c r="B1518" s="28"/>
      <c r="C1518" s="27"/>
      <c r="D1518" s="28"/>
      <c r="E1518" s="21"/>
      <c r="F1518" s="36" t="str">
        <f t="shared" si="50"/>
        <v>Did Not</v>
      </c>
      <c r="G1518" s="28"/>
      <c r="H1518" s="28"/>
      <c r="I1518" s="28"/>
      <c r="J1518" s="28"/>
      <c r="K1518" s="28"/>
      <c r="L1518" s="28"/>
      <c r="M1518" s="28"/>
      <c r="N1518" s="21"/>
      <c r="O1518" s="28"/>
      <c r="P1518" s="38"/>
      <c r="Q1518" s="21"/>
      <c r="R1518" s="21"/>
      <c r="S1518" s="47"/>
      <c r="T1518" s="25">
        <f t="shared" si="49"/>
        <v>0</v>
      </c>
      <c r="U1518" s="25" t="str">
        <f>IF('PART III-DEMOGRAPHICS'!Q1528="","",'PART III-DEMOGRAPHICS'!Q1528)</f>
        <v/>
      </c>
    </row>
    <row r="1519" spans="1:21">
      <c r="A1519" s="25" t="str">
        <f>IF('PART III-DEMOGRAPHICS'!A1529="","",'PART III-DEMOGRAPHICS'!A1529)</f>
        <v/>
      </c>
      <c r="B1519" s="28"/>
      <c r="C1519" s="27"/>
      <c r="D1519" s="28"/>
      <c r="E1519" s="21"/>
      <c r="F1519" s="36" t="str">
        <f t="shared" si="50"/>
        <v>Did Not</v>
      </c>
      <c r="G1519" s="28"/>
      <c r="H1519" s="28"/>
      <c r="I1519" s="28"/>
      <c r="J1519" s="28"/>
      <c r="K1519" s="28"/>
      <c r="L1519" s="28"/>
      <c r="M1519" s="28"/>
      <c r="N1519" s="21"/>
      <c r="O1519" s="28"/>
      <c r="P1519" s="38"/>
      <c r="Q1519" s="21"/>
      <c r="R1519" s="21"/>
      <c r="S1519" s="47"/>
      <c r="T1519" s="25">
        <f t="shared" si="49"/>
        <v>0</v>
      </c>
      <c r="U1519" s="25" t="str">
        <f>IF('PART III-DEMOGRAPHICS'!Q1529="","",'PART III-DEMOGRAPHICS'!Q1529)</f>
        <v/>
      </c>
    </row>
    <row r="1520" spans="1:21">
      <c r="A1520" s="25" t="str">
        <f>IF('PART III-DEMOGRAPHICS'!A1530="","",'PART III-DEMOGRAPHICS'!A1530)</f>
        <v/>
      </c>
      <c r="B1520" s="28"/>
      <c r="C1520" s="27"/>
      <c r="D1520" s="28"/>
      <c r="E1520" s="21"/>
      <c r="F1520" s="36" t="str">
        <f t="shared" si="50"/>
        <v>Did Not</v>
      </c>
      <c r="G1520" s="28"/>
      <c r="H1520" s="28"/>
      <c r="I1520" s="28"/>
      <c r="J1520" s="28"/>
      <c r="K1520" s="28"/>
      <c r="L1520" s="28"/>
      <c r="M1520" s="28"/>
      <c r="N1520" s="21"/>
      <c r="O1520" s="28"/>
      <c r="P1520" s="38"/>
      <c r="Q1520" s="21"/>
      <c r="R1520" s="21"/>
      <c r="S1520" s="47"/>
      <c r="T1520" s="25">
        <f t="shared" si="49"/>
        <v>0</v>
      </c>
      <c r="U1520" s="25" t="str">
        <f>IF('PART III-DEMOGRAPHICS'!Q1530="","",'PART III-DEMOGRAPHICS'!Q1530)</f>
        <v/>
      </c>
    </row>
    <row r="1521" spans="1:21">
      <c r="A1521" s="25" t="str">
        <f>IF('PART III-DEMOGRAPHICS'!A1531="","",'PART III-DEMOGRAPHICS'!A1531)</f>
        <v/>
      </c>
      <c r="B1521" s="28"/>
      <c r="C1521" s="27"/>
      <c r="D1521" s="28"/>
      <c r="E1521" s="21"/>
      <c r="F1521" s="36" t="str">
        <f t="shared" si="50"/>
        <v>Did Not</v>
      </c>
      <c r="G1521" s="28"/>
      <c r="H1521" s="28"/>
      <c r="I1521" s="28"/>
      <c r="J1521" s="28"/>
      <c r="K1521" s="28"/>
      <c r="L1521" s="28"/>
      <c r="M1521" s="28"/>
      <c r="N1521" s="21"/>
      <c r="O1521" s="28"/>
      <c r="P1521" s="38"/>
      <c r="Q1521" s="21"/>
      <c r="R1521" s="21"/>
      <c r="S1521" s="47"/>
      <c r="T1521" s="25">
        <f t="shared" si="49"/>
        <v>0</v>
      </c>
      <c r="U1521" s="25" t="str">
        <f>IF('PART III-DEMOGRAPHICS'!Q1531="","",'PART III-DEMOGRAPHICS'!Q1531)</f>
        <v/>
      </c>
    </row>
    <row r="1522" spans="1:21">
      <c r="A1522" s="25" t="str">
        <f>IF('PART III-DEMOGRAPHICS'!A1532="","",'PART III-DEMOGRAPHICS'!A1532)</f>
        <v/>
      </c>
      <c r="B1522" s="28"/>
      <c r="C1522" s="27"/>
      <c r="D1522" s="28"/>
      <c r="E1522" s="21"/>
      <c r="F1522" s="36" t="str">
        <f t="shared" si="50"/>
        <v>Did Not</v>
      </c>
      <c r="G1522" s="28"/>
      <c r="H1522" s="28"/>
      <c r="I1522" s="28"/>
      <c r="J1522" s="28"/>
      <c r="K1522" s="28"/>
      <c r="L1522" s="28"/>
      <c r="M1522" s="28"/>
      <c r="N1522" s="21"/>
      <c r="O1522" s="28"/>
      <c r="P1522" s="38"/>
      <c r="Q1522" s="21"/>
      <c r="R1522" s="21"/>
      <c r="S1522" s="47"/>
      <c r="T1522" s="25">
        <f t="shared" si="49"/>
        <v>0</v>
      </c>
      <c r="U1522" s="25" t="str">
        <f>IF('PART III-DEMOGRAPHICS'!Q1532="","",'PART III-DEMOGRAPHICS'!Q1532)</f>
        <v/>
      </c>
    </row>
    <row r="1523" spans="1:21">
      <c r="A1523" s="25" t="str">
        <f>IF('PART III-DEMOGRAPHICS'!A1533="","",'PART III-DEMOGRAPHICS'!A1533)</f>
        <v/>
      </c>
      <c r="B1523" s="28"/>
      <c r="C1523" s="27"/>
      <c r="D1523" s="28"/>
      <c r="E1523" s="21"/>
      <c r="F1523" s="36" t="str">
        <f t="shared" si="50"/>
        <v>Did Not</v>
      </c>
      <c r="G1523" s="28"/>
      <c r="H1523" s="28"/>
      <c r="I1523" s="28"/>
      <c r="J1523" s="28"/>
      <c r="K1523" s="28"/>
      <c r="L1523" s="28"/>
      <c r="M1523" s="28"/>
      <c r="N1523" s="21"/>
      <c r="O1523" s="28"/>
      <c r="P1523" s="38"/>
      <c r="Q1523" s="21"/>
      <c r="R1523" s="21"/>
      <c r="S1523" s="47"/>
      <c r="T1523" s="25">
        <f t="shared" si="49"/>
        <v>0</v>
      </c>
      <c r="U1523" s="25" t="str">
        <f>IF('PART III-DEMOGRAPHICS'!Q1533="","",'PART III-DEMOGRAPHICS'!Q1533)</f>
        <v/>
      </c>
    </row>
    <row r="1524" spans="1:21">
      <c r="A1524" s="25" t="str">
        <f>IF('PART III-DEMOGRAPHICS'!A1534="","",'PART III-DEMOGRAPHICS'!A1534)</f>
        <v/>
      </c>
      <c r="B1524" s="28"/>
      <c r="C1524" s="27"/>
      <c r="D1524" s="28"/>
      <c r="E1524" s="21"/>
      <c r="F1524" s="36" t="str">
        <f t="shared" si="50"/>
        <v>Did Not</v>
      </c>
      <c r="G1524" s="28"/>
      <c r="H1524" s="28"/>
      <c r="I1524" s="28"/>
      <c r="J1524" s="28"/>
      <c r="K1524" s="28"/>
      <c r="L1524" s="28"/>
      <c r="M1524" s="28"/>
      <c r="N1524" s="21"/>
      <c r="O1524" s="28"/>
      <c r="P1524" s="38"/>
      <c r="Q1524" s="21"/>
      <c r="R1524" s="21"/>
      <c r="S1524" s="47"/>
      <c r="T1524" s="25">
        <f t="shared" si="49"/>
        <v>0</v>
      </c>
      <c r="U1524" s="25" t="str">
        <f>IF('PART III-DEMOGRAPHICS'!Q1534="","",'PART III-DEMOGRAPHICS'!Q1534)</f>
        <v/>
      </c>
    </row>
    <row r="1525" spans="1:21">
      <c r="A1525" s="25" t="str">
        <f>IF('PART III-DEMOGRAPHICS'!A1535="","",'PART III-DEMOGRAPHICS'!A1535)</f>
        <v/>
      </c>
      <c r="B1525" s="28"/>
      <c r="C1525" s="27"/>
      <c r="D1525" s="28"/>
      <c r="E1525" s="21"/>
      <c r="F1525" s="36" t="str">
        <f t="shared" si="50"/>
        <v>Did Not</v>
      </c>
      <c r="G1525" s="28"/>
      <c r="H1525" s="28"/>
      <c r="I1525" s="28"/>
      <c r="J1525" s="28"/>
      <c r="K1525" s="28"/>
      <c r="L1525" s="28"/>
      <c r="M1525" s="28"/>
      <c r="N1525" s="21"/>
      <c r="O1525" s="28"/>
      <c r="P1525" s="38"/>
      <c r="Q1525" s="21"/>
      <c r="R1525" s="21"/>
      <c r="S1525" s="47"/>
      <c r="T1525" s="25">
        <f t="shared" si="49"/>
        <v>0</v>
      </c>
      <c r="U1525" s="25" t="str">
        <f>IF('PART III-DEMOGRAPHICS'!Q1535="","",'PART III-DEMOGRAPHICS'!Q1535)</f>
        <v/>
      </c>
    </row>
    <row r="1526" spans="1:21">
      <c r="A1526" s="25" t="str">
        <f>IF('PART III-DEMOGRAPHICS'!A1536="","",'PART III-DEMOGRAPHICS'!A1536)</f>
        <v/>
      </c>
      <c r="B1526" s="28"/>
      <c r="C1526" s="27"/>
      <c r="D1526" s="28"/>
      <c r="E1526" s="21"/>
      <c r="F1526" s="36" t="str">
        <f t="shared" si="50"/>
        <v>Did Not</v>
      </c>
      <c r="G1526" s="28"/>
      <c r="H1526" s="28"/>
      <c r="I1526" s="28"/>
      <c r="J1526" s="28"/>
      <c r="K1526" s="28"/>
      <c r="L1526" s="28"/>
      <c r="M1526" s="28"/>
      <c r="N1526" s="21"/>
      <c r="O1526" s="28"/>
      <c r="P1526" s="38"/>
      <c r="Q1526" s="21"/>
      <c r="R1526" s="21"/>
      <c r="S1526" s="47"/>
      <c r="T1526" s="25">
        <f t="shared" si="49"/>
        <v>0</v>
      </c>
      <c r="U1526" s="25" t="str">
        <f>IF('PART III-DEMOGRAPHICS'!Q1536="","",'PART III-DEMOGRAPHICS'!Q1536)</f>
        <v/>
      </c>
    </row>
    <row r="1527" spans="1:21">
      <c r="A1527" s="25" t="str">
        <f>IF('PART III-DEMOGRAPHICS'!A1537="","",'PART III-DEMOGRAPHICS'!A1537)</f>
        <v/>
      </c>
      <c r="B1527" s="28"/>
      <c r="C1527" s="27"/>
      <c r="D1527" s="28"/>
      <c r="E1527" s="21"/>
      <c r="F1527" s="36" t="str">
        <f t="shared" si="50"/>
        <v>Did Not</v>
      </c>
      <c r="G1527" s="28"/>
      <c r="H1527" s="28"/>
      <c r="I1527" s="28"/>
      <c r="J1527" s="28"/>
      <c r="K1527" s="28"/>
      <c r="L1527" s="28"/>
      <c r="M1527" s="28"/>
      <c r="N1527" s="21"/>
      <c r="O1527" s="28"/>
      <c r="P1527" s="38"/>
      <c r="Q1527" s="21"/>
      <c r="R1527" s="21"/>
      <c r="S1527" s="47"/>
      <c r="T1527" s="25">
        <f t="shared" si="49"/>
        <v>0</v>
      </c>
      <c r="U1527" s="25" t="str">
        <f>IF('PART III-DEMOGRAPHICS'!Q1537="","",'PART III-DEMOGRAPHICS'!Q1537)</f>
        <v/>
      </c>
    </row>
    <row r="1528" spans="1:21">
      <c r="A1528" s="25" t="str">
        <f>IF('PART III-DEMOGRAPHICS'!A1538="","",'PART III-DEMOGRAPHICS'!A1538)</f>
        <v/>
      </c>
      <c r="B1528" s="28"/>
      <c r="C1528" s="27"/>
      <c r="D1528" s="28"/>
      <c r="E1528" s="21"/>
      <c r="F1528" s="36" t="str">
        <f t="shared" si="50"/>
        <v>Did Not</v>
      </c>
      <c r="G1528" s="28"/>
      <c r="H1528" s="28"/>
      <c r="I1528" s="28"/>
      <c r="J1528" s="28"/>
      <c r="K1528" s="28"/>
      <c r="L1528" s="28"/>
      <c r="M1528" s="28"/>
      <c r="N1528" s="21"/>
      <c r="O1528" s="28"/>
      <c r="P1528" s="38"/>
      <c r="Q1528" s="21"/>
      <c r="R1528" s="21"/>
      <c r="S1528" s="47"/>
      <c r="T1528" s="25">
        <f t="shared" si="49"/>
        <v>0</v>
      </c>
      <c r="U1528" s="25" t="str">
        <f>IF('PART III-DEMOGRAPHICS'!Q1538="","",'PART III-DEMOGRAPHICS'!Q1538)</f>
        <v/>
      </c>
    </row>
    <row r="1529" spans="1:21">
      <c r="A1529" s="25" t="str">
        <f>IF('PART III-DEMOGRAPHICS'!A1539="","",'PART III-DEMOGRAPHICS'!A1539)</f>
        <v/>
      </c>
      <c r="B1529" s="28"/>
      <c r="C1529" s="27"/>
      <c r="D1529" s="28"/>
      <c r="E1529" s="21"/>
      <c r="F1529" s="36" t="str">
        <f t="shared" si="50"/>
        <v>Did Not</v>
      </c>
      <c r="G1529" s="28"/>
      <c r="H1529" s="28"/>
      <c r="I1529" s="28"/>
      <c r="J1529" s="28"/>
      <c r="K1529" s="28"/>
      <c r="L1529" s="28"/>
      <c r="M1529" s="28"/>
      <c r="N1529" s="21"/>
      <c r="O1529" s="28"/>
      <c r="P1529" s="38"/>
      <c r="Q1529" s="21"/>
      <c r="R1529" s="21"/>
      <c r="S1529" s="47"/>
      <c r="T1529" s="25">
        <f t="shared" si="49"/>
        <v>0</v>
      </c>
      <c r="U1529" s="25" t="str">
        <f>IF('PART III-DEMOGRAPHICS'!Q1539="","",'PART III-DEMOGRAPHICS'!Q1539)</f>
        <v/>
      </c>
    </row>
    <row r="1530" spans="1:21">
      <c r="A1530" s="25" t="str">
        <f>IF('PART III-DEMOGRAPHICS'!A1540="","",'PART III-DEMOGRAPHICS'!A1540)</f>
        <v/>
      </c>
      <c r="B1530" s="28"/>
      <c r="C1530" s="27"/>
      <c r="D1530" s="28"/>
      <c r="E1530" s="21"/>
      <c r="F1530" s="36" t="str">
        <f t="shared" si="50"/>
        <v>Did Not</v>
      </c>
      <c r="G1530" s="28"/>
      <c r="H1530" s="28"/>
      <c r="I1530" s="28"/>
      <c r="J1530" s="28"/>
      <c r="K1530" s="28"/>
      <c r="L1530" s="28"/>
      <c r="M1530" s="28"/>
      <c r="N1530" s="21"/>
      <c r="O1530" s="28"/>
      <c r="P1530" s="38"/>
      <c r="Q1530" s="21"/>
      <c r="R1530" s="21"/>
      <c r="S1530" s="47"/>
      <c r="T1530" s="25">
        <f t="shared" si="49"/>
        <v>0</v>
      </c>
      <c r="U1530" s="25" t="str">
        <f>IF('PART III-DEMOGRAPHICS'!Q1540="","",'PART III-DEMOGRAPHICS'!Q1540)</f>
        <v/>
      </c>
    </row>
    <row r="1531" spans="1:21">
      <c r="A1531" s="25" t="str">
        <f>IF('PART III-DEMOGRAPHICS'!A1541="","",'PART III-DEMOGRAPHICS'!A1541)</f>
        <v/>
      </c>
      <c r="B1531" s="28"/>
      <c r="C1531" s="27"/>
      <c r="D1531" s="28"/>
      <c r="E1531" s="21"/>
      <c r="F1531" s="36" t="str">
        <f t="shared" si="50"/>
        <v>Did Not</v>
      </c>
      <c r="G1531" s="28"/>
      <c r="H1531" s="28"/>
      <c r="I1531" s="28"/>
      <c r="J1531" s="28"/>
      <c r="K1531" s="28"/>
      <c r="L1531" s="28"/>
      <c r="M1531" s="28"/>
      <c r="N1531" s="21"/>
      <c r="O1531" s="28"/>
      <c r="P1531" s="38"/>
      <c r="Q1531" s="21"/>
      <c r="R1531" s="21"/>
      <c r="S1531" s="47"/>
      <c r="T1531" s="25">
        <f t="shared" si="49"/>
        <v>0</v>
      </c>
      <c r="U1531" s="25" t="str">
        <f>IF('PART III-DEMOGRAPHICS'!Q1541="","",'PART III-DEMOGRAPHICS'!Q1541)</f>
        <v/>
      </c>
    </row>
    <row r="1532" spans="1:21">
      <c r="A1532" s="25" t="str">
        <f>IF('PART III-DEMOGRAPHICS'!A1542="","",'PART III-DEMOGRAPHICS'!A1542)</f>
        <v/>
      </c>
      <c r="B1532" s="28"/>
      <c r="C1532" s="27"/>
      <c r="D1532" s="28"/>
      <c r="E1532" s="21"/>
      <c r="F1532" s="36" t="str">
        <f t="shared" si="50"/>
        <v>Did Not</v>
      </c>
      <c r="G1532" s="28"/>
      <c r="H1532" s="28"/>
      <c r="I1532" s="28"/>
      <c r="J1532" s="28"/>
      <c r="K1532" s="28"/>
      <c r="L1532" s="28"/>
      <c r="M1532" s="28"/>
      <c r="N1532" s="21"/>
      <c r="O1532" s="28"/>
      <c r="P1532" s="38"/>
      <c r="Q1532" s="21"/>
      <c r="R1532" s="21"/>
      <c r="S1532" s="47"/>
      <c r="T1532" s="25">
        <f t="shared" si="49"/>
        <v>0</v>
      </c>
      <c r="U1532" s="25" t="str">
        <f>IF('PART III-DEMOGRAPHICS'!Q1542="","",'PART III-DEMOGRAPHICS'!Q1542)</f>
        <v/>
      </c>
    </row>
    <row r="1533" spans="1:21">
      <c r="A1533" s="25" t="str">
        <f>IF('PART III-DEMOGRAPHICS'!A1543="","",'PART III-DEMOGRAPHICS'!A1543)</f>
        <v/>
      </c>
      <c r="B1533" s="28"/>
      <c r="C1533" s="27"/>
      <c r="D1533" s="28"/>
      <c r="E1533" s="21"/>
      <c r="F1533" s="36" t="str">
        <f t="shared" si="50"/>
        <v>Did Not</v>
      </c>
      <c r="G1533" s="28"/>
      <c r="H1533" s="28"/>
      <c r="I1533" s="28"/>
      <c r="J1533" s="28"/>
      <c r="K1533" s="28"/>
      <c r="L1533" s="28"/>
      <c r="M1533" s="28"/>
      <c r="N1533" s="21"/>
      <c r="O1533" s="28"/>
      <c r="P1533" s="38"/>
      <c r="Q1533" s="21"/>
      <c r="R1533" s="21"/>
      <c r="S1533" s="47"/>
      <c r="T1533" s="25">
        <f t="shared" si="49"/>
        <v>0</v>
      </c>
      <c r="U1533" s="25" t="str">
        <f>IF('PART III-DEMOGRAPHICS'!Q1543="","",'PART III-DEMOGRAPHICS'!Q1543)</f>
        <v/>
      </c>
    </row>
    <row r="1534" spans="1:21">
      <c r="A1534" s="25" t="str">
        <f>IF('PART III-DEMOGRAPHICS'!A1544="","",'PART III-DEMOGRAPHICS'!A1544)</f>
        <v/>
      </c>
      <c r="B1534" s="28"/>
      <c r="C1534" s="27"/>
      <c r="D1534" s="28"/>
      <c r="E1534" s="21"/>
      <c r="F1534" s="36" t="str">
        <f t="shared" si="50"/>
        <v>Did Not</v>
      </c>
      <c r="G1534" s="28"/>
      <c r="H1534" s="28"/>
      <c r="I1534" s="28"/>
      <c r="J1534" s="28"/>
      <c r="K1534" s="28"/>
      <c r="L1534" s="28"/>
      <c r="M1534" s="28"/>
      <c r="N1534" s="21"/>
      <c r="O1534" s="28"/>
      <c r="P1534" s="38"/>
      <c r="Q1534" s="21"/>
      <c r="R1534" s="21"/>
      <c r="S1534" s="47"/>
      <c r="T1534" s="25">
        <f t="shared" si="49"/>
        <v>0</v>
      </c>
      <c r="U1534" s="25" t="str">
        <f>IF('PART III-DEMOGRAPHICS'!Q1544="","",'PART III-DEMOGRAPHICS'!Q1544)</f>
        <v/>
      </c>
    </row>
    <row r="1535" spans="1:21">
      <c r="A1535" s="25" t="str">
        <f>IF('PART III-DEMOGRAPHICS'!A1545="","",'PART III-DEMOGRAPHICS'!A1545)</f>
        <v/>
      </c>
      <c r="B1535" s="28"/>
      <c r="C1535" s="27"/>
      <c r="D1535" s="28"/>
      <c r="E1535" s="21"/>
      <c r="F1535" s="36" t="str">
        <f t="shared" si="50"/>
        <v>Did Not</v>
      </c>
      <c r="G1535" s="28"/>
      <c r="H1535" s="28"/>
      <c r="I1535" s="28"/>
      <c r="J1535" s="28"/>
      <c r="K1535" s="28"/>
      <c r="L1535" s="28"/>
      <c r="M1535" s="28"/>
      <c r="N1535" s="21"/>
      <c r="O1535" s="28"/>
      <c r="P1535" s="38"/>
      <c r="Q1535" s="21"/>
      <c r="R1535" s="21"/>
      <c r="S1535" s="47"/>
      <c r="T1535" s="25">
        <f t="shared" si="49"/>
        <v>0</v>
      </c>
      <c r="U1535" s="25" t="str">
        <f>IF('PART III-DEMOGRAPHICS'!Q1545="","",'PART III-DEMOGRAPHICS'!Q1545)</f>
        <v/>
      </c>
    </row>
    <row r="1536" spans="1:21">
      <c r="A1536" s="25" t="str">
        <f>IF('PART III-DEMOGRAPHICS'!A1546="","",'PART III-DEMOGRAPHICS'!A1546)</f>
        <v/>
      </c>
      <c r="B1536" s="28"/>
      <c r="C1536" s="27"/>
      <c r="D1536" s="28"/>
      <c r="E1536" s="21"/>
      <c r="F1536" s="36" t="str">
        <f t="shared" si="50"/>
        <v>Did Not</v>
      </c>
      <c r="G1536" s="28"/>
      <c r="H1536" s="28"/>
      <c r="I1536" s="28"/>
      <c r="J1536" s="28"/>
      <c r="K1536" s="28"/>
      <c r="L1536" s="28"/>
      <c r="M1536" s="28"/>
      <c r="N1536" s="21"/>
      <c r="O1536" s="28"/>
      <c r="P1536" s="38"/>
      <c r="Q1536" s="21"/>
      <c r="R1536" s="21"/>
      <c r="S1536" s="47"/>
      <c r="T1536" s="25">
        <f t="shared" si="49"/>
        <v>0</v>
      </c>
      <c r="U1536" s="25" t="str">
        <f>IF('PART III-DEMOGRAPHICS'!Q1546="","",'PART III-DEMOGRAPHICS'!Q1546)</f>
        <v/>
      </c>
    </row>
    <row r="1537" spans="1:21">
      <c r="A1537" s="25" t="str">
        <f>IF('PART III-DEMOGRAPHICS'!A1547="","",'PART III-DEMOGRAPHICS'!A1547)</f>
        <v/>
      </c>
      <c r="B1537" s="28"/>
      <c r="C1537" s="27"/>
      <c r="D1537" s="28"/>
      <c r="E1537" s="21"/>
      <c r="F1537" s="36" t="str">
        <f t="shared" si="50"/>
        <v>Did Not</v>
      </c>
      <c r="G1537" s="28"/>
      <c r="H1537" s="28"/>
      <c r="I1537" s="28"/>
      <c r="J1537" s="28"/>
      <c r="K1537" s="28"/>
      <c r="L1537" s="28"/>
      <c r="M1537" s="28"/>
      <c r="N1537" s="21"/>
      <c r="O1537" s="28"/>
      <c r="P1537" s="38"/>
      <c r="Q1537" s="21"/>
      <c r="R1537" s="21"/>
      <c r="S1537" s="47"/>
      <c r="T1537" s="25">
        <f t="shared" si="49"/>
        <v>0</v>
      </c>
      <c r="U1537" s="25" t="str">
        <f>IF('PART III-DEMOGRAPHICS'!Q1547="","",'PART III-DEMOGRAPHICS'!Q1547)</f>
        <v/>
      </c>
    </row>
    <row r="1538" spans="1:21">
      <c r="A1538" s="25" t="str">
        <f>IF('PART III-DEMOGRAPHICS'!A1548="","",'PART III-DEMOGRAPHICS'!A1548)</f>
        <v/>
      </c>
      <c r="B1538" s="28"/>
      <c r="C1538" s="27"/>
      <c r="D1538" s="28"/>
      <c r="E1538" s="21"/>
      <c r="F1538" s="36" t="str">
        <f t="shared" si="50"/>
        <v>Did Not</v>
      </c>
      <c r="G1538" s="28"/>
      <c r="H1538" s="28"/>
      <c r="I1538" s="28"/>
      <c r="J1538" s="28"/>
      <c r="K1538" s="28"/>
      <c r="L1538" s="28"/>
      <c r="M1538" s="28"/>
      <c r="N1538" s="21"/>
      <c r="O1538" s="28"/>
      <c r="P1538" s="38"/>
      <c r="Q1538" s="21"/>
      <c r="R1538" s="21"/>
      <c r="S1538" s="47"/>
      <c r="T1538" s="25">
        <f t="shared" si="49"/>
        <v>0</v>
      </c>
      <c r="U1538" s="25" t="str">
        <f>IF('PART III-DEMOGRAPHICS'!Q1548="","",'PART III-DEMOGRAPHICS'!Q1548)</f>
        <v/>
      </c>
    </row>
    <row r="1539" spans="1:21">
      <c r="A1539" s="25" t="str">
        <f>IF('PART III-DEMOGRAPHICS'!A1549="","",'PART III-DEMOGRAPHICS'!A1549)</f>
        <v/>
      </c>
      <c r="B1539" s="28"/>
      <c r="C1539" s="27"/>
      <c r="D1539" s="28"/>
      <c r="E1539" s="21"/>
      <c r="F1539" s="36" t="str">
        <f t="shared" si="50"/>
        <v>Did Not</v>
      </c>
      <c r="G1539" s="28"/>
      <c r="H1539" s="28"/>
      <c r="I1539" s="28"/>
      <c r="J1539" s="28"/>
      <c r="K1539" s="28"/>
      <c r="L1539" s="28"/>
      <c r="M1539" s="28"/>
      <c r="N1539" s="21"/>
      <c r="O1539" s="28"/>
      <c r="P1539" s="38"/>
      <c r="Q1539" s="21"/>
      <c r="R1539" s="21"/>
      <c r="S1539" s="47"/>
      <c r="T1539" s="25">
        <f t="shared" si="49"/>
        <v>0</v>
      </c>
      <c r="U1539" s="25" t="str">
        <f>IF('PART III-DEMOGRAPHICS'!Q1549="","",'PART III-DEMOGRAPHICS'!Q1549)</f>
        <v/>
      </c>
    </row>
    <row r="1540" spans="1:21">
      <c r="A1540" s="25" t="str">
        <f>IF('PART III-DEMOGRAPHICS'!A1550="","",'PART III-DEMOGRAPHICS'!A1550)</f>
        <v/>
      </c>
      <c r="B1540" s="28"/>
      <c r="C1540" s="27"/>
      <c r="D1540" s="28"/>
      <c r="E1540" s="21"/>
      <c r="F1540" s="36" t="str">
        <f t="shared" si="50"/>
        <v>Did Not</v>
      </c>
      <c r="G1540" s="28"/>
      <c r="H1540" s="28"/>
      <c r="I1540" s="28"/>
      <c r="J1540" s="28"/>
      <c r="K1540" s="28"/>
      <c r="L1540" s="28"/>
      <c r="M1540" s="28"/>
      <c r="N1540" s="21"/>
      <c r="O1540" s="28"/>
      <c r="P1540" s="38"/>
      <c r="Q1540" s="21"/>
      <c r="R1540" s="21"/>
      <c r="S1540" s="47"/>
      <c r="T1540" s="25">
        <f t="shared" si="49"/>
        <v>0</v>
      </c>
      <c r="U1540" s="25" t="str">
        <f>IF('PART III-DEMOGRAPHICS'!Q1550="","",'PART III-DEMOGRAPHICS'!Q1550)</f>
        <v/>
      </c>
    </row>
    <row r="1541" spans="1:21">
      <c r="A1541" s="25" t="str">
        <f>IF('PART III-DEMOGRAPHICS'!A1551="","",'PART III-DEMOGRAPHICS'!A1551)</f>
        <v/>
      </c>
      <c r="B1541" s="28"/>
      <c r="C1541" s="27"/>
      <c r="D1541" s="28"/>
      <c r="E1541" s="21"/>
      <c r="F1541" s="36" t="str">
        <f t="shared" si="50"/>
        <v>Did Not</v>
      </c>
      <c r="G1541" s="28"/>
      <c r="H1541" s="28"/>
      <c r="I1541" s="28"/>
      <c r="J1541" s="28"/>
      <c r="K1541" s="28"/>
      <c r="L1541" s="28"/>
      <c r="M1541" s="28"/>
      <c r="N1541" s="21"/>
      <c r="O1541" s="28"/>
      <c r="P1541" s="38"/>
      <c r="Q1541" s="21"/>
      <c r="R1541" s="21"/>
      <c r="S1541" s="47"/>
      <c r="T1541" s="25">
        <f t="shared" si="49"/>
        <v>0</v>
      </c>
      <c r="U1541" s="25" t="str">
        <f>IF('PART III-DEMOGRAPHICS'!Q1551="","",'PART III-DEMOGRAPHICS'!Q1551)</f>
        <v/>
      </c>
    </row>
    <row r="1542" spans="1:21">
      <c r="A1542" s="25" t="str">
        <f>IF('PART III-DEMOGRAPHICS'!A1552="","",'PART III-DEMOGRAPHICS'!A1552)</f>
        <v/>
      </c>
      <c r="B1542" s="28"/>
      <c r="C1542" s="27"/>
      <c r="D1542" s="28"/>
      <c r="E1542" s="21"/>
      <c r="F1542" s="36" t="str">
        <f t="shared" si="50"/>
        <v>Did Not</v>
      </c>
      <c r="G1542" s="28"/>
      <c r="H1542" s="28"/>
      <c r="I1542" s="28"/>
      <c r="J1542" s="28"/>
      <c r="K1542" s="28"/>
      <c r="L1542" s="28"/>
      <c r="M1542" s="28"/>
      <c r="N1542" s="21"/>
      <c r="O1542" s="28"/>
      <c r="P1542" s="38"/>
      <c r="Q1542" s="21"/>
      <c r="R1542" s="21"/>
      <c r="S1542" s="47"/>
      <c r="T1542" s="25">
        <f t="shared" si="49"/>
        <v>0</v>
      </c>
      <c r="U1542" s="25" t="str">
        <f>IF('PART III-DEMOGRAPHICS'!Q1552="","",'PART III-DEMOGRAPHICS'!Q1552)</f>
        <v/>
      </c>
    </row>
    <row r="1543" spans="1:21">
      <c r="A1543" s="25" t="str">
        <f>IF('PART III-DEMOGRAPHICS'!A1553="","",'PART III-DEMOGRAPHICS'!A1553)</f>
        <v/>
      </c>
      <c r="B1543" s="28"/>
      <c r="C1543" s="27"/>
      <c r="D1543" s="28"/>
      <c r="E1543" s="21"/>
      <c r="F1543" s="36" t="str">
        <f t="shared" si="50"/>
        <v>Did Not</v>
      </c>
      <c r="G1543" s="28"/>
      <c r="H1543" s="28"/>
      <c r="I1543" s="28"/>
      <c r="J1543" s="28"/>
      <c r="K1543" s="28"/>
      <c r="L1543" s="28"/>
      <c r="M1543" s="28"/>
      <c r="N1543" s="21"/>
      <c r="O1543" s="28"/>
      <c r="P1543" s="38"/>
      <c r="Q1543" s="21"/>
      <c r="R1543" s="21"/>
      <c r="S1543" s="47"/>
      <c r="T1543" s="25">
        <f t="shared" ref="T1543:T1606" si="51">COUNTIF(A1543:R1543,"Yes")</f>
        <v>0</v>
      </c>
      <c r="U1543" s="25" t="str">
        <f>IF('PART III-DEMOGRAPHICS'!Q1553="","",'PART III-DEMOGRAPHICS'!Q1553)</f>
        <v/>
      </c>
    </row>
    <row r="1544" spans="1:21">
      <c r="A1544" s="25" t="str">
        <f>IF('PART III-DEMOGRAPHICS'!A1554="","",'PART III-DEMOGRAPHICS'!A1554)</f>
        <v/>
      </c>
      <c r="B1544" s="28"/>
      <c r="C1544" s="27"/>
      <c r="D1544" s="28"/>
      <c r="E1544" s="21"/>
      <c r="F1544" s="36" t="str">
        <f t="shared" si="50"/>
        <v>Did Not</v>
      </c>
      <c r="G1544" s="28"/>
      <c r="H1544" s="28"/>
      <c r="I1544" s="28"/>
      <c r="J1544" s="28"/>
      <c r="K1544" s="28"/>
      <c r="L1544" s="28"/>
      <c r="M1544" s="28"/>
      <c r="N1544" s="21"/>
      <c r="O1544" s="28"/>
      <c r="P1544" s="38"/>
      <c r="Q1544" s="21"/>
      <c r="R1544" s="21"/>
      <c r="S1544" s="47"/>
      <c r="T1544" s="25">
        <f t="shared" si="51"/>
        <v>0</v>
      </c>
      <c r="U1544" s="25" t="str">
        <f>IF('PART III-DEMOGRAPHICS'!Q1554="","",'PART III-DEMOGRAPHICS'!Q1554)</f>
        <v/>
      </c>
    </row>
    <row r="1545" spans="1:21">
      <c r="A1545" s="25" t="str">
        <f>IF('PART III-DEMOGRAPHICS'!A1555="","",'PART III-DEMOGRAPHICS'!A1555)</f>
        <v/>
      </c>
      <c r="B1545" s="28"/>
      <c r="C1545" s="27"/>
      <c r="D1545" s="28"/>
      <c r="E1545" s="21"/>
      <c r="F1545" s="36" t="str">
        <f t="shared" si="50"/>
        <v>Did Not</v>
      </c>
      <c r="G1545" s="28"/>
      <c r="H1545" s="28"/>
      <c r="I1545" s="28"/>
      <c r="J1545" s="28"/>
      <c r="K1545" s="28"/>
      <c r="L1545" s="28"/>
      <c r="M1545" s="28"/>
      <c r="N1545" s="21"/>
      <c r="O1545" s="28"/>
      <c r="P1545" s="38"/>
      <c r="Q1545" s="21"/>
      <c r="R1545" s="21"/>
      <c r="S1545" s="47"/>
      <c r="T1545" s="25">
        <f t="shared" si="51"/>
        <v>0</v>
      </c>
      <c r="U1545" s="25" t="str">
        <f>IF('PART III-DEMOGRAPHICS'!Q1555="","",'PART III-DEMOGRAPHICS'!Q1555)</f>
        <v/>
      </c>
    </row>
    <row r="1546" spans="1:21">
      <c r="A1546" s="25" t="str">
        <f>IF('PART III-DEMOGRAPHICS'!A1556="","",'PART III-DEMOGRAPHICS'!A1556)</f>
        <v/>
      </c>
      <c r="B1546" s="28"/>
      <c r="C1546" s="27"/>
      <c r="D1546" s="28"/>
      <c r="E1546" s="21"/>
      <c r="F1546" s="36" t="str">
        <f t="shared" si="50"/>
        <v>Did Not</v>
      </c>
      <c r="G1546" s="28"/>
      <c r="H1546" s="28"/>
      <c r="I1546" s="28"/>
      <c r="J1546" s="28"/>
      <c r="K1546" s="28"/>
      <c r="L1546" s="28"/>
      <c r="M1546" s="28"/>
      <c r="N1546" s="21"/>
      <c r="O1546" s="28"/>
      <c r="P1546" s="38"/>
      <c r="Q1546" s="21"/>
      <c r="R1546" s="21"/>
      <c r="S1546" s="47"/>
      <c r="T1546" s="25">
        <f t="shared" si="51"/>
        <v>0</v>
      </c>
      <c r="U1546" s="25" t="str">
        <f>IF('PART III-DEMOGRAPHICS'!Q1556="","",'PART III-DEMOGRAPHICS'!Q1556)</f>
        <v/>
      </c>
    </row>
    <row r="1547" spans="1:21">
      <c r="A1547" s="25" t="str">
        <f>IF('PART III-DEMOGRAPHICS'!A1557="","",'PART III-DEMOGRAPHICS'!A1557)</f>
        <v/>
      </c>
      <c r="B1547" s="28"/>
      <c r="C1547" s="27"/>
      <c r="D1547" s="28"/>
      <c r="E1547" s="21"/>
      <c r="F1547" s="36" t="str">
        <f t="shared" si="50"/>
        <v>Did Not</v>
      </c>
      <c r="G1547" s="28"/>
      <c r="H1547" s="28"/>
      <c r="I1547" s="28"/>
      <c r="J1547" s="28"/>
      <c r="K1547" s="28"/>
      <c r="L1547" s="28"/>
      <c r="M1547" s="28"/>
      <c r="N1547" s="21"/>
      <c r="O1547" s="28"/>
      <c r="P1547" s="38"/>
      <c r="Q1547" s="21"/>
      <c r="R1547" s="21"/>
      <c r="S1547" s="47"/>
      <c r="T1547" s="25">
        <f t="shared" si="51"/>
        <v>0</v>
      </c>
      <c r="U1547" s="25" t="str">
        <f>IF('PART III-DEMOGRAPHICS'!Q1557="","",'PART III-DEMOGRAPHICS'!Q1557)</f>
        <v/>
      </c>
    </row>
    <row r="1548" spans="1:21">
      <c r="A1548" s="25" t="str">
        <f>IF('PART III-DEMOGRAPHICS'!A1558="","",'PART III-DEMOGRAPHICS'!A1558)</f>
        <v/>
      </c>
      <c r="B1548" s="28"/>
      <c r="C1548" s="27"/>
      <c r="D1548" s="28"/>
      <c r="E1548" s="21"/>
      <c r="F1548" s="36" t="str">
        <f t="shared" si="50"/>
        <v>Did Not</v>
      </c>
      <c r="G1548" s="28"/>
      <c r="H1548" s="28"/>
      <c r="I1548" s="28"/>
      <c r="J1548" s="28"/>
      <c r="K1548" s="28"/>
      <c r="L1548" s="28"/>
      <c r="M1548" s="28"/>
      <c r="N1548" s="21"/>
      <c r="O1548" s="28"/>
      <c r="P1548" s="38"/>
      <c r="Q1548" s="21"/>
      <c r="R1548" s="21"/>
      <c r="S1548" s="47"/>
      <c r="T1548" s="25">
        <f t="shared" si="51"/>
        <v>0</v>
      </c>
      <c r="U1548" s="25" t="str">
        <f>IF('PART III-DEMOGRAPHICS'!Q1558="","",'PART III-DEMOGRAPHICS'!Q1558)</f>
        <v/>
      </c>
    </row>
    <row r="1549" spans="1:21">
      <c r="A1549" s="25" t="str">
        <f>IF('PART III-DEMOGRAPHICS'!A1559="","",'PART III-DEMOGRAPHICS'!A1559)</f>
        <v/>
      </c>
      <c r="B1549" s="28"/>
      <c r="C1549" s="27"/>
      <c r="D1549" s="28"/>
      <c r="E1549" s="21"/>
      <c r="F1549" s="36" t="str">
        <f t="shared" si="50"/>
        <v>Did Not</v>
      </c>
      <c r="G1549" s="28"/>
      <c r="H1549" s="28"/>
      <c r="I1549" s="28"/>
      <c r="J1549" s="28"/>
      <c r="K1549" s="28"/>
      <c r="L1549" s="28"/>
      <c r="M1549" s="28"/>
      <c r="N1549" s="21"/>
      <c r="O1549" s="28"/>
      <c r="P1549" s="38"/>
      <c r="Q1549" s="21"/>
      <c r="R1549" s="21"/>
      <c r="S1549" s="47"/>
      <c r="T1549" s="25">
        <f t="shared" si="51"/>
        <v>0</v>
      </c>
      <c r="U1549" s="25" t="str">
        <f>IF('PART III-DEMOGRAPHICS'!Q1559="","",'PART III-DEMOGRAPHICS'!Q1559)</f>
        <v/>
      </c>
    </row>
    <row r="1550" spans="1:21">
      <c r="A1550" s="25" t="str">
        <f>IF('PART III-DEMOGRAPHICS'!A1560="","",'PART III-DEMOGRAPHICS'!A1560)</f>
        <v/>
      </c>
      <c r="B1550" s="28"/>
      <c r="C1550" s="27"/>
      <c r="D1550" s="28"/>
      <c r="E1550" s="21"/>
      <c r="F1550" s="36" t="str">
        <f t="shared" ref="F1550:F1613" si="52">IF(OR(G1550="Yes",H1550="Yes",I1550="Yes",J1550="Yes",K1550="Yes",L1550="Yes",M1550="Yes"),"Did","Did Not")</f>
        <v>Did Not</v>
      </c>
      <c r="G1550" s="28"/>
      <c r="H1550" s="28"/>
      <c r="I1550" s="28"/>
      <c r="J1550" s="28"/>
      <c r="K1550" s="28"/>
      <c r="L1550" s="28"/>
      <c r="M1550" s="28"/>
      <c r="N1550" s="21"/>
      <c r="O1550" s="28"/>
      <c r="P1550" s="38"/>
      <c r="Q1550" s="21"/>
      <c r="R1550" s="21"/>
      <c r="S1550" s="47"/>
      <c r="T1550" s="25">
        <f t="shared" si="51"/>
        <v>0</v>
      </c>
      <c r="U1550" s="25" t="str">
        <f>IF('PART III-DEMOGRAPHICS'!Q1560="","",'PART III-DEMOGRAPHICS'!Q1560)</f>
        <v/>
      </c>
    </row>
    <row r="1551" spans="1:21">
      <c r="A1551" s="25" t="str">
        <f>IF('PART III-DEMOGRAPHICS'!A1561="","",'PART III-DEMOGRAPHICS'!A1561)</f>
        <v/>
      </c>
      <c r="B1551" s="28"/>
      <c r="C1551" s="27"/>
      <c r="D1551" s="28"/>
      <c r="E1551" s="21"/>
      <c r="F1551" s="36" t="str">
        <f t="shared" si="52"/>
        <v>Did Not</v>
      </c>
      <c r="G1551" s="28"/>
      <c r="H1551" s="28"/>
      <c r="I1551" s="28"/>
      <c r="J1551" s="28"/>
      <c r="K1551" s="28"/>
      <c r="L1551" s="28"/>
      <c r="M1551" s="28"/>
      <c r="N1551" s="21"/>
      <c r="O1551" s="28"/>
      <c r="P1551" s="38"/>
      <c r="Q1551" s="21"/>
      <c r="R1551" s="21"/>
      <c r="S1551" s="47"/>
      <c r="T1551" s="25">
        <f t="shared" si="51"/>
        <v>0</v>
      </c>
      <c r="U1551" s="25" t="str">
        <f>IF('PART III-DEMOGRAPHICS'!Q1561="","",'PART III-DEMOGRAPHICS'!Q1561)</f>
        <v/>
      </c>
    </row>
    <row r="1552" spans="1:21">
      <c r="A1552" s="25" t="str">
        <f>IF('PART III-DEMOGRAPHICS'!A1562="","",'PART III-DEMOGRAPHICS'!A1562)</f>
        <v/>
      </c>
      <c r="B1552" s="28"/>
      <c r="C1552" s="27"/>
      <c r="D1552" s="28"/>
      <c r="E1552" s="21"/>
      <c r="F1552" s="36" t="str">
        <f t="shared" si="52"/>
        <v>Did Not</v>
      </c>
      <c r="G1552" s="28"/>
      <c r="H1552" s="28"/>
      <c r="I1552" s="28"/>
      <c r="J1552" s="28"/>
      <c r="K1552" s="28"/>
      <c r="L1552" s="28"/>
      <c r="M1552" s="28"/>
      <c r="N1552" s="21"/>
      <c r="O1552" s="28"/>
      <c r="P1552" s="38"/>
      <c r="Q1552" s="21"/>
      <c r="R1552" s="21"/>
      <c r="S1552" s="47"/>
      <c r="T1552" s="25">
        <f t="shared" si="51"/>
        <v>0</v>
      </c>
      <c r="U1552" s="25" t="str">
        <f>IF('PART III-DEMOGRAPHICS'!Q1562="","",'PART III-DEMOGRAPHICS'!Q1562)</f>
        <v/>
      </c>
    </row>
    <row r="1553" spans="1:21">
      <c r="A1553" s="25" t="str">
        <f>IF('PART III-DEMOGRAPHICS'!A1563="","",'PART III-DEMOGRAPHICS'!A1563)</f>
        <v/>
      </c>
      <c r="B1553" s="28"/>
      <c r="C1553" s="27"/>
      <c r="D1553" s="28"/>
      <c r="E1553" s="21"/>
      <c r="F1553" s="36" t="str">
        <f t="shared" si="52"/>
        <v>Did Not</v>
      </c>
      <c r="G1553" s="28"/>
      <c r="H1553" s="28"/>
      <c r="I1553" s="28"/>
      <c r="J1553" s="28"/>
      <c r="K1553" s="28"/>
      <c r="L1553" s="28"/>
      <c r="M1553" s="28"/>
      <c r="N1553" s="21"/>
      <c r="O1553" s="28"/>
      <c r="P1553" s="38"/>
      <c r="Q1553" s="21"/>
      <c r="R1553" s="21"/>
      <c r="S1553" s="47"/>
      <c r="T1553" s="25">
        <f t="shared" si="51"/>
        <v>0</v>
      </c>
      <c r="U1553" s="25" t="str">
        <f>IF('PART III-DEMOGRAPHICS'!Q1563="","",'PART III-DEMOGRAPHICS'!Q1563)</f>
        <v/>
      </c>
    </row>
    <row r="1554" spans="1:21">
      <c r="A1554" s="25" t="str">
        <f>IF('PART III-DEMOGRAPHICS'!A1564="","",'PART III-DEMOGRAPHICS'!A1564)</f>
        <v/>
      </c>
      <c r="B1554" s="28"/>
      <c r="C1554" s="27"/>
      <c r="D1554" s="28"/>
      <c r="E1554" s="21"/>
      <c r="F1554" s="36" t="str">
        <f t="shared" si="52"/>
        <v>Did Not</v>
      </c>
      <c r="G1554" s="28"/>
      <c r="H1554" s="28"/>
      <c r="I1554" s="28"/>
      <c r="J1554" s="28"/>
      <c r="K1554" s="28"/>
      <c r="L1554" s="28"/>
      <c r="M1554" s="28"/>
      <c r="N1554" s="21"/>
      <c r="O1554" s="28"/>
      <c r="P1554" s="38"/>
      <c r="Q1554" s="21"/>
      <c r="R1554" s="21"/>
      <c r="S1554" s="47"/>
      <c r="T1554" s="25">
        <f t="shared" si="51"/>
        <v>0</v>
      </c>
      <c r="U1554" s="25" t="str">
        <f>IF('PART III-DEMOGRAPHICS'!Q1564="","",'PART III-DEMOGRAPHICS'!Q1564)</f>
        <v/>
      </c>
    </row>
    <row r="1555" spans="1:21">
      <c r="A1555" s="25" t="str">
        <f>IF('PART III-DEMOGRAPHICS'!A1565="","",'PART III-DEMOGRAPHICS'!A1565)</f>
        <v/>
      </c>
      <c r="B1555" s="28"/>
      <c r="C1555" s="27"/>
      <c r="D1555" s="28"/>
      <c r="E1555" s="21"/>
      <c r="F1555" s="36" t="str">
        <f t="shared" si="52"/>
        <v>Did Not</v>
      </c>
      <c r="G1555" s="28"/>
      <c r="H1555" s="28"/>
      <c r="I1555" s="28"/>
      <c r="J1555" s="28"/>
      <c r="K1555" s="28"/>
      <c r="L1555" s="28"/>
      <c r="M1555" s="28"/>
      <c r="N1555" s="21"/>
      <c r="O1555" s="28"/>
      <c r="P1555" s="38"/>
      <c r="Q1555" s="21"/>
      <c r="R1555" s="21"/>
      <c r="S1555" s="47"/>
      <c r="T1555" s="25">
        <f t="shared" si="51"/>
        <v>0</v>
      </c>
      <c r="U1555" s="25" t="str">
        <f>IF('PART III-DEMOGRAPHICS'!Q1565="","",'PART III-DEMOGRAPHICS'!Q1565)</f>
        <v/>
      </c>
    </row>
    <row r="1556" spans="1:21">
      <c r="A1556" s="25" t="str">
        <f>IF('PART III-DEMOGRAPHICS'!A1566="","",'PART III-DEMOGRAPHICS'!A1566)</f>
        <v/>
      </c>
      <c r="B1556" s="28"/>
      <c r="C1556" s="27"/>
      <c r="D1556" s="28"/>
      <c r="E1556" s="21"/>
      <c r="F1556" s="36" t="str">
        <f t="shared" si="52"/>
        <v>Did Not</v>
      </c>
      <c r="G1556" s="28"/>
      <c r="H1556" s="28"/>
      <c r="I1556" s="28"/>
      <c r="J1556" s="28"/>
      <c r="K1556" s="28"/>
      <c r="L1556" s="28"/>
      <c r="M1556" s="28"/>
      <c r="N1556" s="21"/>
      <c r="O1556" s="28"/>
      <c r="P1556" s="38"/>
      <c r="Q1556" s="21"/>
      <c r="R1556" s="21"/>
      <c r="S1556" s="47"/>
      <c r="T1556" s="25">
        <f t="shared" si="51"/>
        <v>0</v>
      </c>
      <c r="U1556" s="25" t="str">
        <f>IF('PART III-DEMOGRAPHICS'!Q1566="","",'PART III-DEMOGRAPHICS'!Q1566)</f>
        <v/>
      </c>
    </row>
    <row r="1557" spans="1:21">
      <c r="A1557" s="25" t="str">
        <f>IF('PART III-DEMOGRAPHICS'!A1567="","",'PART III-DEMOGRAPHICS'!A1567)</f>
        <v/>
      </c>
      <c r="B1557" s="28"/>
      <c r="C1557" s="27"/>
      <c r="D1557" s="28"/>
      <c r="E1557" s="21"/>
      <c r="F1557" s="36" t="str">
        <f t="shared" si="52"/>
        <v>Did Not</v>
      </c>
      <c r="G1557" s="28"/>
      <c r="H1557" s="28"/>
      <c r="I1557" s="28"/>
      <c r="J1557" s="28"/>
      <c r="K1557" s="28"/>
      <c r="L1557" s="28"/>
      <c r="M1557" s="28"/>
      <c r="N1557" s="21"/>
      <c r="O1557" s="28"/>
      <c r="P1557" s="38"/>
      <c r="Q1557" s="21"/>
      <c r="R1557" s="21"/>
      <c r="S1557" s="47"/>
      <c r="T1557" s="25">
        <f t="shared" si="51"/>
        <v>0</v>
      </c>
      <c r="U1557" s="25" t="str">
        <f>IF('PART III-DEMOGRAPHICS'!Q1567="","",'PART III-DEMOGRAPHICS'!Q1567)</f>
        <v/>
      </c>
    </row>
    <row r="1558" spans="1:21">
      <c r="A1558" s="25" t="str">
        <f>IF('PART III-DEMOGRAPHICS'!A1568="","",'PART III-DEMOGRAPHICS'!A1568)</f>
        <v/>
      </c>
      <c r="B1558" s="28"/>
      <c r="C1558" s="27"/>
      <c r="D1558" s="28"/>
      <c r="E1558" s="21"/>
      <c r="F1558" s="36" t="str">
        <f t="shared" si="52"/>
        <v>Did Not</v>
      </c>
      <c r="G1558" s="28"/>
      <c r="H1558" s="28"/>
      <c r="I1558" s="28"/>
      <c r="J1558" s="28"/>
      <c r="K1558" s="28"/>
      <c r="L1558" s="28"/>
      <c r="M1558" s="28"/>
      <c r="N1558" s="21"/>
      <c r="O1558" s="28"/>
      <c r="P1558" s="38"/>
      <c r="Q1558" s="21"/>
      <c r="R1558" s="21"/>
      <c r="S1558" s="47"/>
      <c r="T1558" s="25">
        <f t="shared" si="51"/>
        <v>0</v>
      </c>
      <c r="U1558" s="25" t="str">
        <f>IF('PART III-DEMOGRAPHICS'!Q1568="","",'PART III-DEMOGRAPHICS'!Q1568)</f>
        <v/>
      </c>
    </row>
    <row r="1559" spans="1:21">
      <c r="A1559" s="25" t="str">
        <f>IF('PART III-DEMOGRAPHICS'!A1569="","",'PART III-DEMOGRAPHICS'!A1569)</f>
        <v/>
      </c>
      <c r="B1559" s="28"/>
      <c r="C1559" s="27"/>
      <c r="D1559" s="28"/>
      <c r="E1559" s="21"/>
      <c r="F1559" s="36" t="str">
        <f t="shared" si="52"/>
        <v>Did Not</v>
      </c>
      <c r="G1559" s="28"/>
      <c r="H1559" s="28"/>
      <c r="I1559" s="28"/>
      <c r="J1559" s="28"/>
      <c r="K1559" s="28"/>
      <c r="L1559" s="28"/>
      <c r="M1559" s="28"/>
      <c r="N1559" s="21"/>
      <c r="O1559" s="28"/>
      <c r="P1559" s="38"/>
      <c r="Q1559" s="21"/>
      <c r="R1559" s="21"/>
      <c r="S1559" s="47"/>
      <c r="T1559" s="25">
        <f t="shared" si="51"/>
        <v>0</v>
      </c>
      <c r="U1559" s="25" t="str">
        <f>IF('PART III-DEMOGRAPHICS'!Q1569="","",'PART III-DEMOGRAPHICS'!Q1569)</f>
        <v/>
      </c>
    </row>
    <row r="1560" spans="1:21">
      <c r="A1560" s="25" t="str">
        <f>IF('PART III-DEMOGRAPHICS'!A1570="","",'PART III-DEMOGRAPHICS'!A1570)</f>
        <v/>
      </c>
      <c r="B1560" s="28"/>
      <c r="C1560" s="27"/>
      <c r="D1560" s="28"/>
      <c r="E1560" s="21"/>
      <c r="F1560" s="36" t="str">
        <f t="shared" si="52"/>
        <v>Did Not</v>
      </c>
      <c r="G1560" s="28"/>
      <c r="H1560" s="28"/>
      <c r="I1560" s="28"/>
      <c r="J1560" s="28"/>
      <c r="K1560" s="28"/>
      <c r="L1560" s="28"/>
      <c r="M1560" s="28"/>
      <c r="N1560" s="21"/>
      <c r="O1560" s="28"/>
      <c r="P1560" s="38"/>
      <c r="Q1560" s="21"/>
      <c r="R1560" s="21"/>
      <c r="S1560" s="47"/>
      <c r="T1560" s="25">
        <f t="shared" si="51"/>
        <v>0</v>
      </c>
      <c r="U1560" s="25" t="str">
        <f>IF('PART III-DEMOGRAPHICS'!Q1570="","",'PART III-DEMOGRAPHICS'!Q1570)</f>
        <v/>
      </c>
    </row>
    <row r="1561" spans="1:21">
      <c r="A1561" s="25" t="str">
        <f>IF('PART III-DEMOGRAPHICS'!A1571="","",'PART III-DEMOGRAPHICS'!A1571)</f>
        <v/>
      </c>
      <c r="B1561" s="28"/>
      <c r="C1561" s="27"/>
      <c r="D1561" s="28"/>
      <c r="E1561" s="21"/>
      <c r="F1561" s="36" t="str">
        <f t="shared" si="52"/>
        <v>Did Not</v>
      </c>
      <c r="G1561" s="28"/>
      <c r="H1561" s="28"/>
      <c r="I1561" s="28"/>
      <c r="J1561" s="28"/>
      <c r="K1561" s="28"/>
      <c r="L1561" s="28"/>
      <c r="M1561" s="28"/>
      <c r="N1561" s="21"/>
      <c r="O1561" s="28"/>
      <c r="P1561" s="38"/>
      <c r="Q1561" s="21"/>
      <c r="R1561" s="21"/>
      <c r="S1561" s="47"/>
      <c r="T1561" s="25">
        <f t="shared" si="51"/>
        <v>0</v>
      </c>
      <c r="U1561" s="25" t="str">
        <f>IF('PART III-DEMOGRAPHICS'!Q1571="","",'PART III-DEMOGRAPHICS'!Q1571)</f>
        <v/>
      </c>
    </row>
    <row r="1562" spans="1:21">
      <c r="A1562" s="25" t="str">
        <f>IF('PART III-DEMOGRAPHICS'!A1572="","",'PART III-DEMOGRAPHICS'!A1572)</f>
        <v/>
      </c>
      <c r="B1562" s="28"/>
      <c r="C1562" s="27"/>
      <c r="D1562" s="28"/>
      <c r="E1562" s="21"/>
      <c r="F1562" s="36" t="str">
        <f t="shared" si="52"/>
        <v>Did Not</v>
      </c>
      <c r="G1562" s="28"/>
      <c r="H1562" s="28"/>
      <c r="I1562" s="28"/>
      <c r="J1562" s="28"/>
      <c r="K1562" s="28"/>
      <c r="L1562" s="28"/>
      <c r="M1562" s="28"/>
      <c r="N1562" s="21"/>
      <c r="O1562" s="28"/>
      <c r="P1562" s="38"/>
      <c r="Q1562" s="21"/>
      <c r="R1562" s="21"/>
      <c r="S1562" s="47"/>
      <c r="T1562" s="25">
        <f t="shared" si="51"/>
        <v>0</v>
      </c>
      <c r="U1562" s="25" t="str">
        <f>IF('PART III-DEMOGRAPHICS'!Q1572="","",'PART III-DEMOGRAPHICS'!Q1572)</f>
        <v/>
      </c>
    </row>
    <row r="1563" spans="1:21">
      <c r="A1563" s="25" t="str">
        <f>IF('PART III-DEMOGRAPHICS'!A1573="","",'PART III-DEMOGRAPHICS'!A1573)</f>
        <v/>
      </c>
      <c r="B1563" s="28"/>
      <c r="C1563" s="27"/>
      <c r="D1563" s="28"/>
      <c r="E1563" s="21"/>
      <c r="F1563" s="36" t="str">
        <f t="shared" si="52"/>
        <v>Did Not</v>
      </c>
      <c r="G1563" s="28"/>
      <c r="H1563" s="28"/>
      <c r="I1563" s="28"/>
      <c r="J1563" s="28"/>
      <c r="K1563" s="28"/>
      <c r="L1563" s="28"/>
      <c r="M1563" s="28"/>
      <c r="N1563" s="21"/>
      <c r="O1563" s="28"/>
      <c r="P1563" s="38"/>
      <c r="Q1563" s="21"/>
      <c r="R1563" s="21"/>
      <c r="S1563" s="47"/>
      <c r="T1563" s="25">
        <f t="shared" si="51"/>
        <v>0</v>
      </c>
      <c r="U1563" s="25" t="str">
        <f>IF('PART III-DEMOGRAPHICS'!Q1573="","",'PART III-DEMOGRAPHICS'!Q1573)</f>
        <v/>
      </c>
    </row>
    <row r="1564" spans="1:21">
      <c r="A1564" s="25" t="str">
        <f>IF('PART III-DEMOGRAPHICS'!A1574="","",'PART III-DEMOGRAPHICS'!A1574)</f>
        <v/>
      </c>
      <c r="B1564" s="28"/>
      <c r="C1564" s="27"/>
      <c r="D1564" s="28"/>
      <c r="E1564" s="21"/>
      <c r="F1564" s="36" t="str">
        <f t="shared" si="52"/>
        <v>Did Not</v>
      </c>
      <c r="G1564" s="28"/>
      <c r="H1564" s="28"/>
      <c r="I1564" s="28"/>
      <c r="J1564" s="28"/>
      <c r="K1564" s="28"/>
      <c r="L1564" s="28"/>
      <c r="M1564" s="28"/>
      <c r="N1564" s="21"/>
      <c r="O1564" s="28"/>
      <c r="P1564" s="38"/>
      <c r="Q1564" s="21"/>
      <c r="R1564" s="21"/>
      <c r="S1564" s="47"/>
      <c r="T1564" s="25">
        <f t="shared" si="51"/>
        <v>0</v>
      </c>
      <c r="U1564" s="25" t="str">
        <f>IF('PART III-DEMOGRAPHICS'!Q1574="","",'PART III-DEMOGRAPHICS'!Q1574)</f>
        <v/>
      </c>
    </row>
    <row r="1565" spans="1:21">
      <c r="A1565" s="25" t="str">
        <f>IF('PART III-DEMOGRAPHICS'!A1575="","",'PART III-DEMOGRAPHICS'!A1575)</f>
        <v/>
      </c>
      <c r="B1565" s="28"/>
      <c r="C1565" s="27"/>
      <c r="D1565" s="28"/>
      <c r="E1565" s="21"/>
      <c r="F1565" s="36" t="str">
        <f t="shared" si="52"/>
        <v>Did Not</v>
      </c>
      <c r="G1565" s="28"/>
      <c r="H1565" s="28"/>
      <c r="I1565" s="28"/>
      <c r="J1565" s="28"/>
      <c r="K1565" s="28"/>
      <c r="L1565" s="28"/>
      <c r="M1565" s="28"/>
      <c r="N1565" s="21"/>
      <c r="O1565" s="28"/>
      <c r="P1565" s="38"/>
      <c r="Q1565" s="21"/>
      <c r="R1565" s="21"/>
      <c r="S1565" s="47"/>
      <c r="T1565" s="25">
        <f t="shared" si="51"/>
        <v>0</v>
      </c>
      <c r="U1565" s="25" t="str">
        <f>IF('PART III-DEMOGRAPHICS'!Q1575="","",'PART III-DEMOGRAPHICS'!Q1575)</f>
        <v/>
      </c>
    </row>
    <row r="1566" spans="1:21">
      <c r="A1566" s="25" t="str">
        <f>IF('PART III-DEMOGRAPHICS'!A1576="","",'PART III-DEMOGRAPHICS'!A1576)</f>
        <v/>
      </c>
      <c r="B1566" s="28"/>
      <c r="C1566" s="27"/>
      <c r="D1566" s="28"/>
      <c r="E1566" s="21"/>
      <c r="F1566" s="36" t="str">
        <f t="shared" si="52"/>
        <v>Did Not</v>
      </c>
      <c r="G1566" s="28"/>
      <c r="H1566" s="28"/>
      <c r="I1566" s="28"/>
      <c r="J1566" s="28"/>
      <c r="K1566" s="28"/>
      <c r="L1566" s="28"/>
      <c r="M1566" s="28"/>
      <c r="N1566" s="21"/>
      <c r="O1566" s="28"/>
      <c r="P1566" s="38"/>
      <c r="Q1566" s="21"/>
      <c r="R1566" s="21"/>
      <c r="S1566" s="47"/>
      <c r="T1566" s="25">
        <f t="shared" si="51"/>
        <v>0</v>
      </c>
      <c r="U1566" s="25" t="str">
        <f>IF('PART III-DEMOGRAPHICS'!Q1576="","",'PART III-DEMOGRAPHICS'!Q1576)</f>
        <v/>
      </c>
    </row>
    <row r="1567" spans="1:21">
      <c r="A1567" s="25" t="str">
        <f>IF('PART III-DEMOGRAPHICS'!A1577="","",'PART III-DEMOGRAPHICS'!A1577)</f>
        <v/>
      </c>
      <c r="B1567" s="28"/>
      <c r="C1567" s="27"/>
      <c r="D1567" s="28"/>
      <c r="E1567" s="21"/>
      <c r="F1567" s="36" t="str">
        <f t="shared" si="52"/>
        <v>Did Not</v>
      </c>
      <c r="G1567" s="28"/>
      <c r="H1567" s="28"/>
      <c r="I1567" s="28"/>
      <c r="J1567" s="28"/>
      <c r="K1567" s="28"/>
      <c r="L1567" s="28"/>
      <c r="M1567" s="28"/>
      <c r="N1567" s="21"/>
      <c r="O1567" s="28"/>
      <c r="P1567" s="38"/>
      <c r="Q1567" s="21"/>
      <c r="R1567" s="21"/>
      <c r="S1567" s="47"/>
      <c r="T1567" s="25">
        <f t="shared" si="51"/>
        <v>0</v>
      </c>
      <c r="U1567" s="25" t="str">
        <f>IF('PART III-DEMOGRAPHICS'!Q1577="","",'PART III-DEMOGRAPHICS'!Q1577)</f>
        <v/>
      </c>
    </row>
    <row r="1568" spans="1:21">
      <c r="A1568" s="25" t="str">
        <f>IF('PART III-DEMOGRAPHICS'!A1578="","",'PART III-DEMOGRAPHICS'!A1578)</f>
        <v/>
      </c>
      <c r="B1568" s="28"/>
      <c r="C1568" s="27"/>
      <c r="D1568" s="28"/>
      <c r="E1568" s="21"/>
      <c r="F1568" s="36" t="str">
        <f t="shared" si="52"/>
        <v>Did Not</v>
      </c>
      <c r="G1568" s="28"/>
      <c r="H1568" s="28"/>
      <c r="I1568" s="28"/>
      <c r="J1568" s="28"/>
      <c r="K1568" s="28"/>
      <c r="L1568" s="28"/>
      <c r="M1568" s="28"/>
      <c r="N1568" s="21"/>
      <c r="O1568" s="28"/>
      <c r="P1568" s="38"/>
      <c r="Q1568" s="21"/>
      <c r="R1568" s="21"/>
      <c r="S1568" s="47"/>
      <c r="T1568" s="25">
        <f t="shared" si="51"/>
        <v>0</v>
      </c>
      <c r="U1568" s="25" t="str">
        <f>IF('PART III-DEMOGRAPHICS'!Q1578="","",'PART III-DEMOGRAPHICS'!Q1578)</f>
        <v/>
      </c>
    </row>
    <row r="1569" spans="1:21">
      <c r="A1569" s="25" t="str">
        <f>IF('PART III-DEMOGRAPHICS'!A1579="","",'PART III-DEMOGRAPHICS'!A1579)</f>
        <v/>
      </c>
      <c r="B1569" s="28"/>
      <c r="C1569" s="27"/>
      <c r="D1569" s="28"/>
      <c r="E1569" s="21"/>
      <c r="F1569" s="36" t="str">
        <f t="shared" si="52"/>
        <v>Did Not</v>
      </c>
      <c r="G1569" s="28"/>
      <c r="H1569" s="28"/>
      <c r="I1569" s="28"/>
      <c r="J1569" s="28"/>
      <c r="K1569" s="28"/>
      <c r="L1569" s="28"/>
      <c r="M1569" s="28"/>
      <c r="N1569" s="21"/>
      <c r="O1569" s="28"/>
      <c r="P1569" s="38"/>
      <c r="Q1569" s="21"/>
      <c r="R1569" s="21"/>
      <c r="S1569" s="47"/>
      <c r="T1569" s="25">
        <f t="shared" si="51"/>
        <v>0</v>
      </c>
      <c r="U1569" s="25" t="str">
        <f>IF('PART III-DEMOGRAPHICS'!Q1579="","",'PART III-DEMOGRAPHICS'!Q1579)</f>
        <v/>
      </c>
    </row>
    <row r="1570" spans="1:21">
      <c r="A1570" s="25" t="str">
        <f>IF('PART III-DEMOGRAPHICS'!A1580="","",'PART III-DEMOGRAPHICS'!A1580)</f>
        <v/>
      </c>
      <c r="B1570" s="28"/>
      <c r="C1570" s="27"/>
      <c r="D1570" s="28"/>
      <c r="E1570" s="21"/>
      <c r="F1570" s="36" t="str">
        <f t="shared" si="52"/>
        <v>Did Not</v>
      </c>
      <c r="G1570" s="28"/>
      <c r="H1570" s="28"/>
      <c r="I1570" s="28"/>
      <c r="J1570" s="28"/>
      <c r="K1570" s="28"/>
      <c r="L1570" s="28"/>
      <c r="M1570" s="28"/>
      <c r="N1570" s="21"/>
      <c r="O1570" s="28"/>
      <c r="P1570" s="38"/>
      <c r="Q1570" s="21"/>
      <c r="R1570" s="21"/>
      <c r="S1570" s="47"/>
      <c r="T1570" s="25">
        <f t="shared" si="51"/>
        <v>0</v>
      </c>
      <c r="U1570" s="25" t="str">
        <f>IF('PART III-DEMOGRAPHICS'!Q1580="","",'PART III-DEMOGRAPHICS'!Q1580)</f>
        <v/>
      </c>
    </row>
    <row r="1571" spans="1:21">
      <c r="A1571" s="25" t="str">
        <f>IF('PART III-DEMOGRAPHICS'!A1581="","",'PART III-DEMOGRAPHICS'!A1581)</f>
        <v/>
      </c>
      <c r="B1571" s="28"/>
      <c r="C1571" s="27"/>
      <c r="D1571" s="28"/>
      <c r="E1571" s="21"/>
      <c r="F1571" s="36" t="str">
        <f t="shared" si="52"/>
        <v>Did Not</v>
      </c>
      <c r="G1571" s="28"/>
      <c r="H1571" s="28"/>
      <c r="I1571" s="28"/>
      <c r="J1571" s="28"/>
      <c r="K1571" s="28"/>
      <c r="L1571" s="28"/>
      <c r="M1571" s="28"/>
      <c r="N1571" s="21"/>
      <c r="O1571" s="28"/>
      <c r="P1571" s="38"/>
      <c r="Q1571" s="21"/>
      <c r="R1571" s="21"/>
      <c r="S1571" s="47"/>
      <c r="T1571" s="25">
        <f t="shared" si="51"/>
        <v>0</v>
      </c>
      <c r="U1571" s="25" t="str">
        <f>IF('PART III-DEMOGRAPHICS'!Q1581="","",'PART III-DEMOGRAPHICS'!Q1581)</f>
        <v/>
      </c>
    </row>
    <row r="1572" spans="1:21">
      <c r="A1572" s="25" t="str">
        <f>IF('PART III-DEMOGRAPHICS'!A1582="","",'PART III-DEMOGRAPHICS'!A1582)</f>
        <v/>
      </c>
      <c r="B1572" s="28"/>
      <c r="C1572" s="27"/>
      <c r="D1572" s="28"/>
      <c r="E1572" s="21"/>
      <c r="F1572" s="36" t="str">
        <f t="shared" si="52"/>
        <v>Did Not</v>
      </c>
      <c r="G1572" s="28"/>
      <c r="H1572" s="28"/>
      <c r="I1572" s="28"/>
      <c r="J1572" s="28"/>
      <c r="K1572" s="28"/>
      <c r="L1572" s="28"/>
      <c r="M1572" s="28"/>
      <c r="N1572" s="21"/>
      <c r="O1572" s="28"/>
      <c r="P1572" s="38"/>
      <c r="Q1572" s="21"/>
      <c r="R1572" s="21"/>
      <c r="S1572" s="47"/>
      <c r="T1572" s="25">
        <f t="shared" si="51"/>
        <v>0</v>
      </c>
      <c r="U1572" s="25" t="str">
        <f>IF('PART III-DEMOGRAPHICS'!Q1582="","",'PART III-DEMOGRAPHICS'!Q1582)</f>
        <v/>
      </c>
    </row>
    <row r="1573" spans="1:21">
      <c r="A1573" s="25" t="str">
        <f>IF('PART III-DEMOGRAPHICS'!A1583="","",'PART III-DEMOGRAPHICS'!A1583)</f>
        <v/>
      </c>
      <c r="B1573" s="28"/>
      <c r="C1573" s="27"/>
      <c r="D1573" s="28"/>
      <c r="E1573" s="21"/>
      <c r="F1573" s="36" t="str">
        <f t="shared" si="52"/>
        <v>Did Not</v>
      </c>
      <c r="G1573" s="28"/>
      <c r="H1573" s="28"/>
      <c r="I1573" s="28"/>
      <c r="J1573" s="28"/>
      <c r="K1573" s="28"/>
      <c r="L1573" s="28"/>
      <c r="M1573" s="28"/>
      <c r="N1573" s="21"/>
      <c r="O1573" s="28"/>
      <c r="P1573" s="38"/>
      <c r="Q1573" s="21"/>
      <c r="R1573" s="21"/>
      <c r="S1573" s="47"/>
      <c r="T1573" s="25">
        <f t="shared" si="51"/>
        <v>0</v>
      </c>
      <c r="U1573" s="25" t="str">
        <f>IF('PART III-DEMOGRAPHICS'!Q1583="","",'PART III-DEMOGRAPHICS'!Q1583)</f>
        <v/>
      </c>
    </row>
    <row r="1574" spans="1:21">
      <c r="A1574" s="25" t="str">
        <f>IF('PART III-DEMOGRAPHICS'!A1584="","",'PART III-DEMOGRAPHICS'!A1584)</f>
        <v/>
      </c>
      <c r="B1574" s="28"/>
      <c r="C1574" s="27"/>
      <c r="D1574" s="28"/>
      <c r="E1574" s="21"/>
      <c r="F1574" s="36" t="str">
        <f t="shared" si="52"/>
        <v>Did Not</v>
      </c>
      <c r="G1574" s="28"/>
      <c r="H1574" s="28"/>
      <c r="I1574" s="28"/>
      <c r="J1574" s="28"/>
      <c r="K1574" s="28"/>
      <c r="L1574" s="28"/>
      <c r="M1574" s="28"/>
      <c r="N1574" s="21"/>
      <c r="O1574" s="28"/>
      <c r="P1574" s="38"/>
      <c r="Q1574" s="21"/>
      <c r="R1574" s="21"/>
      <c r="S1574" s="47"/>
      <c r="T1574" s="25">
        <f t="shared" si="51"/>
        <v>0</v>
      </c>
      <c r="U1574" s="25" t="str">
        <f>IF('PART III-DEMOGRAPHICS'!Q1584="","",'PART III-DEMOGRAPHICS'!Q1584)</f>
        <v/>
      </c>
    </row>
    <row r="1575" spans="1:21">
      <c r="A1575" s="25" t="str">
        <f>IF('PART III-DEMOGRAPHICS'!A1585="","",'PART III-DEMOGRAPHICS'!A1585)</f>
        <v/>
      </c>
      <c r="B1575" s="28"/>
      <c r="C1575" s="27"/>
      <c r="D1575" s="28"/>
      <c r="E1575" s="21"/>
      <c r="F1575" s="36" t="str">
        <f t="shared" si="52"/>
        <v>Did Not</v>
      </c>
      <c r="G1575" s="28"/>
      <c r="H1575" s="28"/>
      <c r="I1575" s="28"/>
      <c r="J1575" s="28"/>
      <c r="K1575" s="28"/>
      <c r="L1575" s="28"/>
      <c r="M1575" s="28"/>
      <c r="N1575" s="21"/>
      <c r="O1575" s="28"/>
      <c r="P1575" s="38"/>
      <c r="Q1575" s="21"/>
      <c r="R1575" s="21"/>
      <c r="S1575" s="47"/>
      <c r="T1575" s="25">
        <f t="shared" si="51"/>
        <v>0</v>
      </c>
      <c r="U1575" s="25" t="str">
        <f>IF('PART III-DEMOGRAPHICS'!Q1585="","",'PART III-DEMOGRAPHICS'!Q1585)</f>
        <v/>
      </c>
    </row>
    <row r="1576" spans="1:21">
      <c r="A1576" s="25" t="str">
        <f>IF('PART III-DEMOGRAPHICS'!A1586="","",'PART III-DEMOGRAPHICS'!A1586)</f>
        <v/>
      </c>
      <c r="B1576" s="28"/>
      <c r="C1576" s="27"/>
      <c r="D1576" s="28"/>
      <c r="E1576" s="21"/>
      <c r="F1576" s="36" t="str">
        <f t="shared" si="52"/>
        <v>Did Not</v>
      </c>
      <c r="G1576" s="28"/>
      <c r="H1576" s="28"/>
      <c r="I1576" s="28"/>
      <c r="J1576" s="28"/>
      <c r="K1576" s="28"/>
      <c r="L1576" s="28"/>
      <c r="M1576" s="28"/>
      <c r="N1576" s="21"/>
      <c r="O1576" s="28"/>
      <c r="P1576" s="38"/>
      <c r="Q1576" s="21"/>
      <c r="R1576" s="21"/>
      <c r="S1576" s="47"/>
      <c r="T1576" s="25">
        <f t="shared" si="51"/>
        <v>0</v>
      </c>
      <c r="U1576" s="25" t="str">
        <f>IF('PART III-DEMOGRAPHICS'!Q1586="","",'PART III-DEMOGRAPHICS'!Q1586)</f>
        <v/>
      </c>
    </row>
    <row r="1577" spans="1:21">
      <c r="A1577" s="25" t="str">
        <f>IF('PART III-DEMOGRAPHICS'!A1587="","",'PART III-DEMOGRAPHICS'!A1587)</f>
        <v/>
      </c>
      <c r="B1577" s="28"/>
      <c r="C1577" s="27"/>
      <c r="D1577" s="28"/>
      <c r="E1577" s="21"/>
      <c r="F1577" s="36" t="str">
        <f t="shared" si="52"/>
        <v>Did Not</v>
      </c>
      <c r="G1577" s="28"/>
      <c r="H1577" s="28"/>
      <c r="I1577" s="28"/>
      <c r="J1577" s="28"/>
      <c r="K1577" s="28"/>
      <c r="L1577" s="28"/>
      <c r="M1577" s="28"/>
      <c r="N1577" s="21"/>
      <c r="O1577" s="28"/>
      <c r="P1577" s="38"/>
      <c r="Q1577" s="21"/>
      <c r="R1577" s="21"/>
      <c r="S1577" s="47"/>
      <c r="T1577" s="25">
        <f t="shared" si="51"/>
        <v>0</v>
      </c>
      <c r="U1577" s="25" t="str">
        <f>IF('PART III-DEMOGRAPHICS'!Q1587="","",'PART III-DEMOGRAPHICS'!Q1587)</f>
        <v/>
      </c>
    </row>
    <row r="1578" spans="1:21">
      <c r="A1578" s="25" t="str">
        <f>IF('PART III-DEMOGRAPHICS'!A1588="","",'PART III-DEMOGRAPHICS'!A1588)</f>
        <v/>
      </c>
      <c r="B1578" s="28"/>
      <c r="C1578" s="27"/>
      <c r="D1578" s="28"/>
      <c r="E1578" s="21"/>
      <c r="F1578" s="36" t="str">
        <f t="shared" si="52"/>
        <v>Did Not</v>
      </c>
      <c r="G1578" s="28"/>
      <c r="H1578" s="28"/>
      <c r="I1578" s="28"/>
      <c r="J1578" s="28"/>
      <c r="K1578" s="28"/>
      <c r="L1578" s="28"/>
      <c r="M1578" s="28"/>
      <c r="N1578" s="21"/>
      <c r="O1578" s="28"/>
      <c r="P1578" s="38"/>
      <c r="Q1578" s="21"/>
      <c r="R1578" s="21"/>
      <c r="S1578" s="47"/>
      <c r="T1578" s="25">
        <f t="shared" si="51"/>
        <v>0</v>
      </c>
      <c r="U1578" s="25" t="str">
        <f>IF('PART III-DEMOGRAPHICS'!Q1588="","",'PART III-DEMOGRAPHICS'!Q1588)</f>
        <v/>
      </c>
    </row>
    <row r="1579" spans="1:21">
      <c r="A1579" s="25" t="str">
        <f>IF('PART III-DEMOGRAPHICS'!A1589="","",'PART III-DEMOGRAPHICS'!A1589)</f>
        <v/>
      </c>
      <c r="B1579" s="28"/>
      <c r="C1579" s="27"/>
      <c r="D1579" s="28"/>
      <c r="E1579" s="21"/>
      <c r="F1579" s="36" t="str">
        <f t="shared" si="52"/>
        <v>Did Not</v>
      </c>
      <c r="G1579" s="28"/>
      <c r="H1579" s="28"/>
      <c r="I1579" s="28"/>
      <c r="J1579" s="28"/>
      <c r="K1579" s="28"/>
      <c r="L1579" s="28"/>
      <c r="M1579" s="28"/>
      <c r="N1579" s="21"/>
      <c r="O1579" s="28"/>
      <c r="P1579" s="38"/>
      <c r="Q1579" s="21"/>
      <c r="R1579" s="21"/>
      <c r="S1579" s="47"/>
      <c r="T1579" s="25">
        <f t="shared" si="51"/>
        <v>0</v>
      </c>
      <c r="U1579" s="25" t="str">
        <f>IF('PART III-DEMOGRAPHICS'!Q1589="","",'PART III-DEMOGRAPHICS'!Q1589)</f>
        <v/>
      </c>
    </row>
    <row r="1580" spans="1:21">
      <c r="A1580" s="25" t="str">
        <f>IF('PART III-DEMOGRAPHICS'!A1590="","",'PART III-DEMOGRAPHICS'!A1590)</f>
        <v/>
      </c>
      <c r="B1580" s="28"/>
      <c r="C1580" s="27"/>
      <c r="D1580" s="28"/>
      <c r="E1580" s="21"/>
      <c r="F1580" s="36" t="str">
        <f t="shared" si="52"/>
        <v>Did Not</v>
      </c>
      <c r="G1580" s="28"/>
      <c r="H1580" s="28"/>
      <c r="I1580" s="28"/>
      <c r="J1580" s="28"/>
      <c r="K1580" s="28"/>
      <c r="L1580" s="28"/>
      <c r="M1580" s="28"/>
      <c r="N1580" s="21"/>
      <c r="O1580" s="28"/>
      <c r="P1580" s="38"/>
      <c r="Q1580" s="21"/>
      <c r="R1580" s="21"/>
      <c r="S1580" s="47"/>
      <c r="T1580" s="25">
        <f t="shared" si="51"/>
        <v>0</v>
      </c>
      <c r="U1580" s="25" t="str">
        <f>IF('PART III-DEMOGRAPHICS'!Q1590="","",'PART III-DEMOGRAPHICS'!Q1590)</f>
        <v/>
      </c>
    </row>
    <row r="1581" spans="1:21">
      <c r="A1581" s="25" t="str">
        <f>IF('PART III-DEMOGRAPHICS'!A1591="","",'PART III-DEMOGRAPHICS'!A1591)</f>
        <v/>
      </c>
      <c r="B1581" s="28"/>
      <c r="C1581" s="27"/>
      <c r="D1581" s="28"/>
      <c r="E1581" s="21"/>
      <c r="F1581" s="36" t="str">
        <f t="shared" si="52"/>
        <v>Did Not</v>
      </c>
      <c r="G1581" s="28"/>
      <c r="H1581" s="28"/>
      <c r="I1581" s="28"/>
      <c r="J1581" s="28"/>
      <c r="K1581" s="28"/>
      <c r="L1581" s="28"/>
      <c r="M1581" s="28"/>
      <c r="N1581" s="21"/>
      <c r="O1581" s="28"/>
      <c r="P1581" s="38"/>
      <c r="Q1581" s="21"/>
      <c r="R1581" s="21"/>
      <c r="S1581" s="47"/>
      <c r="T1581" s="25">
        <f t="shared" si="51"/>
        <v>0</v>
      </c>
      <c r="U1581" s="25" t="str">
        <f>IF('PART III-DEMOGRAPHICS'!Q1591="","",'PART III-DEMOGRAPHICS'!Q1591)</f>
        <v/>
      </c>
    </row>
    <row r="1582" spans="1:21">
      <c r="A1582" s="25" t="str">
        <f>IF('PART III-DEMOGRAPHICS'!A1592="","",'PART III-DEMOGRAPHICS'!A1592)</f>
        <v/>
      </c>
      <c r="B1582" s="28"/>
      <c r="C1582" s="27"/>
      <c r="D1582" s="28"/>
      <c r="E1582" s="21"/>
      <c r="F1582" s="36" t="str">
        <f t="shared" si="52"/>
        <v>Did Not</v>
      </c>
      <c r="G1582" s="28"/>
      <c r="H1582" s="28"/>
      <c r="I1582" s="28"/>
      <c r="J1582" s="28"/>
      <c r="K1582" s="28"/>
      <c r="L1582" s="28"/>
      <c r="M1582" s="28"/>
      <c r="N1582" s="21"/>
      <c r="O1582" s="28"/>
      <c r="P1582" s="38"/>
      <c r="Q1582" s="21"/>
      <c r="R1582" s="21"/>
      <c r="S1582" s="47"/>
      <c r="T1582" s="25">
        <f t="shared" si="51"/>
        <v>0</v>
      </c>
      <c r="U1582" s="25" t="str">
        <f>IF('PART III-DEMOGRAPHICS'!Q1592="","",'PART III-DEMOGRAPHICS'!Q1592)</f>
        <v/>
      </c>
    </row>
    <row r="1583" spans="1:21">
      <c r="A1583" s="25" t="str">
        <f>IF('PART III-DEMOGRAPHICS'!A1593="","",'PART III-DEMOGRAPHICS'!A1593)</f>
        <v/>
      </c>
      <c r="B1583" s="28"/>
      <c r="C1583" s="27"/>
      <c r="D1583" s="28"/>
      <c r="E1583" s="21"/>
      <c r="F1583" s="36" t="str">
        <f t="shared" si="52"/>
        <v>Did Not</v>
      </c>
      <c r="G1583" s="28"/>
      <c r="H1583" s="28"/>
      <c r="I1583" s="28"/>
      <c r="J1583" s="28"/>
      <c r="K1583" s="28"/>
      <c r="L1583" s="28"/>
      <c r="M1583" s="28"/>
      <c r="N1583" s="21"/>
      <c r="O1583" s="28"/>
      <c r="P1583" s="38"/>
      <c r="Q1583" s="21"/>
      <c r="R1583" s="21"/>
      <c r="S1583" s="47"/>
      <c r="T1583" s="25">
        <f t="shared" si="51"/>
        <v>0</v>
      </c>
      <c r="U1583" s="25" t="str">
        <f>IF('PART III-DEMOGRAPHICS'!Q1593="","",'PART III-DEMOGRAPHICS'!Q1593)</f>
        <v/>
      </c>
    </row>
    <row r="1584" spans="1:21">
      <c r="A1584" s="25" t="str">
        <f>IF('PART III-DEMOGRAPHICS'!A1594="","",'PART III-DEMOGRAPHICS'!A1594)</f>
        <v/>
      </c>
      <c r="B1584" s="28"/>
      <c r="C1584" s="27"/>
      <c r="D1584" s="28"/>
      <c r="E1584" s="21"/>
      <c r="F1584" s="36" t="str">
        <f t="shared" si="52"/>
        <v>Did Not</v>
      </c>
      <c r="G1584" s="28"/>
      <c r="H1584" s="28"/>
      <c r="I1584" s="28"/>
      <c r="J1584" s="28"/>
      <c r="K1584" s="28"/>
      <c r="L1584" s="28"/>
      <c r="M1584" s="28"/>
      <c r="N1584" s="21"/>
      <c r="O1584" s="28"/>
      <c r="P1584" s="38"/>
      <c r="Q1584" s="21"/>
      <c r="R1584" s="21"/>
      <c r="S1584" s="47"/>
      <c r="T1584" s="25">
        <f t="shared" si="51"/>
        <v>0</v>
      </c>
      <c r="U1584" s="25" t="str">
        <f>IF('PART III-DEMOGRAPHICS'!Q1594="","",'PART III-DEMOGRAPHICS'!Q1594)</f>
        <v/>
      </c>
    </row>
    <row r="1585" spans="1:21">
      <c r="A1585" s="25" t="str">
        <f>IF('PART III-DEMOGRAPHICS'!A1595="","",'PART III-DEMOGRAPHICS'!A1595)</f>
        <v/>
      </c>
      <c r="B1585" s="28"/>
      <c r="C1585" s="27"/>
      <c r="D1585" s="28"/>
      <c r="E1585" s="21"/>
      <c r="F1585" s="36" t="str">
        <f t="shared" si="52"/>
        <v>Did Not</v>
      </c>
      <c r="G1585" s="28"/>
      <c r="H1585" s="28"/>
      <c r="I1585" s="28"/>
      <c r="J1585" s="28"/>
      <c r="K1585" s="28"/>
      <c r="L1585" s="28"/>
      <c r="M1585" s="28"/>
      <c r="N1585" s="21"/>
      <c r="O1585" s="28"/>
      <c r="P1585" s="38"/>
      <c r="Q1585" s="21"/>
      <c r="R1585" s="21"/>
      <c r="S1585" s="47"/>
      <c r="T1585" s="25">
        <f t="shared" si="51"/>
        <v>0</v>
      </c>
      <c r="U1585" s="25" t="str">
        <f>IF('PART III-DEMOGRAPHICS'!Q1595="","",'PART III-DEMOGRAPHICS'!Q1595)</f>
        <v/>
      </c>
    </row>
    <row r="1586" spans="1:21">
      <c r="A1586" s="25" t="str">
        <f>IF('PART III-DEMOGRAPHICS'!A1596="","",'PART III-DEMOGRAPHICS'!A1596)</f>
        <v/>
      </c>
      <c r="B1586" s="28"/>
      <c r="C1586" s="27"/>
      <c r="D1586" s="28"/>
      <c r="E1586" s="21"/>
      <c r="F1586" s="36" t="str">
        <f t="shared" si="52"/>
        <v>Did Not</v>
      </c>
      <c r="G1586" s="28"/>
      <c r="H1586" s="28"/>
      <c r="I1586" s="28"/>
      <c r="J1586" s="28"/>
      <c r="K1586" s="28"/>
      <c r="L1586" s="28"/>
      <c r="M1586" s="28"/>
      <c r="N1586" s="21"/>
      <c r="O1586" s="28"/>
      <c r="P1586" s="38"/>
      <c r="Q1586" s="21"/>
      <c r="R1586" s="21"/>
      <c r="S1586" s="47"/>
      <c r="T1586" s="25">
        <f t="shared" si="51"/>
        <v>0</v>
      </c>
      <c r="U1586" s="25" t="str">
        <f>IF('PART III-DEMOGRAPHICS'!Q1596="","",'PART III-DEMOGRAPHICS'!Q1596)</f>
        <v/>
      </c>
    </row>
    <row r="1587" spans="1:21">
      <c r="A1587" s="25" t="str">
        <f>IF('PART III-DEMOGRAPHICS'!A1597="","",'PART III-DEMOGRAPHICS'!A1597)</f>
        <v/>
      </c>
      <c r="B1587" s="28"/>
      <c r="C1587" s="27"/>
      <c r="D1587" s="28"/>
      <c r="E1587" s="21"/>
      <c r="F1587" s="36" t="str">
        <f t="shared" si="52"/>
        <v>Did Not</v>
      </c>
      <c r="G1587" s="28"/>
      <c r="H1587" s="28"/>
      <c r="I1587" s="28"/>
      <c r="J1587" s="28"/>
      <c r="K1587" s="28"/>
      <c r="L1587" s="28"/>
      <c r="M1587" s="28"/>
      <c r="N1587" s="21"/>
      <c r="O1587" s="28"/>
      <c r="P1587" s="38"/>
      <c r="Q1587" s="21"/>
      <c r="R1587" s="21"/>
      <c r="S1587" s="47"/>
      <c r="T1587" s="25">
        <f t="shared" si="51"/>
        <v>0</v>
      </c>
      <c r="U1587" s="25" t="str">
        <f>IF('PART III-DEMOGRAPHICS'!Q1597="","",'PART III-DEMOGRAPHICS'!Q1597)</f>
        <v/>
      </c>
    </row>
    <row r="1588" spans="1:21">
      <c r="A1588" s="25" t="str">
        <f>IF('PART III-DEMOGRAPHICS'!A1598="","",'PART III-DEMOGRAPHICS'!A1598)</f>
        <v/>
      </c>
      <c r="B1588" s="28"/>
      <c r="C1588" s="27"/>
      <c r="D1588" s="28"/>
      <c r="E1588" s="21"/>
      <c r="F1588" s="36" t="str">
        <f t="shared" si="52"/>
        <v>Did Not</v>
      </c>
      <c r="G1588" s="28"/>
      <c r="H1588" s="28"/>
      <c r="I1588" s="28"/>
      <c r="J1588" s="28"/>
      <c r="K1588" s="28"/>
      <c r="L1588" s="28"/>
      <c r="M1588" s="28"/>
      <c r="N1588" s="21"/>
      <c r="O1588" s="28"/>
      <c r="P1588" s="38"/>
      <c r="Q1588" s="21"/>
      <c r="R1588" s="21"/>
      <c r="S1588" s="47"/>
      <c r="T1588" s="25">
        <f t="shared" si="51"/>
        <v>0</v>
      </c>
      <c r="U1588" s="25" t="str">
        <f>IF('PART III-DEMOGRAPHICS'!Q1598="","",'PART III-DEMOGRAPHICS'!Q1598)</f>
        <v/>
      </c>
    </row>
    <row r="1589" spans="1:21">
      <c r="A1589" s="25" t="str">
        <f>IF('PART III-DEMOGRAPHICS'!A1599="","",'PART III-DEMOGRAPHICS'!A1599)</f>
        <v/>
      </c>
      <c r="B1589" s="28"/>
      <c r="C1589" s="27"/>
      <c r="D1589" s="28"/>
      <c r="E1589" s="21"/>
      <c r="F1589" s="36" t="str">
        <f t="shared" si="52"/>
        <v>Did Not</v>
      </c>
      <c r="G1589" s="28"/>
      <c r="H1589" s="28"/>
      <c r="I1589" s="28"/>
      <c r="J1589" s="28"/>
      <c r="K1589" s="28"/>
      <c r="L1589" s="28"/>
      <c r="M1589" s="28"/>
      <c r="N1589" s="21"/>
      <c r="O1589" s="28"/>
      <c r="P1589" s="38"/>
      <c r="Q1589" s="21"/>
      <c r="R1589" s="21"/>
      <c r="S1589" s="47"/>
      <c r="T1589" s="25">
        <f t="shared" si="51"/>
        <v>0</v>
      </c>
      <c r="U1589" s="25" t="str">
        <f>IF('PART III-DEMOGRAPHICS'!Q1599="","",'PART III-DEMOGRAPHICS'!Q1599)</f>
        <v/>
      </c>
    </row>
    <row r="1590" spans="1:21">
      <c r="A1590" s="25" t="str">
        <f>IF('PART III-DEMOGRAPHICS'!A1600="","",'PART III-DEMOGRAPHICS'!A1600)</f>
        <v/>
      </c>
      <c r="B1590" s="28"/>
      <c r="C1590" s="27"/>
      <c r="D1590" s="28"/>
      <c r="E1590" s="21"/>
      <c r="F1590" s="36" t="str">
        <f t="shared" si="52"/>
        <v>Did Not</v>
      </c>
      <c r="G1590" s="28"/>
      <c r="H1590" s="28"/>
      <c r="I1590" s="28"/>
      <c r="J1590" s="28"/>
      <c r="K1590" s="28"/>
      <c r="L1590" s="28"/>
      <c r="M1590" s="28"/>
      <c r="N1590" s="21"/>
      <c r="O1590" s="28"/>
      <c r="P1590" s="38"/>
      <c r="Q1590" s="21"/>
      <c r="R1590" s="21"/>
      <c r="S1590" s="47"/>
      <c r="T1590" s="25">
        <f t="shared" si="51"/>
        <v>0</v>
      </c>
      <c r="U1590" s="25" t="str">
        <f>IF('PART III-DEMOGRAPHICS'!Q1600="","",'PART III-DEMOGRAPHICS'!Q1600)</f>
        <v/>
      </c>
    </row>
    <row r="1591" spans="1:21">
      <c r="A1591" s="25" t="str">
        <f>IF('PART III-DEMOGRAPHICS'!A1601="","",'PART III-DEMOGRAPHICS'!A1601)</f>
        <v/>
      </c>
      <c r="B1591" s="28"/>
      <c r="C1591" s="27"/>
      <c r="D1591" s="28"/>
      <c r="E1591" s="21"/>
      <c r="F1591" s="36" t="str">
        <f t="shared" si="52"/>
        <v>Did Not</v>
      </c>
      <c r="G1591" s="28"/>
      <c r="H1591" s="28"/>
      <c r="I1591" s="28"/>
      <c r="J1591" s="28"/>
      <c r="K1591" s="28"/>
      <c r="L1591" s="28"/>
      <c r="M1591" s="28"/>
      <c r="N1591" s="21"/>
      <c r="O1591" s="28"/>
      <c r="P1591" s="38"/>
      <c r="Q1591" s="21"/>
      <c r="R1591" s="21"/>
      <c r="S1591" s="47"/>
      <c r="T1591" s="25">
        <f t="shared" si="51"/>
        <v>0</v>
      </c>
      <c r="U1591" s="25" t="str">
        <f>IF('PART III-DEMOGRAPHICS'!Q1601="","",'PART III-DEMOGRAPHICS'!Q1601)</f>
        <v/>
      </c>
    </row>
    <row r="1592" spans="1:21">
      <c r="A1592" s="25" t="str">
        <f>IF('PART III-DEMOGRAPHICS'!A1602="","",'PART III-DEMOGRAPHICS'!A1602)</f>
        <v/>
      </c>
      <c r="B1592" s="28"/>
      <c r="C1592" s="27"/>
      <c r="D1592" s="28"/>
      <c r="E1592" s="21"/>
      <c r="F1592" s="36" t="str">
        <f t="shared" si="52"/>
        <v>Did Not</v>
      </c>
      <c r="G1592" s="28"/>
      <c r="H1592" s="28"/>
      <c r="I1592" s="28"/>
      <c r="J1592" s="28"/>
      <c r="K1592" s="28"/>
      <c r="L1592" s="28"/>
      <c r="M1592" s="28"/>
      <c r="N1592" s="21"/>
      <c r="O1592" s="28"/>
      <c r="P1592" s="38"/>
      <c r="Q1592" s="21"/>
      <c r="R1592" s="21"/>
      <c r="S1592" s="47"/>
      <c r="T1592" s="25">
        <f t="shared" si="51"/>
        <v>0</v>
      </c>
      <c r="U1592" s="25" t="str">
        <f>IF('PART III-DEMOGRAPHICS'!Q1602="","",'PART III-DEMOGRAPHICS'!Q1602)</f>
        <v/>
      </c>
    </row>
    <row r="1593" spans="1:21">
      <c r="A1593" s="25" t="str">
        <f>IF('PART III-DEMOGRAPHICS'!A1603="","",'PART III-DEMOGRAPHICS'!A1603)</f>
        <v/>
      </c>
      <c r="B1593" s="28"/>
      <c r="C1593" s="27"/>
      <c r="D1593" s="28"/>
      <c r="E1593" s="21"/>
      <c r="F1593" s="36" t="str">
        <f t="shared" si="52"/>
        <v>Did Not</v>
      </c>
      <c r="G1593" s="28"/>
      <c r="H1593" s="28"/>
      <c r="I1593" s="28"/>
      <c r="J1593" s="28"/>
      <c r="K1593" s="28"/>
      <c r="L1593" s="28"/>
      <c r="M1593" s="28"/>
      <c r="N1593" s="21"/>
      <c r="O1593" s="28"/>
      <c r="P1593" s="38"/>
      <c r="Q1593" s="21"/>
      <c r="R1593" s="21"/>
      <c r="S1593" s="47"/>
      <c r="T1593" s="25">
        <f t="shared" si="51"/>
        <v>0</v>
      </c>
      <c r="U1593" s="25" t="str">
        <f>IF('PART III-DEMOGRAPHICS'!Q1603="","",'PART III-DEMOGRAPHICS'!Q1603)</f>
        <v/>
      </c>
    </row>
    <row r="1594" spans="1:21">
      <c r="A1594" s="25" t="str">
        <f>IF('PART III-DEMOGRAPHICS'!A1604="","",'PART III-DEMOGRAPHICS'!A1604)</f>
        <v/>
      </c>
      <c r="B1594" s="28"/>
      <c r="C1594" s="27"/>
      <c r="D1594" s="28"/>
      <c r="E1594" s="21"/>
      <c r="F1594" s="36" t="str">
        <f t="shared" si="52"/>
        <v>Did Not</v>
      </c>
      <c r="G1594" s="28"/>
      <c r="H1594" s="28"/>
      <c r="I1594" s="28"/>
      <c r="J1594" s="28"/>
      <c r="K1594" s="28"/>
      <c r="L1594" s="28"/>
      <c r="M1594" s="28"/>
      <c r="N1594" s="21"/>
      <c r="O1594" s="28"/>
      <c r="P1594" s="38"/>
      <c r="Q1594" s="21"/>
      <c r="R1594" s="21"/>
      <c r="S1594" s="47"/>
      <c r="T1594" s="25">
        <f t="shared" si="51"/>
        <v>0</v>
      </c>
      <c r="U1594" s="25" t="str">
        <f>IF('PART III-DEMOGRAPHICS'!Q1604="","",'PART III-DEMOGRAPHICS'!Q1604)</f>
        <v/>
      </c>
    </row>
    <row r="1595" spans="1:21">
      <c r="A1595" s="25" t="str">
        <f>IF('PART III-DEMOGRAPHICS'!A1605="","",'PART III-DEMOGRAPHICS'!A1605)</f>
        <v/>
      </c>
      <c r="B1595" s="28"/>
      <c r="C1595" s="27"/>
      <c r="D1595" s="28"/>
      <c r="E1595" s="21"/>
      <c r="F1595" s="36" t="str">
        <f t="shared" si="52"/>
        <v>Did Not</v>
      </c>
      <c r="G1595" s="28"/>
      <c r="H1595" s="28"/>
      <c r="I1595" s="28"/>
      <c r="J1595" s="28"/>
      <c r="K1595" s="28"/>
      <c r="L1595" s="28"/>
      <c r="M1595" s="28"/>
      <c r="N1595" s="21"/>
      <c r="O1595" s="28"/>
      <c r="P1595" s="38"/>
      <c r="Q1595" s="21"/>
      <c r="R1595" s="21"/>
      <c r="S1595" s="47"/>
      <c r="T1595" s="25">
        <f t="shared" si="51"/>
        <v>0</v>
      </c>
      <c r="U1595" s="25" t="str">
        <f>IF('PART III-DEMOGRAPHICS'!Q1605="","",'PART III-DEMOGRAPHICS'!Q1605)</f>
        <v/>
      </c>
    </row>
    <row r="1596" spans="1:21">
      <c r="A1596" s="25" t="str">
        <f>IF('PART III-DEMOGRAPHICS'!A1606="","",'PART III-DEMOGRAPHICS'!A1606)</f>
        <v/>
      </c>
      <c r="B1596" s="28"/>
      <c r="C1596" s="27"/>
      <c r="D1596" s="28"/>
      <c r="E1596" s="21"/>
      <c r="F1596" s="36" t="str">
        <f t="shared" si="52"/>
        <v>Did Not</v>
      </c>
      <c r="G1596" s="28"/>
      <c r="H1596" s="28"/>
      <c r="I1596" s="28"/>
      <c r="J1596" s="28"/>
      <c r="K1596" s="28"/>
      <c r="L1596" s="28"/>
      <c r="M1596" s="28"/>
      <c r="N1596" s="21"/>
      <c r="O1596" s="28"/>
      <c r="P1596" s="38"/>
      <c r="Q1596" s="21"/>
      <c r="R1596" s="21"/>
      <c r="S1596" s="47"/>
      <c r="T1596" s="25">
        <f t="shared" si="51"/>
        <v>0</v>
      </c>
      <c r="U1596" s="25" t="str">
        <f>IF('PART III-DEMOGRAPHICS'!Q1606="","",'PART III-DEMOGRAPHICS'!Q1606)</f>
        <v/>
      </c>
    </row>
    <row r="1597" spans="1:21">
      <c r="A1597" s="25" t="str">
        <f>IF('PART III-DEMOGRAPHICS'!A1607="","",'PART III-DEMOGRAPHICS'!A1607)</f>
        <v/>
      </c>
      <c r="B1597" s="28"/>
      <c r="C1597" s="27"/>
      <c r="D1597" s="28"/>
      <c r="E1597" s="21"/>
      <c r="F1597" s="36" t="str">
        <f t="shared" si="52"/>
        <v>Did Not</v>
      </c>
      <c r="G1597" s="28"/>
      <c r="H1597" s="28"/>
      <c r="I1597" s="28"/>
      <c r="J1597" s="28"/>
      <c r="K1597" s="28"/>
      <c r="L1597" s="28"/>
      <c r="M1597" s="28"/>
      <c r="N1597" s="21"/>
      <c r="O1597" s="28"/>
      <c r="P1597" s="38"/>
      <c r="Q1597" s="21"/>
      <c r="R1597" s="21"/>
      <c r="S1597" s="47"/>
      <c r="T1597" s="25">
        <f t="shared" si="51"/>
        <v>0</v>
      </c>
      <c r="U1597" s="25" t="str">
        <f>IF('PART III-DEMOGRAPHICS'!Q1607="","",'PART III-DEMOGRAPHICS'!Q1607)</f>
        <v/>
      </c>
    </row>
    <row r="1598" spans="1:21">
      <c r="A1598" s="25" t="str">
        <f>IF('PART III-DEMOGRAPHICS'!A1608="","",'PART III-DEMOGRAPHICS'!A1608)</f>
        <v/>
      </c>
      <c r="B1598" s="28"/>
      <c r="C1598" s="27"/>
      <c r="D1598" s="28"/>
      <c r="E1598" s="21"/>
      <c r="F1598" s="36" t="str">
        <f t="shared" si="52"/>
        <v>Did Not</v>
      </c>
      <c r="G1598" s="28"/>
      <c r="H1598" s="28"/>
      <c r="I1598" s="28"/>
      <c r="J1598" s="28"/>
      <c r="K1598" s="28"/>
      <c r="L1598" s="28"/>
      <c r="M1598" s="28"/>
      <c r="N1598" s="21"/>
      <c r="O1598" s="28"/>
      <c r="P1598" s="38"/>
      <c r="Q1598" s="21"/>
      <c r="R1598" s="21"/>
      <c r="S1598" s="47"/>
      <c r="T1598" s="25">
        <f t="shared" si="51"/>
        <v>0</v>
      </c>
      <c r="U1598" s="25" t="str">
        <f>IF('PART III-DEMOGRAPHICS'!Q1608="","",'PART III-DEMOGRAPHICS'!Q1608)</f>
        <v/>
      </c>
    </row>
    <row r="1599" spans="1:21">
      <c r="A1599" s="25" t="str">
        <f>IF('PART III-DEMOGRAPHICS'!A1609="","",'PART III-DEMOGRAPHICS'!A1609)</f>
        <v/>
      </c>
      <c r="B1599" s="28"/>
      <c r="C1599" s="27"/>
      <c r="D1599" s="28"/>
      <c r="E1599" s="21"/>
      <c r="F1599" s="36" t="str">
        <f t="shared" si="52"/>
        <v>Did Not</v>
      </c>
      <c r="G1599" s="28"/>
      <c r="H1599" s="28"/>
      <c r="I1599" s="28"/>
      <c r="J1599" s="28"/>
      <c r="K1599" s="28"/>
      <c r="L1599" s="28"/>
      <c r="M1599" s="28"/>
      <c r="N1599" s="21"/>
      <c r="O1599" s="28"/>
      <c r="P1599" s="38"/>
      <c r="Q1599" s="21"/>
      <c r="R1599" s="21"/>
      <c r="S1599" s="47"/>
      <c r="T1599" s="25">
        <f t="shared" si="51"/>
        <v>0</v>
      </c>
      <c r="U1599" s="25" t="str">
        <f>IF('PART III-DEMOGRAPHICS'!Q1609="","",'PART III-DEMOGRAPHICS'!Q1609)</f>
        <v/>
      </c>
    </row>
    <row r="1600" spans="1:21">
      <c r="A1600" s="25" t="str">
        <f>IF('PART III-DEMOGRAPHICS'!A1610="","",'PART III-DEMOGRAPHICS'!A1610)</f>
        <v/>
      </c>
      <c r="B1600" s="28"/>
      <c r="C1600" s="27"/>
      <c r="D1600" s="28"/>
      <c r="E1600" s="21"/>
      <c r="F1600" s="36" t="str">
        <f t="shared" si="52"/>
        <v>Did Not</v>
      </c>
      <c r="G1600" s="28"/>
      <c r="H1600" s="28"/>
      <c r="I1600" s="28"/>
      <c r="J1600" s="28"/>
      <c r="K1600" s="28"/>
      <c r="L1600" s="28"/>
      <c r="M1600" s="28"/>
      <c r="N1600" s="21"/>
      <c r="O1600" s="28"/>
      <c r="P1600" s="38"/>
      <c r="Q1600" s="21"/>
      <c r="R1600" s="21"/>
      <c r="S1600" s="47"/>
      <c r="T1600" s="25">
        <f t="shared" si="51"/>
        <v>0</v>
      </c>
      <c r="U1600" s="25" t="str">
        <f>IF('PART III-DEMOGRAPHICS'!Q1610="","",'PART III-DEMOGRAPHICS'!Q1610)</f>
        <v/>
      </c>
    </row>
    <row r="1601" spans="1:21">
      <c r="A1601" s="25" t="str">
        <f>IF('PART III-DEMOGRAPHICS'!A1611="","",'PART III-DEMOGRAPHICS'!A1611)</f>
        <v/>
      </c>
      <c r="B1601" s="28"/>
      <c r="C1601" s="27"/>
      <c r="D1601" s="28"/>
      <c r="E1601" s="21"/>
      <c r="F1601" s="36" t="str">
        <f t="shared" si="52"/>
        <v>Did Not</v>
      </c>
      <c r="G1601" s="28"/>
      <c r="H1601" s="28"/>
      <c r="I1601" s="28"/>
      <c r="J1601" s="28"/>
      <c r="K1601" s="28"/>
      <c r="L1601" s="28"/>
      <c r="M1601" s="28"/>
      <c r="N1601" s="21"/>
      <c r="O1601" s="28"/>
      <c r="P1601" s="38"/>
      <c r="Q1601" s="21"/>
      <c r="R1601" s="21"/>
      <c r="S1601" s="47"/>
      <c r="T1601" s="25">
        <f t="shared" si="51"/>
        <v>0</v>
      </c>
      <c r="U1601" s="25" t="str">
        <f>IF('PART III-DEMOGRAPHICS'!Q1611="","",'PART III-DEMOGRAPHICS'!Q1611)</f>
        <v/>
      </c>
    </row>
    <row r="1602" spans="1:21">
      <c r="A1602" s="25" t="str">
        <f>IF('PART III-DEMOGRAPHICS'!A1612="","",'PART III-DEMOGRAPHICS'!A1612)</f>
        <v/>
      </c>
      <c r="B1602" s="28"/>
      <c r="C1602" s="27"/>
      <c r="D1602" s="28"/>
      <c r="E1602" s="21"/>
      <c r="F1602" s="36" t="str">
        <f t="shared" si="52"/>
        <v>Did Not</v>
      </c>
      <c r="G1602" s="28"/>
      <c r="H1602" s="28"/>
      <c r="I1602" s="28"/>
      <c r="J1602" s="28"/>
      <c r="K1602" s="28"/>
      <c r="L1602" s="28"/>
      <c r="M1602" s="28"/>
      <c r="N1602" s="21"/>
      <c r="O1602" s="28"/>
      <c r="P1602" s="38"/>
      <c r="Q1602" s="21"/>
      <c r="R1602" s="21"/>
      <c r="S1602" s="47"/>
      <c r="T1602" s="25">
        <f t="shared" si="51"/>
        <v>0</v>
      </c>
      <c r="U1602" s="25" t="str">
        <f>IF('PART III-DEMOGRAPHICS'!Q1612="","",'PART III-DEMOGRAPHICS'!Q1612)</f>
        <v/>
      </c>
    </row>
    <row r="1603" spans="1:21">
      <c r="A1603" s="25" t="str">
        <f>IF('PART III-DEMOGRAPHICS'!A1613="","",'PART III-DEMOGRAPHICS'!A1613)</f>
        <v/>
      </c>
      <c r="B1603" s="28"/>
      <c r="C1603" s="27"/>
      <c r="D1603" s="28"/>
      <c r="E1603" s="21"/>
      <c r="F1603" s="36" t="str">
        <f t="shared" si="52"/>
        <v>Did Not</v>
      </c>
      <c r="G1603" s="28"/>
      <c r="H1603" s="28"/>
      <c r="I1603" s="28"/>
      <c r="J1603" s="28"/>
      <c r="K1603" s="28"/>
      <c r="L1603" s="28"/>
      <c r="M1603" s="28"/>
      <c r="N1603" s="21"/>
      <c r="O1603" s="28"/>
      <c r="P1603" s="38"/>
      <c r="Q1603" s="21"/>
      <c r="R1603" s="21"/>
      <c r="S1603" s="47"/>
      <c r="T1603" s="25">
        <f t="shared" si="51"/>
        <v>0</v>
      </c>
      <c r="U1603" s="25" t="str">
        <f>IF('PART III-DEMOGRAPHICS'!Q1613="","",'PART III-DEMOGRAPHICS'!Q1613)</f>
        <v/>
      </c>
    </row>
    <row r="1604" spans="1:21">
      <c r="A1604" s="25" t="str">
        <f>IF('PART III-DEMOGRAPHICS'!A1614="","",'PART III-DEMOGRAPHICS'!A1614)</f>
        <v/>
      </c>
      <c r="B1604" s="28"/>
      <c r="C1604" s="27"/>
      <c r="D1604" s="28"/>
      <c r="E1604" s="21"/>
      <c r="F1604" s="36" t="str">
        <f t="shared" si="52"/>
        <v>Did Not</v>
      </c>
      <c r="G1604" s="28"/>
      <c r="H1604" s="28"/>
      <c r="I1604" s="28"/>
      <c r="J1604" s="28"/>
      <c r="K1604" s="28"/>
      <c r="L1604" s="28"/>
      <c r="M1604" s="28"/>
      <c r="N1604" s="21"/>
      <c r="O1604" s="28"/>
      <c r="P1604" s="38"/>
      <c r="Q1604" s="21"/>
      <c r="R1604" s="21"/>
      <c r="S1604" s="47"/>
      <c r="T1604" s="25">
        <f t="shared" si="51"/>
        <v>0</v>
      </c>
      <c r="U1604" s="25" t="str">
        <f>IF('PART III-DEMOGRAPHICS'!Q1614="","",'PART III-DEMOGRAPHICS'!Q1614)</f>
        <v/>
      </c>
    </row>
    <row r="1605" spans="1:21">
      <c r="A1605" s="25" t="str">
        <f>IF('PART III-DEMOGRAPHICS'!A1615="","",'PART III-DEMOGRAPHICS'!A1615)</f>
        <v/>
      </c>
      <c r="B1605" s="28"/>
      <c r="C1605" s="27"/>
      <c r="D1605" s="28"/>
      <c r="E1605" s="21"/>
      <c r="F1605" s="36" t="str">
        <f t="shared" si="52"/>
        <v>Did Not</v>
      </c>
      <c r="G1605" s="28"/>
      <c r="H1605" s="28"/>
      <c r="I1605" s="28"/>
      <c r="J1605" s="28"/>
      <c r="K1605" s="28"/>
      <c r="L1605" s="28"/>
      <c r="M1605" s="28"/>
      <c r="N1605" s="21"/>
      <c r="O1605" s="28"/>
      <c r="P1605" s="38"/>
      <c r="Q1605" s="21"/>
      <c r="R1605" s="21"/>
      <c r="S1605" s="47"/>
      <c r="T1605" s="25">
        <f t="shared" si="51"/>
        <v>0</v>
      </c>
      <c r="U1605" s="25" t="str">
        <f>IF('PART III-DEMOGRAPHICS'!Q1615="","",'PART III-DEMOGRAPHICS'!Q1615)</f>
        <v/>
      </c>
    </row>
    <row r="1606" spans="1:21">
      <c r="A1606" s="25" t="str">
        <f>IF('PART III-DEMOGRAPHICS'!A1616="","",'PART III-DEMOGRAPHICS'!A1616)</f>
        <v/>
      </c>
      <c r="B1606" s="28"/>
      <c r="C1606" s="27"/>
      <c r="D1606" s="28"/>
      <c r="E1606" s="21"/>
      <c r="F1606" s="36" t="str">
        <f t="shared" si="52"/>
        <v>Did Not</v>
      </c>
      <c r="G1606" s="28"/>
      <c r="H1606" s="28"/>
      <c r="I1606" s="28"/>
      <c r="J1606" s="28"/>
      <c r="K1606" s="28"/>
      <c r="L1606" s="28"/>
      <c r="M1606" s="28"/>
      <c r="N1606" s="21"/>
      <c r="O1606" s="28"/>
      <c r="P1606" s="38"/>
      <c r="Q1606" s="21"/>
      <c r="R1606" s="21"/>
      <c r="S1606" s="47"/>
      <c r="T1606" s="25">
        <f t="shared" si="51"/>
        <v>0</v>
      </c>
      <c r="U1606" s="25" t="str">
        <f>IF('PART III-DEMOGRAPHICS'!Q1616="","",'PART III-DEMOGRAPHICS'!Q1616)</f>
        <v/>
      </c>
    </row>
    <row r="1607" spans="1:21">
      <c r="A1607" s="25" t="str">
        <f>IF('PART III-DEMOGRAPHICS'!A1617="","",'PART III-DEMOGRAPHICS'!A1617)</f>
        <v/>
      </c>
      <c r="B1607" s="28"/>
      <c r="C1607" s="27"/>
      <c r="D1607" s="28"/>
      <c r="E1607" s="21"/>
      <c r="F1607" s="36" t="str">
        <f t="shared" si="52"/>
        <v>Did Not</v>
      </c>
      <c r="G1607" s="28"/>
      <c r="H1607" s="28"/>
      <c r="I1607" s="28"/>
      <c r="J1607" s="28"/>
      <c r="K1607" s="28"/>
      <c r="L1607" s="28"/>
      <c r="M1607" s="28"/>
      <c r="N1607" s="21"/>
      <c r="O1607" s="28"/>
      <c r="P1607" s="38"/>
      <c r="Q1607" s="21"/>
      <c r="R1607" s="21"/>
      <c r="S1607" s="47"/>
      <c r="T1607" s="25">
        <f t="shared" ref="T1607:T1670" si="53">COUNTIF(A1607:R1607,"Yes")</f>
        <v>0</v>
      </c>
      <c r="U1607" s="25" t="str">
        <f>IF('PART III-DEMOGRAPHICS'!Q1617="","",'PART III-DEMOGRAPHICS'!Q1617)</f>
        <v/>
      </c>
    </row>
    <row r="1608" spans="1:21">
      <c r="A1608" s="25" t="str">
        <f>IF('PART III-DEMOGRAPHICS'!A1618="","",'PART III-DEMOGRAPHICS'!A1618)</f>
        <v/>
      </c>
      <c r="B1608" s="28"/>
      <c r="C1608" s="27"/>
      <c r="D1608" s="28"/>
      <c r="E1608" s="21"/>
      <c r="F1608" s="36" t="str">
        <f t="shared" si="52"/>
        <v>Did Not</v>
      </c>
      <c r="G1608" s="28"/>
      <c r="H1608" s="28"/>
      <c r="I1608" s="28"/>
      <c r="J1608" s="28"/>
      <c r="K1608" s="28"/>
      <c r="L1608" s="28"/>
      <c r="M1608" s="28"/>
      <c r="N1608" s="21"/>
      <c r="O1608" s="28"/>
      <c r="P1608" s="38"/>
      <c r="Q1608" s="21"/>
      <c r="R1608" s="21"/>
      <c r="S1608" s="47"/>
      <c r="T1608" s="25">
        <f t="shared" si="53"/>
        <v>0</v>
      </c>
      <c r="U1608" s="25" t="str">
        <f>IF('PART III-DEMOGRAPHICS'!Q1618="","",'PART III-DEMOGRAPHICS'!Q1618)</f>
        <v/>
      </c>
    </row>
    <row r="1609" spans="1:21">
      <c r="A1609" s="25" t="str">
        <f>IF('PART III-DEMOGRAPHICS'!A1619="","",'PART III-DEMOGRAPHICS'!A1619)</f>
        <v/>
      </c>
      <c r="B1609" s="28"/>
      <c r="C1609" s="27"/>
      <c r="D1609" s="28"/>
      <c r="E1609" s="21"/>
      <c r="F1609" s="36" t="str">
        <f t="shared" si="52"/>
        <v>Did Not</v>
      </c>
      <c r="G1609" s="28"/>
      <c r="H1609" s="28"/>
      <c r="I1609" s="28"/>
      <c r="J1609" s="28"/>
      <c r="K1609" s="28"/>
      <c r="L1609" s="28"/>
      <c r="M1609" s="28"/>
      <c r="N1609" s="21"/>
      <c r="O1609" s="28"/>
      <c r="P1609" s="38"/>
      <c r="Q1609" s="21"/>
      <c r="R1609" s="21"/>
      <c r="S1609" s="47"/>
      <c r="T1609" s="25">
        <f t="shared" si="53"/>
        <v>0</v>
      </c>
      <c r="U1609" s="25" t="str">
        <f>IF('PART III-DEMOGRAPHICS'!Q1619="","",'PART III-DEMOGRAPHICS'!Q1619)</f>
        <v/>
      </c>
    </row>
    <row r="1610" spans="1:21">
      <c r="A1610" s="25" t="str">
        <f>IF('PART III-DEMOGRAPHICS'!A1620="","",'PART III-DEMOGRAPHICS'!A1620)</f>
        <v/>
      </c>
      <c r="B1610" s="28"/>
      <c r="C1610" s="27"/>
      <c r="D1610" s="28"/>
      <c r="E1610" s="21"/>
      <c r="F1610" s="36" t="str">
        <f t="shared" si="52"/>
        <v>Did Not</v>
      </c>
      <c r="G1610" s="28"/>
      <c r="H1610" s="28"/>
      <c r="I1610" s="28"/>
      <c r="J1610" s="28"/>
      <c r="K1610" s="28"/>
      <c r="L1610" s="28"/>
      <c r="M1610" s="28"/>
      <c r="N1610" s="21"/>
      <c r="O1610" s="28"/>
      <c r="P1610" s="38"/>
      <c r="Q1610" s="21"/>
      <c r="R1610" s="21"/>
      <c r="S1610" s="47"/>
      <c r="T1610" s="25">
        <f t="shared" si="53"/>
        <v>0</v>
      </c>
      <c r="U1610" s="25" t="str">
        <f>IF('PART III-DEMOGRAPHICS'!Q1620="","",'PART III-DEMOGRAPHICS'!Q1620)</f>
        <v/>
      </c>
    </row>
    <row r="1611" spans="1:21">
      <c r="A1611" s="25" t="str">
        <f>IF('PART III-DEMOGRAPHICS'!A1621="","",'PART III-DEMOGRAPHICS'!A1621)</f>
        <v/>
      </c>
      <c r="B1611" s="28"/>
      <c r="C1611" s="27"/>
      <c r="D1611" s="28"/>
      <c r="E1611" s="21"/>
      <c r="F1611" s="36" t="str">
        <f t="shared" si="52"/>
        <v>Did Not</v>
      </c>
      <c r="G1611" s="28"/>
      <c r="H1611" s="28"/>
      <c r="I1611" s="28"/>
      <c r="J1611" s="28"/>
      <c r="K1611" s="28"/>
      <c r="L1611" s="28"/>
      <c r="M1611" s="28"/>
      <c r="N1611" s="21"/>
      <c r="O1611" s="28"/>
      <c r="P1611" s="38"/>
      <c r="Q1611" s="21"/>
      <c r="R1611" s="21"/>
      <c r="S1611" s="47"/>
      <c r="T1611" s="25">
        <f t="shared" si="53"/>
        <v>0</v>
      </c>
      <c r="U1611" s="25" t="str">
        <f>IF('PART III-DEMOGRAPHICS'!Q1621="","",'PART III-DEMOGRAPHICS'!Q1621)</f>
        <v/>
      </c>
    </row>
    <row r="1612" spans="1:21">
      <c r="A1612" s="25" t="str">
        <f>IF('PART III-DEMOGRAPHICS'!A1622="","",'PART III-DEMOGRAPHICS'!A1622)</f>
        <v/>
      </c>
      <c r="B1612" s="28"/>
      <c r="C1612" s="27"/>
      <c r="D1612" s="28"/>
      <c r="E1612" s="21"/>
      <c r="F1612" s="36" t="str">
        <f t="shared" si="52"/>
        <v>Did Not</v>
      </c>
      <c r="G1612" s="28"/>
      <c r="H1612" s="28"/>
      <c r="I1612" s="28"/>
      <c r="J1612" s="28"/>
      <c r="K1612" s="28"/>
      <c r="L1612" s="28"/>
      <c r="M1612" s="28"/>
      <c r="N1612" s="21"/>
      <c r="O1612" s="28"/>
      <c r="P1612" s="38"/>
      <c r="Q1612" s="21"/>
      <c r="R1612" s="21"/>
      <c r="S1612" s="47"/>
      <c r="T1612" s="25">
        <f t="shared" si="53"/>
        <v>0</v>
      </c>
      <c r="U1612" s="25" t="str">
        <f>IF('PART III-DEMOGRAPHICS'!Q1622="","",'PART III-DEMOGRAPHICS'!Q1622)</f>
        <v/>
      </c>
    </row>
    <row r="1613" spans="1:21">
      <c r="A1613" s="25" t="str">
        <f>IF('PART III-DEMOGRAPHICS'!A1623="","",'PART III-DEMOGRAPHICS'!A1623)</f>
        <v/>
      </c>
      <c r="B1613" s="28"/>
      <c r="C1613" s="27"/>
      <c r="D1613" s="28"/>
      <c r="E1613" s="21"/>
      <c r="F1613" s="36" t="str">
        <f t="shared" si="52"/>
        <v>Did Not</v>
      </c>
      <c r="G1613" s="28"/>
      <c r="H1613" s="28"/>
      <c r="I1613" s="28"/>
      <c r="J1613" s="28"/>
      <c r="K1613" s="28"/>
      <c r="L1613" s="28"/>
      <c r="M1613" s="28"/>
      <c r="N1613" s="21"/>
      <c r="O1613" s="28"/>
      <c r="P1613" s="38"/>
      <c r="Q1613" s="21"/>
      <c r="R1613" s="21"/>
      <c r="S1613" s="47"/>
      <c r="T1613" s="25">
        <f t="shared" si="53"/>
        <v>0</v>
      </c>
      <c r="U1613" s="25" t="str">
        <f>IF('PART III-DEMOGRAPHICS'!Q1623="","",'PART III-DEMOGRAPHICS'!Q1623)</f>
        <v/>
      </c>
    </row>
    <row r="1614" spans="1:21">
      <c r="A1614" s="25" t="str">
        <f>IF('PART III-DEMOGRAPHICS'!A1624="","",'PART III-DEMOGRAPHICS'!A1624)</f>
        <v/>
      </c>
      <c r="B1614" s="28"/>
      <c r="C1614" s="27"/>
      <c r="D1614" s="28"/>
      <c r="E1614" s="21"/>
      <c r="F1614" s="36" t="str">
        <f t="shared" ref="F1614:F1677" si="54">IF(OR(G1614="Yes",H1614="Yes",I1614="Yes",J1614="Yes",K1614="Yes",L1614="Yes",M1614="Yes"),"Did","Did Not")</f>
        <v>Did Not</v>
      </c>
      <c r="G1614" s="28"/>
      <c r="H1614" s="28"/>
      <c r="I1614" s="28"/>
      <c r="J1614" s="28"/>
      <c r="K1614" s="28"/>
      <c r="L1614" s="28"/>
      <c r="M1614" s="28"/>
      <c r="N1614" s="21"/>
      <c r="O1614" s="28"/>
      <c r="P1614" s="38"/>
      <c r="Q1614" s="21"/>
      <c r="R1614" s="21"/>
      <c r="S1614" s="47"/>
      <c r="T1614" s="25">
        <f t="shared" si="53"/>
        <v>0</v>
      </c>
      <c r="U1614" s="25" t="str">
        <f>IF('PART III-DEMOGRAPHICS'!Q1624="","",'PART III-DEMOGRAPHICS'!Q1624)</f>
        <v/>
      </c>
    </row>
    <row r="1615" spans="1:21">
      <c r="A1615" s="25" t="str">
        <f>IF('PART III-DEMOGRAPHICS'!A1625="","",'PART III-DEMOGRAPHICS'!A1625)</f>
        <v/>
      </c>
      <c r="B1615" s="28"/>
      <c r="C1615" s="27"/>
      <c r="D1615" s="28"/>
      <c r="E1615" s="21"/>
      <c r="F1615" s="36" t="str">
        <f t="shared" si="54"/>
        <v>Did Not</v>
      </c>
      <c r="G1615" s="28"/>
      <c r="H1615" s="28"/>
      <c r="I1615" s="28"/>
      <c r="J1615" s="28"/>
      <c r="K1615" s="28"/>
      <c r="L1615" s="28"/>
      <c r="M1615" s="28"/>
      <c r="N1615" s="21"/>
      <c r="O1615" s="28"/>
      <c r="P1615" s="38"/>
      <c r="Q1615" s="21"/>
      <c r="R1615" s="21"/>
      <c r="S1615" s="47"/>
      <c r="T1615" s="25">
        <f t="shared" si="53"/>
        <v>0</v>
      </c>
      <c r="U1615" s="25" t="str">
        <f>IF('PART III-DEMOGRAPHICS'!Q1625="","",'PART III-DEMOGRAPHICS'!Q1625)</f>
        <v/>
      </c>
    </row>
    <row r="1616" spans="1:21">
      <c r="A1616" s="25" t="str">
        <f>IF('PART III-DEMOGRAPHICS'!A1626="","",'PART III-DEMOGRAPHICS'!A1626)</f>
        <v/>
      </c>
      <c r="B1616" s="28"/>
      <c r="C1616" s="27"/>
      <c r="D1616" s="28"/>
      <c r="E1616" s="21"/>
      <c r="F1616" s="36" t="str">
        <f t="shared" si="54"/>
        <v>Did Not</v>
      </c>
      <c r="G1616" s="28"/>
      <c r="H1616" s="28"/>
      <c r="I1616" s="28"/>
      <c r="J1616" s="28"/>
      <c r="K1616" s="28"/>
      <c r="L1616" s="28"/>
      <c r="M1616" s="28"/>
      <c r="N1616" s="21"/>
      <c r="O1616" s="28"/>
      <c r="P1616" s="38"/>
      <c r="Q1616" s="21"/>
      <c r="R1616" s="21"/>
      <c r="S1616" s="47"/>
      <c r="T1616" s="25">
        <f t="shared" si="53"/>
        <v>0</v>
      </c>
      <c r="U1616" s="25" t="str">
        <f>IF('PART III-DEMOGRAPHICS'!Q1626="","",'PART III-DEMOGRAPHICS'!Q1626)</f>
        <v/>
      </c>
    </row>
    <row r="1617" spans="1:21">
      <c r="A1617" s="25" t="str">
        <f>IF('PART III-DEMOGRAPHICS'!A1627="","",'PART III-DEMOGRAPHICS'!A1627)</f>
        <v/>
      </c>
      <c r="B1617" s="28"/>
      <c r="C1617" s="27"/>
      <c r="D1617" s="28"/>
      <c r="E1617" s="21"/>
      <c r="F1617" s="36" t="str">
        <f t="shared" si="54"/>
        <v>Did Not</v>
      </c>
      <c r="G1617" s="28"/>
      <c r="H1617" s="28"/>
      <c r="I1617" s="28"/>
      <c r="J1617" s="28"/>
      <c r="K1617" s="28"/>
      <c r="L1617" s="28"/>
      <c r="M1617" s="28"/>
      <c r="N1617" s="21"/>
      <c r="O1617" s="28"/>
      <c r="P1617" s="38"/>
      <c r="Q1617" s="21"/>
      <c r="R1617" s="21"/>
      <c r="S1617" s="47"/>
      <c r="T1617" s="25">
        <f t="shared" si="53"/>
        <v>0</v>
      </c>
      <c r="U1617" s="25" t="str">
        <f>IF('PART III-DEMOGRAPHICS'!Q1627="","",'PART III-DEMOGRAPHICS'!Q1627)</f>
        <v/>
      </c>
    </row>
    <row r="1618" spans="1:21">
      <c r="A1618" s="25" t="str">
        <f>IF('PART III-DEMOGRAPHICS'!A1628="","",'PART III-DEMOGRAPHICS'!A1628)</f>
        <v/>
      </c>
      <c r="B1618" s="28"/>
      <c r="C1618" s="27"/>
      <c r="D1618" s="28"/>
      <c r="E1618" s="21"/>
      <c r="F1618" s="36" t="str">
        <f t="shared" si="54"/>
        <v>Did Not</v>
      </c>
      <c r="G1618" s="28"/>
      <c r="H1618" s="28"/>
      <c r="I1618" s="28"/>
      <c r="J1618" s="28"/>
      <c r="K1618" s="28"/>
      <c r="L1618" s="28"/>
      <c r="M1618" s="28"/>
      <c r="N1618" s="21"/>
      <c r="O1618" s="28"/>
      <c r="P1618" s="38"/>
      <c r="Q1618" s="21"/>
      <c r="R1618" s="21"/>
      <c r="S1618" s="47"/>
      <c r="T1618" s="25">
        <f t="shared" si="53"/>
        <v>0</v>
      </c>
      <c r="U1618" s="25" t="str">
        <f>IF('PART III-DEMOGRAPHICS'!Q1628="","",'PART III-DEMOGRAPHICS'!Q1628)</f>
        <v/>
      </c>
    </row>
    <row r="1619" spans="1:21">
      <c r="A1619" s="25" t="str">
        <f>IF('PART III-DEMOGRAPHICS'!A1629="","",'PART III-DEMOGRAPHICS'!A1629)</f>
        <v/>
      </c>
      <c r="B1619" s="28"/>
      <c r="C1619" s="27"/>
      <c r="D1619" s="28"/>
      <c r="E1619" s="21"/>
      <c r="F1619" s="36" t="str">
        <f t="shared" si="54"/>
        <v>Did Not</v>
      </c>
      <c r="G1619" s="28"/>
      <c r="H1619" s="28"/>
      <c r="I1619" s="28"/>
      <c r="J1619" s="28"/>
      <c r="K1619" s="28"/>
      <c r="L1619" s="28"/>
      <c r="M1619" s="28"/>
      <c r="N1619" s="21"/>
      <c r="O1619" s="28"/>
      <c r="P1619" s="38"/>
      <c r="Q1619" s="21"/>
      <c r="R1619" s="21"/>
      <c r="S1619" s="47"/>
      <c r="T1619" s="25">
        <f t="shared" si="53"/>
        <v>0</v>
      </c>
      <c r="U1619" s="25" t="str">
        <f>IF('PART III-DEMOGRAPHICS'!Q1629="","",'PART III-DEMOGRAPHICS'!Q1629)</f>
        <v/>
      </c>
    </row>
    <row r="1620" spans="1:21">
      <c r="A1620" s="25" t="str">
        <f>IF('PART III-DEMOGRAPHICS'!A1630="","",'PART III-DEMOGRAPHICS'!A1630)</f>
        <v/>
      </c>
      <c r="B1620" s="28"/>
      <c r="C1620" s="27"/>
      <c r="D1620" s="28"/>
      <c r="E1620" s="21"/>
      <c r="F1620" s="36" t="str">
        <f t="shared" si="54"/>
        <v>Did Not</v>
      </c>
      <c r="G1620" s="28"/>
      <c r="H1620" s="28"/>
      <c r="I1620" s="28"/>
      <c r="J1620" s="28"/>
      <c r="K1620" s="28"/>
      <c r="L1620" s="28"/>
      <c r="M1620" s="28"/>
      <c r="N1620" s="21"/>
      <c r="O1620" s="28"/>
      <c r="P1620" s="38"/>
      <c r="Q1620" s="21"/>
      <c r="R1620" s="21"/>
      <c r="S1620" s="47"/>
      <c r="T1620" s="25">
        <f t="shared" si="53"/>
        <v>0</v>
      </c>
      <c r="U1620" s="25" t="str">
        <f>IF('PART III-DEMOGRAPHICS'!Q1630="","",'PART III-DEMOGRAPHICS'!Q1630)</f>
        <v/>
      </c>
    </row>
    <row r="1621" spans="1:21">
      <c r="A1621" s="25" t="str">
        <f>IF('PART III-DEMOGRAPHICS'!A1631="","",'PART III-DEMOGRAPHICS'!A1631)</f>
        <v/>
      </c>
      <c r="B1621" s="28"/>
      <c r="C1621" s="27"/>
      <c r="D1621" s="28"/>
      <c r="E1621" s="21"/>
      <c r="F1621" s="36" t="str">
        <f t="shared" si="54"/>
        <v>Did Not</v>
      </c>
      <c r="G1621" s="28"/>
      <c r="H1621" s="28"/>
      <c r="I1621" s="28"/>
      <c r="J1621" s="28"/>
      <c r="K1621" s="28"/>
      <c r="L1621" s="28"/>
      <c r="M1621" s="28"/>
      <c r="N1621" s="21"/>
      <c r="O1621" s="28"/>
      <c r="P1621" s="38"/>
      <c r="Q1621" s="21"/>
      <c r="R1621" s="21"/>
      <c r="S1621" s="47"/>
      <c r="T1621" s="25">
        <f t="shared" si="53"/>
        <v>0</v>
      </c>
      <c r="U1621" s="25" t="str">
        <f>IF('PART III-DEMOGRAPHICS'!Q1631="","",'PART III-DEMOGRAPHICS'!Q1631)</f>
        <v/>
      </c>
    </row>
    <row r="1622" spans="1:21">
      <c r="A1622" s="25" t="str">
        <f>IF('PART III-DEMOGRAPHICS'!A1632="","",'PART III-DEMOGRAPHICS'!A1632)</f>
        <v/>
      </c>
      <c r="B1622" s="28"/>
      <c r="C1622" s="27"/>
      <c r="D1622" s="28"/>
      <c r="E1622" s="21"/>
      <c r="F1622" s="36" t="str">
        <f t="shared" si="54"/>
        <v>Did Not</v>
      </c>
      <c r="G1622" s="28"/>
      <c r="H1622" s="28"/>
      <c r="I1622" s="28"/>
      <c r="J1622" s="28"/>
      <c r="K1622" s="28"/>
      <c r="L1622" s="28"/>
      <c r="M1622" s="28"/>
      <c r="N1622" s="21"/>
      <c r="O1622" s="28"/>
      <c r="P1622" s="38"/>
      <c r="Q1622" s="21"/>
      <c r="R1622" s="21"/>
      <c r="S1622" s="47"/>
      <c r="T1622" s="25">
        <f t="shared" si="53"/>
        <v>0</v>
      </c>
      <c r="U1622" s="25" t="str">
        <f>IF('PART III-DEMOGRAPHICS'!Q1632="","",'PART III-DEMOGRAPHICS'!Q1632)</f>
        <v/>
      </c>
    </row>
    <row r="1623" spans="1:21">
      <c r="A1623" s="25" t="str">
        <f>IF('PART III-DEMOGRAPHICS'!A1633="","",'PART III-DEMOGRAPHICS'!A1633)</f>
        <v/>
      </c>
      <c r="B1623" s="28"/>
      <c r="C1623" s="27"/>
      <c r="D1623" s="28"/>
      <c r="E1623" s="21"/>
      <c r="F1623" s="36" t="str">
        <f t="shared" si="54"/>
        <v>Did Not</v>
      </c>
      <c r="G1623" s="28"/>
      <c r="H1623" s="28"/>
      <c r="I1623" s="28"/>
      <c r="J1623" s="28"/>
      <c r="K1623" s="28"/>
      <c r="L1623" s="28"/>
      <c r="M1623" s="28"/>
      <c r="N1623" s="21"/>
      <c r="O1623" s="28"/>
      <c r="P1623" s="38"/>
      <c r="Q1623" s="21"/>
      <c r="R1623" s="21"/>
      <c r="S1623" s="47"/>
      <c r="T1623" s="25">
        <f t="shared" si="53"/>
        <v>0</v>
      </c>
      <c r="U1623" s="25" t="str">
        <f>IF('PART III-DEMOGRAPHICS'!Q1633="","",'PART III-DEMOGRAPHICS'!Q1633)</f>
        <v/>
      </c>
    </row>
    <row r="1624" spans="1:21">
      <c r="A1624" s="25" t="str">
        <f>IF('PART III-DEMOGRAPHICS'!A1634="","",'PART III-DEMOGRAPHICS'!A1634)</f>
        <v/>
      </c>
      <c r="B1624" s="28"/>
      <c r="C1624" s="27"/>
      <c r="D1624" s="28"/>
      <c r="E1624" s="21"/>
      <c r="F1624" s="36" t="str">
        <f t="shared" si="54"/>
        <v>Did Not</v>
      </c>
      <c r="G1624" s="28"/>
      <c r="H1624" s="28"/>
      <c r="I1624" s="28"/>
      <c r="J1624" s="28"/>
      <c r="K1624" s="28"/>
      <c r="L1624" s="28"/>
      <c r="M1624" s="28"/>
      <c r="N1624" s="21"/>
      <c r="O1624" s="28"/>
      <c r="P1624" s="38"/>
      <c r="Q1624" s="21"/>
      <c r="R1624" s="21"/>
      <c r="S1624" s="47"/>
      <c r="T1624" s="25">
        <f t="shared" si="53"/>
        <v>0</v>
      </c>
      <c r="U1624" s="25" t="str">
        <f>IF('PART III-DEMOGRAPHICS'!Q1634="","",'PART III-DEMOGRAPHICS'!Q1634)</f>
        <v/>
      </c>
    </row>
    <row r="1625" spans="1:21">
      <c r="A1625" s="25" t="str">
        <f>IF('PART III-DEMOGRAPHICS'!A1635="","",'PART III-DEMOGRAPHICS'!A1635)</f>
        <v/>
      </c>
      <c r="B1625" s="28"/>
      <c r="C1625" s="27"/>
      <c r="D1625" s="28"/>
      <c r="E1625" s="21"/>
      <c r="F1625" s="36" t="str">
        <f t="shared" si="54"/>
        <v>Did Not</v>
      </c>
      <c r="G1625" s="28"/>
      <c r="H1625" s="28"/>
      <c r="I1625" s="28"/>
      <c r="J1625" s="28"/>
      <c r="K1625" s="28"/>
      <c r="L1625" s="28"/>
      <c r="M1625" s="28"/>
      <c r="N1625" s="21"/>
      <c r="O1625" s="28"/>
      <c r="P1625" s="38"/>
      <c r="Q1625" s="21"/>
      <c r="R1625" s="21"/>
      <c r="S1625" s="47"/>
      <c r="T1625" s="25">
        <f t="shared" si="53"/>
        <v>0</v>
      </c>
      <c r="U1625" s="25" t="str">
        <f>IF('PART III-DEMOGRAPHICS'!Q1635="","",'PART III-DEMOGRAPHICS'!Q1635)</f>
        <v/>
      </c>
    </row>
    <row r="1626" spans="1:21">
      <c r="A1626" s="25" t="str">
        <f>IF('PART III-DEMOGRAPHICS'!A1636="","",'PART III-DEMOGRAPHICS'!A1636)</f>
        <v/>
      </c>
      <c r="B1626" s="28"/>
      <c r="C1626" s="27"/>
      <c r="D1626" s="28"/>
      <c r="E1626" s="21"/>
      <c r="F1626" s="36" t="str">
        <f t="shared" si="54"/>
        <v>Did Not</v>
      </c>
      <c r="G1626" s="28"/>
      <c r="H1626" s="28"/>
      <c r="I1626" s="28"/>
      <c r="J1626" s="28"/>
      <c r="K1626" s="28"/>
      <c r="L1626" s="28"/>
      <c r="M1626" s="28"/>
      <c r="N1626" s="21"/>
      <c r="O1626" s="28"/>
      <c r="P1626" s="38"/>
      <c r="Q1626" s="21"/>
      <c r="R1626" s="21"/>
      <c r="S1626" s="47"/>
      <c r="T1626" s="25">
        <f t="shared" si="53"/>
        <v>0</v>
      </c>
      <c r="U1626" s="25" t="str">
        <f>IF('PART III-DEMOGRAPHICS'!Q1636="","",'PART III-DEMOGRAPHICS'!Q1636)</f>
        <v/>
      </c>
    </row>
    <row r="1627" spans="1:21">
      <c r="A1627" s="25" t="str">
        <f>IF('PART III-DEMOGRAPHICS'!A1637="","",'PART III-DEMOGRAPHICS'!A1637)</f>
        <v/>
      </c>
      <c r="B1627" s="28"/>
      <c r="C1627" s="27"/>
      <c r="D1627" s="28"/>
      <c r="E1627" s="21"/>
      <c r="F1627" s="36" t="str">
        <f t="shared" si="54"/>
        <v>Did Not</v>
      </c>
      <c r="G1627" s="28"/>
      <c r="H1627" s="28"/>
      <c r="I1627" s="28"/>
      <c r="J1627" s="28"/>
      <c r="K1627" s="28"/>
      <c r="L1627" s="28"/>
      <c r="M1627" s="28"/>
      <c r="N1627" s="21"/>
      <c r="O1627" s="28"/>
      <c r="P1627" s="38"/>
      <c r="Q1627" s="21"/>
      <c r="R1627" s="21"/>
      <c r="S1627" s="47"/>
      <c r="T1627" s="25">
        <f t="shared" si="53"/>
        <v>0</v>
      </c>
      <c r="U1627" s="25" t="str">
        <f>IF('PART III-DEMOGRAPHICS'!Q1637="","",'PART III-DEMOGRAPHICS'!Q1637)</f>
        <v/>
      </c>
    </row>
    <row r="1628" spans="1:21">
      <c r="A1628" s="25" t="str">
        <f>IF('PART III-DEMOGRAPHICS'!A1638="","",'PART III-DEMOGRAPHICS'!A1638)</f>
        <v/>
      </c>
      <c r="B1628" s="28"/>
      <c r="C1628" s="27"/>
      <c r="D1628" s="28"/>
      <c r="E1628" s="21"/>
      <c r="F1628" s="36" t="str">
        <f t="shared" si="54"/>
        <v>Did Not</v>
      </c>
      <c r="G1628" s="28"/>
      <c r="H1628" s="28"/>
      <c r="I1628" s="28"/>
      <c r="J1628" s="28"/>
      <c r="K1628" s="28"/>
      <c r="L1628" s="28"/>
      <c r="M1628" s="28"/>
      <c r="N1628" s="21"/>
      <c r="O1628" s="28"/>
      <c r="P1628" s="38"/>
      <c r="Q1628" s="21"/>
      <c r="R1628" s="21"/>
      <c r="S1628" s="47"/>
      <c r="T1628" s="25">
        <f t="shared" si="53"/>
        <v>0</v>
      </c>
      <c r="U1628" s="25" t="str">
        <f>IF('PART III-DEMOGRAPHICS'!Q1638="","",'PART III-DEMOGRAPHICS'!Q1638)</f>
        <v/>
      </c>
    </row>
    <row r="1629" spans="1:21">
      <c r="A1629" s="25" t="str">
        <f>IF('PART III-DEMOGRAPHICS'!A1639="","",'PART III-DEMOGRAPHICS'!A1639)</f>
        <v/>
      </c>
      <c r="B1629" s="28"/>
      <c r="C1629" s="27"/>
      <c r="D1629" s="28"/>
      <c r="E1629" s="21"/>
      <c r="F1629" s="36" t="str">
        <f t="shared" si="54"/>
        <v>Did Not</v>
      </c>
      <c r="G1629" s="28"/>
      <c r="H1629" s="28"/>
      <c r="I1629" s="28"/>
      <c r="J1629" s="28"/>
      <c r="K1629" s="28"/>
      <c r="L1629" s="28"/>
      <c r="M1629" s="28"/>
      <c r="N1629" s="21"/>
      <c r="O1629" s="28"/>
      <c r="P1629" s="38"/>
      <c r="Q1629" s="21"/>
      <c r="R1629" s="21"/>
      <c r="S1629" s="47"/>
      <c r="T1629" s="25">
        <f t="shared" si="53"/>
        <v>0</v>
      </c>
      <c r="U1629" s="25" t="str">
        <f>IF('PART III-DEMOGRAPHICS'!Q1639="","",'PART III-DEMOGRAPHICS'!Q1639)</f>
        <v/>
      </c>
    </row>
    <row r="1630" spans="1:21">
      <c r="A1630" s="25" t="str">
        <f>IF('PART III-DEMOGRAPHICS'!A1640="","",'PART III-DEMOGRAPHICS'!A1640)</f>
        <v/>
      </c>
      <c r="B1630" s="28"/>
      <c r="C1630" s="27"/>
      <c r="D1630" s="28"/>
      <c r="E1630" s="21"/>
      <c r="F1630" s="36" t="str">
        <f t="shared" si="54"/>
        <v>Did Not</v>
      </c>
      <c r="G1630" s="28"/>
      <c r="H1630" s="28"/>
      <c r="I1630" s="28"/>
      <c r="J1630" s="28"/>
      <c r="K1630" s="28"/>
      <c r="L1630" s="28"/>
      <c r="M1630" s="28"/>
      <c r="N1630" s="21"/>
      <c r="O1630" s="28"/>
      <c r="P1630" s="38"/>
      <c r="Q1630" s="21"/>
      <c r="R1630" s="21"/>
      <c r="S1630" s="47"/>
      <c r="T1630" s="25">
        <f t="shared" si="53"/>
        <v>0</v>
      </c>
      <c r="U1630" s="25" t="str">
        <f>IF('PART III-DEMOGRAPHICS'!Q1640="","",'PART III-DEMOGRAPHICS'!Q1640)</f>
        <v/>
      </c>
    </row>
    <row r="1631" spans="1:21">
      <c r="A1631" s="25" t="str">
        <f>IF('PART III-DEMOGRAPHICS'!A1641="","",'PART III-DEMOGRAPHICS'!A1641)</f>
        <v/>
      </c>
      <c r="B1631" s="28"/>
      <c r="C1631" s="27"/>
      <c r="D1631" s="28"/>
      <c r="E1631" s="21"/>
      <c r="F1631" s="36" t="str">
        <f t="shared" si="54"/>
        <v>Did Not</v>
      </c>
      <c r="G1631" s="28"/>
      <c r="H1631" s="28"/>
      <c r="I1631" s="28"/>
      <c r="J1631" s="28"/>
      <c r="K1631" s="28"/>
      <c r="L1631" s="28"/>
      <c r="M1631" s="28"/>
      <c r="N1631" s="21"/>
      <c r="O1631" s="28"/>
      <c r="P1631" s="38"/>
      <c r="Q1631" s="21"/>
      <c r="R1631" s="21"/>
      <c r="S1631" s="47"/>
      <c r="T1631" s="25">
        <f t="shared" si="53"/>
        <v>0</v>
      </c>
      <c r="U1631" s="25" t="str">
        <f>IF('PART III-DEMOGRAPHICS'!Q1641="","",'PART III-DEMOGRAPHICS'!Q1641)</f>
        <v/>
      </c>
    </row>
    <row r="1632" spans="1:21">
      <c r="A1632" s="25" t="str">
        <f>IF('PART III-DEMOGRAPHICS'!A1642="","",'PART III-DEMOGRAPHICS'!A1642)</f>
        <v/>
      </c>
      <c r="B1632" s="28"/>
      <c r="C1632" s="27"/>
      <c r="D1632" s="28"/>
      <c r="E1632" s="21"/>
      <c r="F1632" s="36" t="str">
        <f t="shared" si="54"/>
        <v>Did Not</v>
      </c>
      <c r="G1632" s="28"/>
      <c r="H1632" s="28"/>
      <c r="I1632" s="28"/>
      <c r="J1632" s="28"/>
      <c r="K1632" s="28"/>
      <c r="L1632" s="28"/>
      <c r="M1632" s="28"/>
      <c r="N1632" s="21"/>
      <c r="O1632" s="28"/>
      <c r="P1632" s="38"/>
      <c r="Q1632" s="21"/>
      <c r="R1632" s="21"/>
      <c r="S1632" s="47"/>
      <c r="T1632" s="25">
        <f t="shared" si="53"/>
        <v>0</v>
      </c>
      <c r="U1632" s="25" t="str">
        <f>IF('PART III-DEMOGRAPHICS'!Q1642="","",'PART III-DEMOGRAPHICS'!Q1642)</f>
        <v/>
      </c>
    </row>
    <row r="1633" spans="1:21">
      <c r="A1633" s="25" t="str">
        <f>IF('PART III-DEMOGRAPHICS'!A1643="","",'PART III-DEMOGRAPHICS'!A1643)</f>
        <v/>
      </c>
      <c r="B1633" s="28"/>
      <c r="C1633" s="27"/>
      <c r="D1633" s="28"/>
      <c r="E1633" s="21"/>
      <c r="F1633" s="36" t="str">
        <f t="shared" si="54"/>
        <v>Did Not</v>
      </c>
      <c r="G1633" s="28"/>
      <c r="H1633" s="28"/>
      <c r="I1633" s="28"/>
      <c r="J1633" s="28"/>
      <c r="K1633" s="28"/>
      <c r="L1633" s="28"/>
      <c r="M1633" s="28"/>
      <c r="N1633" s="21"/>
      <c r="O1633" s="28"/>
      <c r="P1633" s="38"/>
      <c r="Q1633" s="21"/>
      <c r="R1633" s="21"/>
      <c r="S1633" s="47"/>
      <c r="T1633" s="25">
        <f t="shared" si="53"/>
        <v>0</v>
      </c>
      <c r="U1633" s="25" t="str">
        <f>IF('PART III-DEMOGRAPHICS'!Q1643="","",'PART III-DEMOGRAPHICS'!Q1643)</f>
        <v/>
      </c>
    </row>
    <row r="1634" spans="1:21">
      <c r="A1634" s="25" t="str">
        <f>IF('PART III-DEMOGRAPHICS'!A1644="","",'PART III-DEMOGRAPHICS'!A1644)</f>
        <v/>
      </c>
      <c r="B1634" s="28"/>
      <c r="C1634" s="27"/>
      <c r="D1634" s="28"/>
      <c r="E1634" s="21"/>
      <c r="F1634" s="36" t="str">
        <f t="shared" si="54"/>
        <v>Did Not</v>
      </c>
      <c r="G1634" s="28"/>
      <c r="H1634" s="28"/>
      <c r="I1634" s="28"/>
      <c r="J1634" s="28"/>
      <c r="K1634" s="28"/>
      <c r="L1634" s="28"/>
      <c r="M1634" s="28"/>
      <c r="N1634" s="21"/>
      <c r="O1634" s="28"/>
      <c r="P1634" s="38"/>
      <c r="Q1634" s="21"/>
      <c r="R1634" s="21"/>
      <c r="S1634" s="47"/>
      <c r="T1634" s="25">
        <f t="shared" si="53"/>
        <v>0</v>
      </c>
      <c r="U1634" s="25" t="str">
        <f>IF('PART III-DEMOGRAPHICS'!Q1644="","",'PART III-DEMOGRAPHICS'!Q1644)</f>
        <v/>
      </c>
    </row>
    <row r="1635" spans="1:21">
      <c r="A1635" s="25" t="str">
        <f>IF('PART III-DEMOGRAPHICS'!A1645="","",'PART III-DEMOGRAPHICS'!A1645)</f>
        <v/>
      </c>
      <c r="B1635" s="28"/>
      <c r="C1635" s="27"/>
      <c r="D1635" s="28"/>
      <c r="E1635" s="21"/>
      <c r="F1635" s="36" t="str">
        <f t="shared" si="54"/>
        <v>Did Not</v>
      </c>
      <c r="G1635" s="28"/>
      <c r="H1635" s="28"/>
      <c r="I1635" s="28"/>
      <c r="J1635" s="28"/>
      <c r="K1635" s="28"/>
      <c r="L1635" s="28"/>
      <c r="M1635" s="28"/>
      <c r="N1635" s="21"/>
      <c r="O1635" s="28"/>
      <c r="P1635" s="38"/>
      <c r="Q1635" s="21"/>
      <c r="R1635" s="21"/>
      <c r="S1635" s="47"/>
      <c r="T1635" s="25">
        <f t="shared" si="53"/>
        <v>0</v>
      </c>
      <c r="U1635" s="25" t="str">
        <f>IF('PART III-DEMOGRAPHICS'!Q1645="","",'PART III-DEMOGRAPHICS'!Q1645)</f>
        <v/>
      </c>
    </row>
    <row r="1636" spans="1:21">
      <c r="A1636" s="25" t="str">
        <f>IF('PART III-DEMOGRAPHICS'!A1646="","",'PART III-DEMOGRAPHICS'!A1646)</f>
        <v/>
      </c>
      <c r="B1636" s="28"/>
      <c r="C1636" s="27"/>
      <c r="D1636" s="28"/>
      <c r="E1636" s="21"/>
      <c r="F1636" s="36" t="str">
        <f t="shared" si="54"/>
        <v>Did Not</v>
      </c>
      <c r="G1636" s="28"/>
      <c r="H1636" s="28"/>
      <c r="I1636" s="28"/>
      <c r="J1636" s="28"/>
      <c r="K1636" s="28"/>
      <c r="L1636" s="28"/>
      <c r="M1636" s="28"/>
      <c r="N1636" s="21"/>
      <c r="O1636" s="28"/>
      <c r="P1636" s="38"/>
      <c r="Q1636" s="21"/>
      <c r="R1636" s="21"/>
      <c r="S1636" s="47"/>
      <c r="T1636" s="25">
        <f t="shared" si="53"/>
        <v>0</v>
      </c>
      <c r="U1636" s="25" t="str">
        <f>IF('PART III-DEMOGRAPHICS'!Q1646="","",'PART III-DEMOGRAPHICS'!Q1646)</f>
        <v/>
      </c>
    </row>
    <row r="1637" spans="1:21">
      <c r="A1637" s="25" t="str">
        <f>IF('PART III-DEMOGRAPHICS'!A1647="","",'PART III-DEMOGRAPHICS'!A1647)</f>
        <v/>
      </c>
      <c r="B1637" s="28"/>
      <c r="C1637" s="27"/>
      <c r="D1637" s="28"/>
      <c r="E1637" s="21"/>
      <c r="F1637" s="36" t="str">
        <f t="shared" si="54"/>
        <v>Did Not</v>
      </c>
      <c r="G1637" s="28"/>
      <c r="H1637" s="28"/>
      <c r="I1637" s="28"/>
      <c r="J1637" s="28"/>
      <c r="K1637" s="28"/>
      <c r="L1637" s="28"/>
      <c r="M1637" s="28"/>
      <c r="N1637" s="21"/>
      <c r="O1637" s="28"/>
      <c r="P1637" s="38"/>
      <c r="Q1637" s="21"/>
      <c r="R1637" s="21"/>
      <c r="S1637" s="47"/>
      <c r="T1637" s="25">
        <f t="shared" si="53"/>
        <v>0</v>
      </c>
      <c r="U1637" s="25" t="str">
        <f>IF('PART III-DEMOGRAPHICS'!Q1647="","",'PART III-DEMOGRAPHICS'!Q1647)</f>
        <v/>
      </c>
    </row>
    <row r="1638" spans="1:21">
      <c r="A1638" s="25" t="str">
        <f>IF('PART III-DEMOGRAPHICS'!A1648="","",'PART III-DEMOGRAPHICS'!A1648)</f>
        <v/>
      </c>
      <c r="B1638" s="28"/>
      <c r="C1638" s="27"/>
      <c r="D1638" s="28"/>
      <c r="E1638" s="21"/>
      <c r="F1638" s="36" t="str">
        <f t="shared" si="54"/>
        <v>Did Not</v>
      </c>
      <c r="G1638" s="28"/>
      <c r="H1638" s="28"/>
      <c r="I1638" s="28"/>
      <c r="J1638" s="28"/>
      <c r="K1638" s="28"/>
      <c r="L1638" s="28"/>
      <c r="M1638" s="28"/>
      <c r="N1638" s="21"/>
      <c r="O1638" s="28"/>
      <c r="P1638" s="38"/>
      <c r="Q1638" s="21"/>
      <c r="R1638" s="21"/>
      <c r="S1638" s="47"/>
      <c r="T1638" s="25">
        <f t="shared" si="53"/>
        <v>0</v>
      </c>
      <c r="U1638" s="25" t="str">
        <f>IF('PART III-DEMOGRAPHICS'!Q1648="","",'PART III-DEMOGRAPHICS'!Q1648)</f>
        <v/>
      </c>
    </row>
    <row r="1639" spans="1:21">
      <c r="A1639" s="25" t="str">
        <f>IF('PART III-DEMOGRAPHICS'!A1649="","",'PART III-DEMOGRAPHICS'!A1649)</f>
        <v/>
      </c>
      <c r="B1639" s="28"/>
      <c r="C1639" s="27"/>
      <c r="D1639" s="28"/>
      <c r="E1639" s="21"/>
      <c r="F1639" s="36" t="str">
        <f t="shared" si="54"/>
        <v>Did Not</v>
      </c>
      <c r="G1639" s="28"/>
      <c r="H1639" s="28"/>
      <c r="I1639" s="28"/>
      <c r="J1639" s="28"/>
      <c r="K1639" s="28"/>
      <c r="L1639" s="28"/>
      <c r="M1639" s="28"/>
      <c r="N1639" s="21"/>
      <c r="O1639" s="28"/>
      <c r="P1639" s="38"/>
      <c r="Q1639" s="21"/>
      <c r="R1639" s="21"/>
      <c r="S1639" s="47"/>
      <c r="T1639" s="25">
        <f t="shared" si="53"/>
        <v>0</v>
      </c>
      <c r="U1639" s="25" t="str">
        <f>IF('PART III-DEMOGRAPHICS'!Q1649="","",'PART III-DEMOGRAPHICS'!Q1649)</f>
        <v/>
      </c>
    </row>
    <row r="1640" spans="1:21">
      <c r="A1640" s="25" t="str">
        <f>IF('PART III-DEMOGRAPHICS'!A1650="","",'PART III-DEMOGRAPHICS'!A1650)</f>
        <v/>
      </c>
      <c r="B1640" s="28"/>
      <c r="C1640" s="27"/>
      <c r="D1640" s="28"/>
      <c r="E1640" s="21"/>
      <c r="F1640" s="36" t="str">
        <f t="shared" si="54"/>
        <v>Did Not</v>
      </c>
      <c r="G1640" s="28"/>
      <c r="H1640" s="28"/>
      <c r="I1640" s="28"/>
      <c r="J1640" s="28"/>
      <c r="K1640" s="28"/>
      <c r="L1640" s="28"/>
      <c r="M1640" s="28"/>
      <c r="N1640" s="21"/>
      <c r="O1640" s="28"/>
      <c r="P1640" s="38"/>
      <c r="Q1640" s="21"/>
      <c r="R1640" s="21"/>
      <c r="S1640" s="47"/>
      <c r="T1640" s="25">
        <f t="shared" si="53"/>
        <v>0</v>
      </c>
      <c r="U1640" s="25" t="str">
        <f>IF('PART III-DEMOGRAPHICS'!Q1650="","",'PART III-DEMOGRAPHICS'!Q1650)</f>
        <v/>
      </c>
    </row>
    <row r="1641" spans="1:21">
      <c r="A1641" s="25" t="str">
        <f>IF('PART III-DEMOGRAPHICS'!A1651="","",'PART III-DEMOGRAPHICS'!A1651)</f>
        <v/>
      </c>
      <c r="B1641" s="28"/>
      <c r="C1641" s="27"/>
      <c r="D1641" s="28"/>
      <c r="E1641" s="21"/>
      <c r="F1641" s="36" t="str">
        <f t="shared" si="54"/>
        <v>Did Not</v>
      </c>
      <c r="G1641" s="28"/>
      <c r="H1641" s="28"/>
      <c r="I1641" s="28"/>
      <c r="J1641" s="28"/>
      <c r="K1641" s="28"/>
      <c r="L1641" s="28"/>
      <c r="M1641" s="28"/>
      <c r="N1641" s="21"/>
      <c r="O1641" s="28"/>
      <c r="P1641" s="38"/>
      <c r="Q1641" s="21"/>
      <c r="R1641" s="21"/>
      <c r="S1641" s="47"/>
      <c r="T1641" s="25">
        <f t="shared" si="53"/>
        <v>0</v>
      </c>
      <c r="U1641" s="25" t="str">
        <f>IF('PART III-DEMOGRAPHICS'!Q1651="","",'PART III-DEMOGRAPHICS'!Q1651)</f>
        <v/>
      </c>
    </row>
    <row r="1642" spans="1:21">
      <c r="A1642" s="25" t="str">
        <f>IF('PART III-DEMOGRAPHICS'!A1652="","",'PART III-DEMOGRAPHICS'!A1652)</f>
        <v/>
      </c>
      <c r="B1642" s="28"/>
      <c r="C1642" s="27"/>
      <c r="D1642" s="28"/>
      <c r="E1642" s="21"/>
      <c r="F1642" s="36" t="str">
        <f t="shared" si="54"/>
        <v>Did Not</v>
      </c>
      <c r="G1642" s="28"/>
      <c r="H1642" s="28"/>
      <c r="I1642" s="28"/>
      <c r="J1642" s="28"/>
      <c r="K1642" s="28"/>
      <c r="L1642" s="28"/>
      <c r="M1642" s="28"/>
      <c r="N1642" s="21"/>
      <c r="O1642" s="28"/>
      <c r="P1642" s="38"/>
      <c r="Q1642" s="21"/>
      <c r="R1642" s="21"/>
      <c r="S1642" s="47"/>
      <c r="T1642" s="25">
        <f t="shared" si="53"/>
        <v>0</v>
      </c>
      <c r="U1642" s="25" t="str">
        <f>IF('PART III-DEMOGRAPHICS'!Q1652="","",'PART III-DEMOGRAPHICS'!Q1652)</f>
        <v/>
      </c>
    </row>
    <row r="1643" spans="1:21">
      <c r="A1643" s="25" t="str">
        <f>IF('PART III-DEMOGRAPHICS'!A1653="","",'PART III-DEMOGRAPHICS'!A1653)</f>
        <v/>
      </c>
      <c r="B1643" s="28"/>
      <c r="C1643" s="27"/>
      <c r="D1643" s="28"/>
      <c r="E1643" s="21"/>
      <c r="F1643" s="36" t="str">
        <f t="shared" si="54"/>
        <v>Did Not</v>
      </c>
      <c r="G1643" s="28"/>
      <c r="H1643" s="28"/>
      <c r="I1643" s="28"/>
      <c r="J1643" s="28"/>
      <c r="K1643" s="28"/>
      <c r="L1643" s="28"/>
      <c r="M1643" s="28"/>
      <c r="N1643" s="21"/>
      <c r="O1643" s="28"/>
      <c r="P1643" s="38"/>
      <c r="Q1643" s="21"/>
      <c r="R1643" s="21"/>
      <c r="S1643" s="47"/>
      <c r="T1643" s="25">
        <f t="shared" si="53"/>
        <v>0</v>
      </c>
      <c r="U1643" s="25" t="str">
        <f>IF('PART III-DEMOGRAPHICS'!Q1653="","",'PART III-DEMOGRAPHICS'!Q1653)</f>
        <v/>
      </c>
    </row>
    <row r="1644" spans="1:21">
      <c r="A1644" s="25" t="str">
        <f>IF('PART III-DEMOGRAPHICS'!A1654="","",'PART III-DEMOGRAPHICS'!A1654)</f>
        <v/>
      </c>
      <c r="B1644" s="28"/>
      <c r="C1644" s="27"/>
      <c r="D1644" s="28"/>
      <c r="E1644" s="21"/>
      <c r="F1644" s="36" t="str">
        <f t="shared" si="54"/>
        <v>Did Not</v>
      </c>
      <c r="G1644" s="28"/>
      <c r="H1644" s="28"/>
      <c r="I1644" s="28"/>
      <c r="J1644" s="28"/>
      <c r="K1644" s="28"/>
      <c r="L1644" s="28"/>
      <c r="M1644" s="28"/>
      <c r="N1644" s="21"/>
      <c r="O1644" s="28"/>
      <c r="P1644" s="38"/>
      <c r="Q1644" s="21"/>
      <c r="R1644" s="21"/>
      <c r="S1644" s="47"/>
      <c r="T1644" s="25">
        <f t="shared" si="53"/>
        <v>0</v>
      </c>
      <c r="U1644" s="25" t="str">
        <f>IF('PART III-DEMOGRAPHICS'!Q1654="","",'PART III-DEMOGRAPHICS'!Q1654)</f>
        <v/>
      </c>
    </row>
    <row r="1645" spans="1:21">
      <c r="A1645" s="25" t="str">
        <f>IF('PART III-DEMOGRAPHICS'!A1655="","",'PART III-DEMOGRAPHICS'!A1655)</f>
        <v/>
      </c>
      <c r="B1645" s="28"/>
      <c r="C1645" s="27"/>
      <c r="D1645" s="28"/>
      <c r="E1645" s="21"/>
      <c r="F1645" s="36" t="str">
        <f t="shared" si="54"/>
        <v>Did Not</v>
      </c>
      <c r="G1645" s="28"/>
      <c r="H1645" s="28"/>
      <c r="I1645" s="28"/>
      <c r="J1645" s="28"/>
      <c r="K1645" s="28"/>
      <c r="L1645" s="28"/>
      <c r="M1645" s="28"/>
      <c r="N1645" s="21"/>
      <c r="O1645" s="28"/>
      <c r="P1645" s="38"/>
      <c r="Q1645" s="21"/>
      <c r="R1645" s="21"/>
      <c r="S1645" s="47"/>
      <c r="T1645" s="25">
        <f t="shared" si="53"/>
        <v>0</v>
      </c>
      <c r="U1645" s="25" t="str">
        <f>IF('PART III-DEMOGRAPHICS'!Q1655="","",'PART III-DEMOGRAPHICS'!Q1655)</f>
        <v/>
      </c>
    </row>
    <row r="1646" spans="1:21">
      <c r="A1646" s="25" t="str">
        <f>IF('PART III-DEMOGRAPHICS'!A1656="","",'PART III-DEMOGRAPHICS'!A1656)</f>
        <v/>
      </c>
      <c r="B1646" s="28"/>
      <c r="C1646" s="27"/>
      <c r="D1646" s="28"/>
      <c r="E1646" s="21"/>
      <c r="F1646" s="36" t="str">
        <f t="shared" si="54"/>
        <v>Did Not</v>
      </c>
      <c r="G1646" s="28"/>
      <c r="H1646" s="28"/>
      <c r="I1646" s="28"/>
      <c r="J1646" s="28"/>
      <c r="K1646" s="28"/>
      <c r="L1646" s="28"/>
      <c r="M1646" s="28"/>
      <c r="N1646" s="21"/>
      <c r="O1646" s="28"/>
      <c r="P1646" s="38"/>
      <c r="Q1646" s="21"/>
      <c r="R1646" s="21"/>
      <c r="S1646" s="47"/>
      <c r="T1646" s="25">
        <f t="shared" si="53"/>
        <v>0</v>
      </c>
      <c r="U1646" s="25" t="str">
        <f>IF('PART III-DEMOGRAPHICS'!Q1656="","",'PART III-DEMOGRAPHICS'!Q1656)</f>
        <v/>
      </c>
    </row>
    <row r="1647" spans="1:21">
      <c r="A1647" s="25" t="str">
        <f>IF('PART III-DEMOGRAPHICS'!A1657="","",'PART III-DEMOGRAPHICS'!A1657)</f>
        <v/>
      </c>
      <c r="B1647" s="28"/>
      <c r="C1647" s="27"/>
      <c r="D1647" s="28"/>
      <c r="E1647" s="21"/>
      <c r="F1647" s="36" t="str">
        <f t="shared" si="54"/>
        <v>Did Not</v>
      </c>
      <c r="G1647" s="28"/>
      <c r="H1647" s="28"/>
      <c r="I1647" s="28"/>
      <c r="J1647" s="28"/>
      <c r="K1647" s="28"/>
      <c r="L1647" s="28"/>
      <c r="M1647" s="28"/>
      <c r="N1647" s="21"/>
      <c r="O1647" s="28"/>
      <c r="P1647" s="38"/>
      <c r="Q1647" s="21"/>
      <c r="R1647" s="21"/>
      <c r="S1647" s="47"/>
      <c r="T1647" s="25">
        <f t="shared" si="53"/>
        <v>0</v>
      </c>
      <c r="U1647" s="25" t="str">
        <f>IF('PART III-DEMOGRAPHICS'!Q1657="","",'PART III-DEMOGRAPHICS'!Q1657)</f>
        <v/>
      </c>
    </row>
    <row r="1648" spans="1:21">
      <c r="A1648" s="25" t="str">
        <f>IF('PART III-DEMOGRAPHICS'!A1658="","",'PART III-DEMOGRAPHICS'!A1658)</f>
        <v/>
      </c>
      <c r="B1648" s="28"/>
      <c r="C1648" s="27"/>
      <c r="D1648" s="28"/>
      <c r="E1648" s="21"/>
      <c r="F1648" s="36" t="str">
        <f t="shared" si="54"/>
        <v>Did Not</v>
      </c>
      <c r="G1648" s="28"/>
      <c r="H1648" s="28"/>
      <c r="I1648" s="28"/>
      <c r="J1648" s="28"/>
      <c r="K1648" s="28"/>
      <c r="L1648" s="28"/>
      <c r="M1648" s="28"/>
      <c r="N1648" s="21"/>
      <c r="O1648" s="28"/>
      <c r="P1648" s="38"/>
      <c r="Q1648" s="21"/>
      <c r="R1648" s="21"/>
      <c r="S1648" s="47"/>
      <c r="T1648" s="25">
        <f t="shared" si="53"/>
        <v>0</v>
      </c>
      <c r="U1648" s="25" t="str">
        <f>IF('PART III-DEMOGRAPHICS'!Q1658="","",'PART III-DEMOGRAPHICS'!Q1658)</f>
        <v/>
      </c>
    </row>
    <row r="1649" spans="1:21">
      <c r="A1649" s="25" t="str">
        <f>IF('PART III-DEMOGRAPHICS'!A1659="","",'PART III-DEMOGRAPHICS'!A1659)</f>
        <v/>
      </c>
      <c r="B1649" s="28"/>
      <c r="C1649" s="27"/>
      <c r="D1649" s="28"/>
      <c r="E1649" s="21"/>
      <c r="F1649" s="36" t="str">
        <f t="shared" si="54"/>
        <v>Did Not</v>
      </c>
      <c r="G1649" s="28"/>
      <c r="H1649" s="28"/>
      <c r="I1649" s="28"/>
      <c r="J1649" s="28"/>
      <c r="K1649" s="28"/>
      <c r="L1649" s="28"/>
      <c r="M1649" s="28"/>
      <c r="N1649" s="21"/>
      <c r="O1649" s="28"/>
      <c r="P1649" s="38"/>
      <c r="Q1649" s="21"/>
      <c r="R1649" s="21"/>
      <c r="S1649" s="47"/>
      <c r="T1649" s="25">
        <f t="shared" si="53"/>
        <v>0</v>
      </c>
      <c r="U1649" s="25" t="str">
        <f>IF('PART III-DEMOGRAPHICS'!Q1659="","",'PART III-DEMOGRAPHICS'!Q1659)</f>
        <v/>
      </c>
    </row>
    <row r="1650" spans="1:21">
      <c r="A1650" s="25" t="str">
        <f>IF('PART III-DEMOGRAPHICS'!A1660="","",'PART III-DEMOGRAPHICS'!A1660)</f>
        <v/>
      </c>
      <c r="B1650" s="28"/>
      <c r="C1650" s="27"/>
      <c r="D1650" s="28"/>
      <c r="E1650" s="21"/>
      <c r="F1650" s="36" t="str">
        <f t="shared" si="54"/>
        <v>Did Not</v>
      </c>
      <c r="G1650" s="28"/>
      <c r="H1650" s="28"/>
      <c r="I1650" s="28"/>
      <c r="J1650" s="28"/>
      <c r="K1650" s="28"/>
      <c r="L1650" s="28"/>
      <c r="M1650" s="28"/>
      <c r="N1650" s="21"/>
      <c r="O1650" s="28"/>
      <c r="P1650" s="38"/>
      <c r="Q1650" s="21"/>
      <c r="R1650" s="21"/>
      <c r="S1650" s="47"/>
      <c r="T1650" s="25">
        <f t="shared" si="53"/>
        <v>0</v>
      </c>
      <c r="U1650" s="25" t="str">
        <f>IF('PART III-DEMOGRAPHICS'!Q1660="","",'PART III-DEMOGRAPHICS'!Q1660)</f>
        <v/>
      </c>
    </row>
    <row r="1651" spans="1:21">
      <c r="A1651" s="25" t="str">
        <f>IF('PART III-DEMOGRAPHICS'!A1661="","",'PART III-DEMOGRAPHICS'!A1661)</f>
        <v/>
      </c>
      <c r="B1651" s="28"/>
      <c r="C1651" s="27"/>
      <c r="D1651" s="28"/>
      <c r="E1651" s="21"/>
      <c r="F1651" s="36" t="str">
        <f t="shared" si="54"/>
        <v>Did Not</v>
      </c>
      <c r="G1651" s="28"/>
      <c r="H1651" s="28"/>
      <c r="I1651" s="28"/>
      <c r="J1651" s="28"/>
      <c r="K1651" s="28"/>
      <c r="L1651" s="28"/>
      <c r="M1651" s="28"/>
      <c r="N1651" s="21"/>
      <c r="O1651" s="28"/>
      <c r="P1651" s="38"/>
      <c r="Q1651" s="21"/>
      <c r="R1651" s="21"/>
      <c r="S1651" s="47"/>
      <c r="T1651" s="25">
        <f t="shared" si="53"/>
        <v>0</v>
      </c>
      <c r="U1651" s="25" t="str">
        <f>IF('PART III-DEMOGRAPHICS'!Q1661="","",'PART III-DEMOGRAPHICS'!Q1661)</f>
        <v/>
      </c>
    </row>
    <row r="1652" spans="1:21">
      <c r="A1652" s="25" t="str">
        <f>IF('PART III-DEMOGRAPHICS'!A1662="","",'PART III-DEMOGRAPHICS'!A1662)</f>
        <v/>
      </c>
      <c r="B1652" s="28"/>
      <c r="C1652" s="27"/>
      <c r="D1652" s="28"/>
      <c r="E1652" s="21"/>
      <c r="F1652" s="36" t="str">
        <f t="shared" si="54"/>
        <v>Did Not</v>
      </c>
      <c r="G1652" s="28"/>
      <c r="H1652" s="28"/>
      <c r="I1652" s="28"/>
      <c r="J1652" s="28"/>
      <c r="K1652" s="28"/>
      <c r="L1652" s="28"/>
      <c r="M1652" s="28"/>
      <c r="N1652" s="21"/>
      <c r="O1652" s="28"/>
      <c r="P1652" s="38"/>
      <c r="Q1652" s="21"/>
      <c r="R1652" s="21"/>
      <c r="S1652" s="47"/>
      <c r="T1652" s="25">
        <f t="shared" si="53"/>
        <v>0</v>
      </c>
      <c r="U1652" s="25" t="str">
        <f>IF('PART III-DEMOGRAPHICS'!Q1662="","",'PART III-DEMOGRAPHICS'!Q1662)</f>
        <v/>
      </c>
    </row>
    <row r="1653" spans="1:21">
      <c r="A1653" s="25" t="str">
        <f>IF('PART III-DEMOGRAPHICS'!A1663="","",'PART III-DEMOGRAPHICS'!A1663)</f>
        <v/>
      </c>
      <c r="B1653" s="28"/>
      <c r="C1653" s="27"/>
      <c r="D1653" s="28"/>
      <c r="E1653" s="21"/>
      <c r="F1653" s="36" t="str">
        <f t="shared" si="54"/>
        <v>Did Not</v>
      </c>
      <c r="G1653" s="28"/>
      <c r="H1653" s="28"/>
      <c r="I1653" s="28"/>
      <c r="J1653" s="28"/>
      <c r="K1653" s="28"/>
      <c r="L1653" s="28"/>
      <c r="M1653" s="28"/>
      <c r="N1653" s="21"/>
      <c r="O1653" s="28"/>
      <c r="P1653" s="38"/>
      <c r="Q1653" s="21"/>
      <c r="R1653" s="21"/>
      <c r="S1653" s="47"/>
      <c r="T1653" s="25">
        <f t="shared" si="53"/>
        <v>0</v>
      </c>
      <c r="U1653" s="25" t="str">
        <f>IF('PART III-DEMOGRAPHICS'!Q1663="","",'PART III-DEMOGRAPHICS'!Q1663)</f>
        <v/>
      </c>
    </row>
    <row r="1654" spans="1:21">
      <c r="A1654" s="25" t="str">
        <f>IF('PART III-DEMOGRAPHICS'!A1664="","",'PART III-DEMOGRAPHICS'!A1664)</f>
        <v/>
      </c>
      <c r="B1654" s="28"/>
      <c r="C1654" s="27"/>
      <c r="D1654" s="28"/>
      <c r="E1654" s="21"/>
      <c r="F1654" s="36" t="str">
        <f t="shared" si="54"/>
        <v>Did Not</v>
      </c>
      <c r="G1654" s="28"/>
      <c r="H1654" s="28"/>
      <c r="I1654" s="28"/>
      <c r="J1654" s="28"/>
      <c r="K1654" s="28"/>
      <c r="L1654" s="28"/>
      <c r="M1654" s="28"/>
      <c r="N1654" s="21"/>
      <c r="O1654" s="28"/>
      <c r="P1654" s="38"/>
      <c r="Q1654" s="21"/>
      <c r="R1654" s="21"/>
      <c r="S1654" s="47"/>
      <c r="T1654" s="25">
        <f t="shared" si="53"/>
        <v>0</v>
      </c>
      <c r="U1654" s="25" t="str">
        <f>IF('PART III-DEMOGRAPHICS'!Q1664="","",'PART III-DEMOGRAPHICS'!Q1664)</f>
        <v/>
      </c>
    </row>
    <row r="1655" spans="1:21">
      <c r="A1655" s="25" t="str">
        <f>IF('PART III-DEMOGRAPHICS'!A1665="","",'PART III-DEMOGRAPHICS'!A1665)</f>
        <v/>
      </c>
      <c r="B1655" s="28"/>
      <c r="C1655" s="27"/>
      <c r="D1655" s="28"/>
      <c r="E1655" s="21"/>
      <c r="F1655" s="36" t="str">
        <f t="shared" si="54"/>
        <v>Did Not</v>
      </c>
      <c r="G1655" s="28"/>
      <c r="H1655" s="28"/>
      <c r="I1655" s="28"/>
      <c r="J1655" s="28"/>
      <c r="K1655" s="28"/>
      <c r="L1655" s="28"/>
      <c r="M1655" s="28"/>
      <c r="N1655" s="21"/>
      <c r="O1655" s="28"/>
      <c r="P1655" s="38"/>
      <c r="Q1655" s="21"/>
      <c r="R1655" s="21"/>
      <c r="S1655" s="47"/>
      <c r="T1655" s="25">
        <f t="shared" si="53"/>
        <v>0</v>
      </c>
      <c r="U1655" s="25" t="str">
        <f>IF('PART III-DEMOGRAPHICS'!Q1665="","",'PART III-DEMOGRAPHICS'!Q1665)</f>
        <v/>
      </c>
    </row>
    <row r="1656" spans="1:21">
      <c r="A1656" s="25" t="str">
        <f>IF('PART III-DEMOGRAPHICS'!A1666="","",'PART III-DEMOGRAPHICS'!A1666)</f>
        <v/>
      </c>
      <c r="B1656" s="28"/>
      <c r="C1656" s="27"/>
      <c r="D1656" s="28"/>
      <c r="E1656" s="21"/>
      <c r="F1656" s="36" t="str">
        <f t="shared" si="54"/>
        <v>Did Not</v>
      </c>
      <c r="G1656" s="28"/>
      <c r="H1656" s="28"/>
      <c r="I1656" s="28"/>
      <c r="J1656" s="28"/>
      <c r="K1656" s="28"/>
      <c r="L1656" s="28"/>
      <c r="M1656" s="28"/>
      <c r="N1656" s="21"/>
      <c r="O1656" s="28"/>
      <c r="P1656" s="38"/>
      <c r="Q1656" s="21"/>
      <c r="R1656" s="21"/>
      <c r="S1656" s="47"/>
      <c r="T1656" s="25">
        <f t="shared" si="53"/>
        <v>0</v>
      </c>
      <c r="U1656" s="25" t="str">
        <f>IF('PART III-DEMOGRAPHICS'!Q1666="","",'PART III-DEMOGRAPHICS'!Q1666)</f>
        <v/>
      </c>
    </row>
    <row r="1657" spans="1:21">
      <c r="A1657" s="25" t="str">
        <f>IF('PART III-DEMOGRAPHICS'!A1667="","",'PART III-DEMOGRAPHICS'!A1667)</f>
        <v/>
      </c>
      <c r="B1657" s="28"/>
      <c r="C1657" s="27"/>
      <c r="D1657" s="28"/>
      <c r="E1657" s="21"/>
      <c r="F1657" s="36" t="str">
        <f t="shared" si="54"/>
        <v>Did Not</v>
      </c>
      <c r="G1657" s="28"/>
      <c r="H1657" s="28"/>
      <c r="I1657" s="28"/>
      <c r="J1657" s="28"/>
      <c r="K1657" s="28"/>
      <c r="L1657" s="28"/>
      <c r="M1657" s="28"/>
      <c r="N1657" s="21"/>
      <c r="O1657" s="28"/>
      <c r="P1657" s="38"/>
      <c r="Q1657" s="21"/>
      <c r="R1657" s="21"/>
      <c r="S1657" s="47"/>
      <c r="T1657" s="25">
        <f t="shared" si="53"/>
        <v>0</v>
      </c>
      <c r="U1657" s="25" t="str">
        <f>IF('PART III-DEMOGRAPHICS'!Q1667="","",'PART III-DEMOGRAPHICS'!Q1667)</f>
        <v/>
      </c>
    </row>
    <row r="1658" spans="1:21">
      <c r="A1658" s="25" t="str">
        <f>IF('PART III-DEMOGRAPHICS'!A1668="","",'PART III-DEMOGRAPHICS'!A1668)</f>
        <v/>
      </c>
      <c r="B1658" s="28"/>
      <c r="C1658" s="27"/>
      <c r="D1658" s="28"/>
      <c r="E1658" s="21"/>
      <c r="F1658" s="36" t="str">
        <f t="shared" si="54"/>
        <v>Did Not</v>
      </c>
      <c r="G1658" s="28"/>
      <c r="H1658" s="28"/>
      <c r="I1658" s="28"/>
      <c r="J1658" s="28"/>
      <c r="K1658" s="28"/>
      <c r="L1658" s="28"/>
      <c r="M1658" s="28"/>
      <c r="N1658" s="21"/>
      <c r="O1658" s="28"/>
      <c r="P1658" s="38"/>
      <c r="Q1658" s="21"/>
      <c r="R1658" s="21"/>
      <c r="S1658" s="47"/>
      <c r="T1658" s="25">
        <f t="shared" si="53"/>
        <v>0</v>
      </c>
      <c r="U1658" s="25" t="str">
        <f>IF('PART III-DEMOGRAPHICS'!Q1668="","",'PART III-DEMOGRAPHICS'!Q1668)</f>
        <v/>
      </c>
    </row>
    <row r="1659" spans="1:21">
      <c r="A1659" s="25" t="str">
        <f>IF('PART III-DEMOGRAPHICS'!A1669="","",'PART III-DEMOGRAPHICS'!A1669)</f>
        <v/>
      </c>
      <c r="B1659" s="28"/>
      <c r="C1659" s="27"/>
      <c r="D1659" s="28"/>
      <c r="E1659" s="21"/>
      <c r="F1659" s="36" t="str">
        <f t="shared" si="54"/>
        <v>Did Not</v>
      </c>
      <c r="G1659" s="28"/>
      <c r="H1659" s="28"/>
      <c r="I1659" s="28"/>
      <c r="J1659" s="28"/>
      <c r="K1659" s="28"/>
      <c r="L1659" s="28"/>
      <c r="M1659" s="28"/>
      <c r="N1659" s="21"/>
      <c r="O1659" s="28"/>
      <c r="P1659" s="38"/>
      <c r="Q1659" s="21"/>
      <c r="R1659" s="21"/>
      <c r="S1659" s="47"/>
      <c r="T1659" s="25">
        <f t="shared" si="53"/>
        <v>0</v>
      </c>
      <c r="U1659" s="25" t="str">
        <f>IF('PART III-DEMOGRAPHICS'!Q1669="","",'PART III-DEMOGRAPHICS'!Q1669)</f>
        <v/>
      </c>
    </row>
    <row r="1660" spans="1:21">
      <c r="A1660" s="25" t="str">
        <f>IF('PART III-DEMOGRAPHICS'!A1670="","",'PART III-DEMOGRAPHICS'!A1670)</f>
        <v/>
      </c>
      <c r="B1660" s="28"/>
      <c r="C1660" s="27"/>
      <c r="D1660" s="28"/>
      <c r="E1660" s="21"/>
      <c r="F1660" s="36" t="str">
        <f t="shared" si="54"/>
        <v>Did Not</v>
      </c>
      <c r="G1660" s="28"/>
      <c r="H1660" s="28"/>
      <c r="I1660" s="28"/>
      <c r="J1660" s="28"/>
      <c r="K1660" s="28"/>
      <c r="L1660" s="28"/>
      <c r="M1660" s="28"/>
      <c r="N1660" s="21"/>
      <c r="O1660" s="28"/>
      <c r="P1660" s="38"/>
      <c r="Q1660" s="21"/>
      <c r="R1660" s="21"/>
      <c r="S1660" s="47"/>
      <c r="T1660" s="25">
        <f t="shared" si="53"/>
        <v>0</v>
      </c>
      <c r="U1660" s="25" t="str">
        <f>IF('PART III-DEMOGRAPHICS'!Q1670="","",'PART III-DEMOGRAPHICS'!Q1670)</f>
        <v/>
      </c>
    </row>
    <row r="1661" spans="1:21">
      <c r="A1661" s="25" t="str">
        <f>IF('PART III-DEMOGRAPHICS'!A1671="","",'PART III-DEMOGRAPHICS'!A1671)</f>
        <v/>
      </c>
      <c r="B1661" s="28"/>
      <c r="C1661" s="27"/>
      <c r="D1661" s="28"/>
      <c r="E1661" s="21"/>
      <c r="F1661" s="36" t="str">
        <f t="shared" si="54"/>
        <v>Did Not</v>
      </c>
      <c r="G1661" s="28"/>
      <c r="H1661" s="28"/>
      <c r="I1661" s="28"/>
      <c r="J1661" s="28"/>
      <c r="K1661" s="28"/>
      <c r="L1661" s="28"/>
      <c r="M1661" s="28"/>
      <c r="N1661" s="21"/>
      <c r="O1661" s="28"/>
      <c r="P1661" s="38"/>
      <c r="Q1661" s="21"/>
      <c r="R1661" s="21"/>
      <c r="S1661" s="47"/>
      <c r="T1661" s="25">
        <f t="shared" si="53"/>
        <v>0</v>
      </c>
      <c r="U1661" s="25" t="str">
        <f>IF('PART III-DEMOGRAPHICS'!Q1671="","",'PART III-DEMOGRAPHICS'!Q1671)</f>
        <v/>
      </c>
    </row>
    <row r="1662" spans="1:21">
      <c r="A1662" s="25" t="str">
        <f>IF('PART III-DEMOGRAPHICS'!A1672="","",'PART III-DEMOGRAPHICS'!A1672)</f>
        <v/>
      </c>
      <c r="B1662" s="28"/>
      <c r="C1662" s="27"/>
      <c r="D1662" s="28"/>
      <c r="E1662" s="21"/>
      <c r="F1662" s="36" t="str">
        <f t="shared" si="54"/>
        <v>Did Not</v>
      </c>
      <c r="G1662" s="28"/>
      <c r="H1662" s="28"/>
      <c r="I1662" s="28"/>
      <c r="J1662" s="28"/>
      <c r="K1662" s="28"/>
      <c r="L1662" s="28"/>
      <c r="M1662" s="28"/>
      <c r="N1662" s="21"/>
      <c r="O1662" s="28"/>
      <c r="P1662" s="38"/>
      <c r="Q1662" s="21"/>
      <c r="R1662" s="21"/>
      <c r="S1662" s="47"/>
      <c r="T1662" s="25">
        <f t="shared" si="53"/>
        <v>0</v>
      </c>
      <c r="U1662" s="25" t="str">
        <f>IF('PART III-DEMOGRAPHICS'!Q1672="","",'PART III-DEMOGRAPHICS'!Q1672)</f>
        <v/>
      </c>
    </row>
    <row r="1663" spans="1:21">
      <c r="A1663" s="25" t="str">
        <f>IF('PART III-DEMOGRAPHICS'!A1673="","",'PART III-DEMOGRAPHICS'!A1673)</f>
        <v/>
      </c>
      <c r="B1663" s="28"/>
      <c r="C1663" s="27"/>
      <c r="D1663" s="28"/>
      <c r="E1663" s="21"/>
      <c r="F1663" s="36" t="str">
        <f t="shared" si="54"/>
        <v>Did Not</v>
      </c>
      <c r="G1663" s="28"/>
      <c r="H1663" s="28"/>
      <c r="I1663" s="28"/>
      <c r="J1663" s="28"/>
      <c r="K1663" s="28"/>
      <c r="L1663" s="28"/>
      <c r="M1663" s="28"/>
      <c r="N1663" s="21"/>
      <c r="O1663" s="28"/>
      <c r="P1663" s="38"/>
      <c r="Q1663" s="21"/>
      <c r="R1663" s="21"/>
      <c r="S1663" s="47"/>
      <c r="T1663" s="25">
        <f t="shared" si="53"/>
        <v>0</v>
      </c>
      <c r="U1663" s="25" t="str">
        <f>IF('PART III-DEMOGRAPHICS'!Q1673="","",'PART III-DEMOGRAPHICS'!Q1673)</f>
        <v/>
      </c>
    </row>
    <row r="1664" spans="1:21">
      <c r="A1664" s="25" t="str">
        <f>IF('PART III-DEMOGRAPHICS'!A1674="","",'PART III-DEMOGRAPHICS'!A1674)</f>
        <v/>
      </c>
      <c r="B1664" s="28"/>
      <c r="C1664" s="27"/>
      <c r="D1664" s="28"/>
      <c r="E1664" s="21"/>
      <c r="F1664" s="36" t="str">
        <f t="shared" si="54"/>
        <v>Did Not</v>
      </c>
      <c r="G1664" s="28"/>
      <c r="H1664" s="28"/>
      <c r="I1664" s="28"/>
      <c r="J1664" s="28"/>
      <c r="K1664" s="28"/>
      <c r="L1664" s="28"/>
      <c r="M1664" s="28"/>
      <c r="N1664" s="21"/>
      <c r="O1664" s="28"/>
      <c r="P1664" s="38"/>
      <c r="Q1664" s="21"/>
      <c r="R1664" s="21"/>
      <c r="S1664" s="47"/>
      <c r="T1664" s="25">
        <f t="shared" si="53"/>
        <v>0</v>
      </c>
      <c r="U1664" s="25" t="str">
        <f>IF('PART III-DEMOGRAPHICS'!Q1674="","",'PART III-DEMOGRAPHICS'!Q1674)</f>
        <v/>
      </c>
    </row>
    <row r="1665" spans="1:21">
      <c r="A1665" s="25" t="str">
        <f>IF('PART III-DEMOGRAPHICS'!A1675="","",'PART III-DEMOGRAPHICS'!A1675)</f>
        <v/>
      </c>
      <c r="B1665" s="28"/>
      <c r="C1665" s="27"/>
      <c r="D1665" s="28"/>
      <c r="E1665" s="21"/>
      <c r="F1665" s="36" t="str">
        <f t="shared" si="54"/>
        <v>Did Not</v>
      </c>
      <c r="G1665" s="28"/>
      <c r="H1665" s="28"/>
      <c r="I1665" s="28"/>
      <c r="J1665" s="28"/>
      <c r="K1665" s="28"/>
      <c r="L1665" s="28"/>
      <c r="M1665" s="28"/>
      <c r="N1665" s="21"/>
      <c r="O1665" s="28"/>
      <c r="P1665" s="38"/>
      <c r="Q1665" s="21"/>
      <c r="R1665" s="21"/>
      <c r="S1665" s="47"/>
      <c r="T1665" s="25">
        <f t="shared" si="53"/>
        <v>0</v>
      </c>
      <c r="U1665" s="25" t="str">
        <f>IF('PART III-DEMOGRAPHICS'!Q1675="","",'PART III-DEMOGRAPHICS'!Q1675)</f>
        <v/>
      </c>
    </row>
    <row r="1666" spans="1:21">
      <c r="A1666" s="25" t="str">
        <f>IF('PART III-DEMOGRAPHICS'!A1676="","",'PART III-DEMOGRAPHICS'!A1676)</f>
        <v/>
      </c>
      <c r="B1666" s="28"/>
      <c r="C1666" s="27"/>
      <c r="D1666" s="28"/>
      <c r="E1666" s="21"/>
      <c r="F1666" s="36" t="str">
        <f t="shared" si="54"/>
        <v>Did Not</v>
      </c>
      <c r="G1666" s="28"/>
      <c r="H1666" s="28"/>
      <c r="I1666" s="28"/>
      <c r="J1666" s="28"/>
      <c r="K1666" s="28"/>
      <c r="L1666" s="28"/>
      <c r="M1666" s="28"/>
      <c r="N1666" s="21"/>
      <c r="O1666" s="28"/>
      <c r="P1666" s="38"/>
      <c r="Q1666" s="21"/>
      <c r="R1666" s="21"/>
      <c r="S1666" s="47"/>
      <c r="T1666" s="25">
        <f t="shared" si="53"/>
        <v>0</v>
      </c>
      <c r="U1666" s="25" t="str">
        <f>IF('PART III-DEMOGRAPHICS'!Q1676="","",'PART III-DEMOGRAPHICS'!Q1676)</f>
        <v/>
      </c>
    </row>
    <row r="1667" spans="1:21">
      <c r="A1667" s="25" t="str">
        <f>IF('PART III-DEMOGRAPHICS'!A1677="","",'PART III-DEMOGRAPHICS'!A1677)</f>
        <v/>
      </c>
      <c r="B1667" s="28"/>
      <c r="C1667" s="27"/>
      <c r="D1667" s="28"/>
      <c r="E1667" s="21"/>
      <c r="F1667" s="36" t="str">
        <f t="shared" si="54"/>
        <v>Did Not</v>
      </c>
      <c r="G1667" s="28"/>
      <c r="H1667" s="28"/>
      <c r="I1667" s="28"/>
      <c r="J1667" s="28"/>
      <c r="K1667" s="28"/>
      <c r="L1667" s="28"/>
      <c r="M1667" s="28"/>
      <c r="N1667" s="21"/>
      <c r="O1667" s="28"/>
      <c r="P1667" s="38"/>
      <c r="Q1667" s="21"/>
      <c r="R1667" s="21"/>
      <c r="S1667" s="47"/>
      <c r="T1667" s="25">
        <f t="shared" si="53"/>
        <v>0</v>
      </c>
      <c r="U1667" s="25" t="str">
        <f>IF('PART III-DEMOGRAPHICS'!Q1677="","",'PART III-DEMOGRAPHICS'!Q1677)</f>
        <v/>
      </c>
    </row>
    <row r="1668" spans="1:21">
      <c r="A1668" s="25" t="str">
        <f>IF('PART III-DEMOGRAPHICS'!A1678="","",'PART III-DEMOGRAPHICS'!A1678)</f>
        <v/>
      </c>
      <c r="B1668" s="28"/>
      <c r="C1668" s="27"/>
      <c r="D1668" s="28"/>
      <c r="E1668" s="21"/>
      <c r="F1668" s="36" t="str">
        <f t="shared" si="54"/>
        <v>Did Not</v>
      </c>
      <c r="G1668" s="28"/>
      <c r="H1668" s="28"/>
      <c r="I1668" s="28"/>
      <c r="J1668" s="28"/>
      <c r="K1668" s="28"/>
      <c r="L1668" s="28"/>
      <c r="M1668" s="28"/>
      <c r="N1668" s="21"/>
      <c r="O1668" s="28"/>
      <c r="P1668" s="38"/>
      <c r="Q1668" s="21"/>
      <c r="R1668" s="21"/>
      <c r="S1668" s="47"/>
      <c r="T1668" s="25">
        <f t="shared" si="53"/>
        <v>0</v>
      </c>
      <c r="U1668" s="25" t="str">
        <f>IF('PART III-DEMOGRAPHICS'!Q1678="","",'PART III-DEMOGRAPHICS'!Q1678)</f>
        <v/>
      </c>
    </row>
    <row r="1669" spans="1:21">
      <c r="A1669" s="25" t="str">
        <f>IF('PART III-DEMOGRAPHICS'!A1679="","",'PART III-DEMOGRAPHICS'!A1679)</f>
        <v/>
      </c>
      <c r="B1669" s="28"/>
      <c r="C1669" s="27"/>
      <c r="D1669" s="28"/>
      <c r="E1669" s="21"/>
      <c r="F1669" s="36" t="str">
        <f t="shared" si="54"/>
        <v>Did Not</v>
      </c>
      <c r="G1669" s="28"/>
      <c r="H1669" s="28"/>
      <c r="I1669" s="28"/>
      <c r="J1669" s="28"/>
      <c r="K1669" s="28"/>
      <c r="L1669" s="28"/>
      <c r="M1669" s="28"/>
      <c r="N1669" s="21"/>
      <c r="O1669" s="28"/>
      <c r="P1669" s="38"/>
      <c r="Q1669" s="21"/>
      <c r="R1669" s="21"/>
      <c r="S1669" s="47"/>
      <c r="T1669" s="25">
        <f t="shared" si="53"/>
        <v>0</v>
      </c>
      <c r="U1669" s="25" t="str">
        <f>IF('PART III-DEMOGRAPHICS'!Q1679="","",'PART III-DEMOGRAPHICS'!Q1679)</f>
        <v/>
      </c>
    </row>
    <row r="1670" spans="1:21">
      <c r="A1670" s="25" t="str">
        <f>IF('PART III-DEMOGRAPHICS'!A1680="","",'PART III-DEMOGRAPHICS'!A1680)</f>
        <v/>
      </c>
      <c r="B1670" s="28"/>
      <c r="C1670" s="27"/>
      <c r="D1670" s="28"/>
      <c r="E1670" s="21"/>
      <c r="F1670" s="36" t="str">
        <f t="shared" si="54"/>
        <v>Did Not</v>
      </c>
      <c r="G1670" s="28"/>
      <c r="H1670" s="28"/>
      <c r="I1670" s="28"/>
      <c r="J1670" s="28"/>
      <c r="K1670" s="28"/>
      <c r="L1670" s="28"/>
      <c r="M1670" s="28"/>
      <c r="N1670" s="21"/>
      <c r="O1670" s="28"/>
      <c r="P1670" s="38"/>
      <c r="Q1670" s="21"/>
      <c r="R1670" s="21"/>
      <c r="S1670" s="47"/>
      <c r="T1670" s="25">
        <f t="shared" si="53"/>
        <v>0</v>
      </c>
      <c r="U1670" s="25" t="str">
        <f>IF('PART III-DEMOGRAPHICS'!Q1680="","",'PART III-DEMOGRAPHICS'!Q1680)</f>
        <v/>
      </c>
    </row>
    <row r="1671" spans="1:21">
      <c r="A1671" s="25" t="str">
        <f>IF('PART III-DEMOGRAPHICS'!A1681="","",'PART III-DEMOGRAPHICS'!A1681)</f>
        <v/>
      </c>
      <c r="B1671" s="28"/>
      <c r="C1671" s="27"/>
      <c r="D1671" s="28"/>
      <c r="E1671" s="21"/>
      <c r="F1671" s="36" t="str">
        <f t="shared" si="54"/>
        <v>Did Not</v>
      </c>
      <c r="G1671" s="28"/>
      <c r="H1671" s="28"/>
      <c r="I1671" s="28"/>
      <c r="J1671" s="28"/>
      <c r="K1671" s="28"/>
      <c r="L1671" s="28"/>
      <c r="M1671" s="28"/>
      <c r="N1671" s="21"/>
      <c r="O1671" s="28"/>
      <c r="P1671" s="38"/>
      <c r="Q1671" s="21"/>
      <c r="R1671" s="21"/>
      <c r="S1671" s="47"/>
      <c r="T1671" s="25">
        <f t="shared" ref="T1671:T1734" si="55">COUNTIF(A1671:R1671,"Yes")</f>
        <v>0</v>
      </c>
      <c r="U1671" s="25" t="str">
        <f>IF('PART III-DEMOGRAPHICS'!Q1681="","",'PART III-DEMOGRAPHICS'!Q1681)</f>
        <v/>
      </c>
    </row>
    <row r="1672" spans="1:21">
      <c r="A1672" s="25" t="str">
        <f>IF('PART III-DEMOGRAPHICS'!A1682="","",'PART III-DEMOGRAPHICS'!A1682)</f>
        <v/>
      </c>
      <c r="B1672" s="28"/>
      <c r="C1672" s="27"/>
      <c r="D1672" s="28"/>
      <c r="E1672" s="21"/>
      <c r="F1672" s="36" t="str">
        <f t="shared" si="54"/>
        <v>Did Not</v>
      </c>
      <c r="G1672" s="28"/>
      <c r="H1672" s="28"/>
      <c r="I1672" s="28"/>
      <c r="J1672" s="28"/>
      <c r="K1672" s="28"/>
      <c r="L1672" s="28"/>
      <c r="M1672" s="28"/>
      <c r="N1672" s="21"/>
      <c r="O1672" s="28"/>
      <c r="P1672" s="38"/>
      <c r="Q1672" s="21"/>
      <c r="R1672" s="21"/>
      <c r="S1672" s="47"/>
      <c r="T1672" s="25">
        <f t="shared" si="55"/>
        <v>0</v>
      </c>
      <c r="U1672" s="25" t="str">
        <f>IF('PART III-DEMOGRAPHICS'!Q1682="","",'PART III-DEMOGRAPHICS'!Q1682)</f>
        <v/>
      </c>
    </row>
    <row r="1673" spans="1:21">
      <c r="A1673" s="25" t="str">
        <f>IF('PART III-DEMOGRAPHICS'!A1683="","",'PART III-DEMOGRAPHICS'!A1683)</f>
        <v/>
      </c>
      <c r="B1673" s="28"/>
      <c r="C1673" s="27"/>
      <c r="D1673" s="28"/>
      <c r="E1673" s="21"/>
      <c r="F1673" s="36" t="str">
        <f t="shared" si="54"/>
        <v>Did Not</v>
      </c>
      <c r="G1673" s="28"/>
      <c r="H1673" s="28"/>
      <c r="I1673" s="28"/>
      <c r="J1673" s="28"/>
      <c r="K1673" s="28"/>
      <c r="L1673" s="28"/>
      <c r="M1673" s="28"/>
      <c r="N1673" s="21"/>
      <c r="O1673" s="28"/>
      <c r="P1673" s="38"/>
      <c r="Q1673" s="21"/>
      <c r="R1673" s="21"/>
      <c r="S1673" s="47"/>
      <c r="T1673" s="25">
        <f t="shared" si="55"/>
        <v>0</v>
      </c>
      <c r="U1673" s="25" t="str">
        <f>IF('PART III-DEMOGRAPHICS'!Q1683="","",'PART III-DEMOGRAPHICS'!Q1683)</f>
        <v/>
      </c>
    </row>
    <row r="1674" spans="1:21">
      <c r="A1674" s="25" t="str">
        <f>IF('PART III-DEMOGRAPHICS'!A1684="","",'PART III-DEMOGRAPHICS'!A1684)</f>
        <v/>
      </c>
      <c r="B1674" s="28"/>
      <c r="C1674" s="27"/>
      <c r="D1674" s="28"/>
      <c r="E1674" s="21"/>
      <c r="F1674" s="36" t="str">
        <f t="shared" si="54"/>
        <v>Did Not</v>
      </c>
      <c r="G1674" s="28"/>
      <c r="H1674" s="28"/>
      <c r="I1674" s="28"/>
      <c r="J1674" s="28"/>
      <c r="K1674" s="28"/>
      <c r="L1674" s="28"/>
      <c r="M1674" s="28"/>
      <c r="N1674" s="21"/>
      <c r="O1674" s="28"/>
      <c r="P1674" s="38"/>
      <c r="Q1674" s="21"/>
      <c r="R1674" s="21"/>
      <c r="S1674" s="47"/>
      <c r="T1674" s="25">
        <f t="shared" si="55"/>
        <v>0</v>
      </c>
      <c r="U1674" s="25" t="str">
        <f>IF('PART III-DEMOGRAPHICS'!Q1684="","",'PART III-DEMOGRAPHICS'!Q1684)</f>
        <v/>
      </c>
    </row>
    <row r="1675" spans="1:21">
      <c r="A1675" s="25" t="str">
        <f>IF('PART III-DEMOGRAPHICS'!A1685="","",'PART III-DEMOGRAPHICS'!A1685)</f>
        <v/>
      </c>
      <c r="B1675" s="28"/>
      <c r="C1675" s="27"/>
      <c r="D1675" s="28"/>
      <c r="E1675" s="21"/>
      <c r="F1675" s="36" t="str">
        <f t="shared" si="54"/>
        <v>Did Not</v>
      </c>
      <c r="G1675" s="28"/>
      <c r="H1675" s="28"/>
      <c r="I1675" s="28"/>
      <c r="J1675" s="28"/>
      <c r="K1675" s="28"/>
      <c r="L1675" s="28"/>
      <c r="M1675" s="28"/>
      <c r="N1675" s="21"/>
      <c r="O1675" s="28"/>
      <c r="P1675" s="38"/>
      <c r="Q1675" s="21"/>
      <c r="R1675" s="21"/>
      <c r="S1675" s="47"/>
      <c r="T1675" s="25">
        <f t="shared" si="55"/>
        <v>0</v>
      </c>
      <c r="U1675" s="25" t="str">
        <f>IF('PART III-DEMOGRAPHICS'!Q1685="","",'PART III-DEMOGRAPHICS'!Q1685)</f>
        <v/>
      </c>
    </row>
    <row r="1676" spans="1:21">
      <c r="A1676" s="25" t="str">
        <f>IF('PART III-DEMOGRAPHICS'!A1686="","",'PART III-DEMOGRAPHICS'!A1686)</f>
        <v/>
      </c>
      <c r="B1676" s="28"/>
      <c r="C1676" s="27"/>
      <c r="D1676" s="28"/>
      <c r="E1676" s="21"/>
      <c r="F1676" s="36" t="str">
        <f t="shared" si="54"/>
        <v>Did Not</v>
      </c>
      <c r="G1676" s="28"/>
      <c r="H1676" s="28"/>
      <c r="I1676" s="28"/>
      <c r="J1676" s="28"/>
      <c r="K1676" s="28"/>
      <c r="L1676" s="28"/>
      <c r="M1676" s="28"/>
      <c r="N1676" s="21"/>
      <c r="O1676" s="28"/>
      <c r="P1676" s="38"/>
      <c r="Q1676" s="21"/>
      <c r="R1676" s="21"/>
      <c r="S1676" s="47"/>
      <c r="T1676" s="25">
        <f t="shared" si="55"/>
        <v>0</v>
      </c>
      <c r="U1676" s="25" t="str">
        <f>IF('PART III-DEMOGRAPHICS'!Q1686="","",'PART III-DEMOGRAPHICS'!Q1686)</f>
        <v/>
      </c>
    </row>
    <row r="1677" spans="1:21">
      <c r="A1677" s="25" t="str">
        <f>IF('PART III-DEMOGRAPHICS'!A1687="","",'PART III-DEMOGRAPHICS'!A1687)</f>
        <v/>
      </c>
      <c r="B1677" s="28"/>
      <c r="C1677" s="27"/>
      <c r="D1677" s="28"/>
      <c r="E1677" s="21"/>
      <c r="F1677" s="36" t="str">
        <f t="shared" si="54"/>
        <v>Did Not</v>
      </c>
      <c r="G1677" s="28"/>
      <c r="H1677" s="28"/>
      <c r="I1677" s="28"/>
      <c r="J1677" s="28"/>
      <c r="K1677" s="28"/>
      <c r="L1677" s="28"/>
      <c r="M1677" s="28"/>
      <c r="N1677" s="21"/>
      <c r="O1677" s="28"/>
      <c r="P1677" s="38"/>
      <c r="Q1677" s="21"/>
      <c r="R1677" s="21"/>
      <c r="S1677" s="47"/>
      <c r="T1677" s="25">
        <f t="shared" si="55"/>
        <v>0</v>
      </c>
      <c r="U1677" s="25" t="str">
        <f>IF('PART III-DEMOGRAPHICS'!Q1687="","",'PART III-DEMOGRAPHICS'!Q1687)</f>
        <v/>
      </c>
    </row>
    <row r="1678" spans="1:21">
      <c r="A1678" s="25" t="str">
        <f>IF('PART III-DEMOGRAPHICS'!A1688="","",'PART III-DEMOGRAPHICS'!A1688)</f>
        <v/>
      </c>
      <c r="B1678" s="28"/>
      <c r="C1678" s="27"/>
      <c r="D1678" s="28"/>
      <c r="E1678" s="21"/>
      <c r="F1678" s="36" t="str">
        <f t="shared" ref="F1678:F1741" si="56">IF(OR(G1678="Yes",H1678="Yes",I1678="Yes",J1678="Yes",K1678="Yes",L1678="Yes",M1678="Yes"),"Did","Did Not")</f>
        <v>Did Not</v>
      </c>
      <c r="G1678" s="28"/>
      <c r="H1678" s="28"/>
      <c r="I1678" s="28"/>
      <c r="J1678" s="28"/>
      <c r="K1678" s="28"/>
      <c r="L1678" s="28"/>
      <c r="M1678" s="28"/>
      <c r="N1678" s="21"/>
      <c r="O1678" s="28"/>
      <c r="P1678" s="38"/>
      <c r="Q1678" s="21"/>
      <c r="R1678" s="21"/>
      <c r="S1678" s="47"/>
      <c r="T1678" s="25">
        <f t="shared" si="55"/>
        <v>0</v>
      </c>
      <c r="U1678" s="25" t="str">
        <f>IF('PART III-DEMOGRAPHICS'!Q1688="","",'PART III-DEMOGRAPHICS'!Q1688)</f>
        <v/>
      </c>
    </row>
    <row r="1679" spans="1:21">
      <c r="A1679" s="25" t="str">
        <f>IF('PART III-DEMOGRAPHICS'!A1689="","",'PART III-DEMOGRAPHICS'!A1689)</f>
        <v/>
      </c>
      <c r="B1679" s="28"/>
      <c r="C1679" s="27"/>
      <c r="D1679" s="28"/>
      <c r="E1679" s="21"/>
      <c r="F1679" s="36" t="str">
        <f t="shared" si="56"/>
        <v>Did Not</v>
      </c>
      <c r="G1679" s="28"/>
      <c r="H1679" s="28"/>
      <c r="I1679" s="28"/>
      <c r="J1679" s="28"/>
      <c r="K1679" s="28"/>
      <c r="L1679" s="28"/>
      <c r="M1679" s="28"/>
      <c r="N1679" s="21"/>
      <c r="O1679" s="28"/>
      <c r="P1679" s="38"/>
      <c r="Q1679" s="21"/>
      <c r="R1679" s="21"/>
      <c r="S1679" s="47"/>
      <c r="T1679" s="25">
        <f t="shared" si="55"/>
        <v>0</v>
      </c>
      <c r="U1679" s="25" t="str">
        <f>IF('PART III-DEMOGRAPHICS'!Q1689="","",'PART III-DEMOGRAPHICS'!Q1689)</f>
        <v/>
      </c>
    </row>
    <row r="1680" spans="1:21">
      <c r="A1680" s="25" t="str">
        <f>IF('PART III-DEMOGRAPHICS'!A1690="","",'PART III-DEMOGRAPHICS'!A1690)</f>
        <v/>
      </c>
      <c r="B1680" s="28"/>
      <c r="C1680" s="27"/>
      <c r="D1680" s="28"/>
      <c r="E1680" s="21"/>
      <c r="F1680" s="36" t="str">
        <f t="shared" si="56"/>
        <v>Did Not</v>
      </c>
      <c r="G1680" s="28"/>
      <c r="H1680" s="28"/>
      <c r="I1680" s="28"/>
      <c r="J1680" s="28"/>
      <c r="K1680" s="28"/>
      <c r="L1680" s="28"/>
      <c r="M1680" s="28"/>
      <c r="N1680" s="21"/>
      <c r="O1680" s="28"/>
      <c r="P1680" s="38"/>
      <c r="Q1680" s="21"/>
      <c r="R1680" s="21"/>
      <c r="S1680" s="47"/>
      <c r="T1680" s="25">
        <f t="shared" si="55"/>
        <v>0</v>
      </c>
      <c r="U1680" s="25" t="str">
        <f>IF('PART III-DEMOGRAPHICS'!Q1690="","",'PART III-DEMOGRAPHICS'!Q1690)</f>
        <v/>
      </c>
    </row>
    <row r="1681" spans="1:21">
      <c r="A1681" s="25" t="str">
        <f>IF('PART III-DEMOGRAPHICS'!A1691="","",'PART III-DEMOGRAPHICS'!A1691)</f>
        <v/>
      </c>
      <c r="B1681" s="28"/>
      <c r="C1681" s="27"/>
      <c r="D1681" s="28"/>
      <c r="E1681" s="21"/>
      <c r="F1681" s="36" t="str">
        <f t="shared" si="56"/>
        <v>Did Not</v>
      </c>
      <c r="G1681" s="28"/>
      <c r="H1681" s="28"/>
      <c r="I1681" s="28"/>
      <c r="J1681" s="28"/>
      <c r="K1681" s="28"/>
      <c r="L1681" s="28"/>
      <c r="M1681" s="28"/>
      <c r="N1681" s="21"/>
      <c r="O1681" s="28"/>
      <c r="P1681" s="38"/>
      <c r="Q1681" s="21"/>
      <c r="R1681" s="21"/>
      <c r="S1681" s="47"/>
      <c r="T1681" s="25">
        <f t="shared" si="55"/>
        <v>0</v>
      </c>
      <c r="U1681" s="25" t="str">
        <f>IF('PART III-DEMOGRAPHICS'!Q1691="","",'PART III-DEMOGRAPHICS'!Q1691)</f>
        <v/>
      </c>
    </row>
    <row r="1682" spans="1:21">
      <c r="A1682" s="25" t="str">
        <f>IF('PART III-DEMOGRAPHICS'!A1692="","",'PART III-DEMOGRAPHICS'!A1692)</f>
        <v/>
      </c>
      <c r="B1682" s="28"/>
      <c r="C1682" s="27"/>
      <c r="D1682" s="28"/>
      <c r="E1682" s="21"/>
      <c r="F1682" s="36" t="str">
        <f t="shared" si="56"/>
        <v>Did Not</v>
      </c>
      <c r="G1682" s="28"/>
      <c r="H1682" s="28"/>
      <c r="I1682" s="28"/>
      <c r="J1682" s="28"/>
      <c r="K1682" s="28"/>
      <c r="L1682" s="28"/>
      <c r="M1682" s="28"/>
      <c r="N1682" s="21"/>
      <c r="O1682" s="28"/>
      <c r="P1682" s="38"/>
      <c r="Q1682" s="21"/>
      <c r="R1682" s="21"/>
      <c r="S1682" s="47"/>
      <c r="T1682" s="25">
        <f t="shared" si="55"/>
        <v>0</v>
      </c>
      <c r="U1682" s="25" t="str">
        <f>IF('PART III-DEMOGRAPHICS'!Q1692="","",'PART III-DEMOGRAPHICS'!Q1692)</f>
        <v/>
      </c>
    </row>
    <row r="1683" spans="1:21">
      <c r="A1683" s="25" t="str">
        <f>IF('PART III-DEMOGRAPHICS'!A1693="","",'PART III-DEMOGRAPHICS'!A1693)</f>
        <v/>
      </c>
      <c r="B1683" s="28"/>
      <c r="C1683" s="27"/>
      <c r="D1683" s="28"/>
      <c r="E1683" s="21"/>
      <c r="F1683" s="36" t="str">
        <f t="shared" si="56"/>
        <v>Did Not</v>
      </c>
      <c r="G1683" s="28"/>
      <c r="H1683" s="28"/>
      <c r="I1683" s="28"/>
      <c r="J1683" s="28"/>
      <c r="K1683" s="28"/>
      <c r="L1683" s="28"/>
      <c r="M1683" s="28"/>
      <c r="N1683" s="21"/>
      <c r="O1683" s="28"/>
      <c r="P1683" s="38"/>
      <c r="Q1683" s="21"/>
      <c r="R1683" s="21"/>
      <c r="S1683" s="47"/>
      <c r="T1683" s="25">
        <f t="shared" si="55"/>
        <v>0</v>
      </c>
      <c r="U1683" s="25" t="str">
        <f>IF('PART III-DEMOGRAPHICS'!Q1693="","",'PART III-DEMOGRAPHICS'!Q1693)</f>
        <v/>
      </c>
    </row>
    <row r="1684" spans="1:21">
      <c r="A1684" s="25" t="str">
        <f>IF('PART III-DEMOGRAPHICS'!A1694="","",'PART III-DEMOGRAPHICS'!A1694)</f>
        <v/>
      </c>
      <c r="B1684" s="28"/>
      <c r="C1684" s="27"/>
      <c r="D1684" s="28"/>
      <c r="E1684" s="21"/>
      <c r="F1684" s="36" t="str">
        <f t="shared" si="56"/>
        <v>Did Not</v>
      </c>
      <c r="G1684" s="28"/>
      <c r="H1684" s="28"/>
      <c r="I1684" s="28"/>
      <c r="J1684" s="28"/>
      <c r="K1684" s="28"/>
      <c r="L1684" s="28"/>
      <c r="M1684" s="28"/>
      <c r="N1684" s="21"/>
      <c r="O1684" s="28"/>
      <c r="P1684" s="38"/>
      <c r="Q1684" s="21"/>
      <c r="R1684" s="21"/>
      <c r="S1684" s="47"/>
      <c r="T1684" s="25">
        <f t="shared" si="55"/>
        <v>0</v>
      </c>
      <c r="U1684" s="25" t="str">
        <f>IF('PART III-DEMOGRAPHICS'!Q1694="","",'PART III-DEMOGRAPHICS'!Q1694)</f>
        <v/>
      </c>
    </row>
    <row r="1685" spans="1:21">
      <c r="A1685" s="25" t="str">
        <f>IF('PART III-DEMOGRAPHICS'!A1695="","",'PART III-DEMOGRAPHICS'!A1695)</f>
        <v/>
      </c>
      <c r="B1685" s="28"/>
      <c r="C1685" s="27"/>
      <c r="D1685" s="28"/>
      <c r="E1685" s="21"/>
      <c r="F1685" s="36" t="str">
        <f t="shared" si="56"/>
        <v>Did Not</v>
      </c>
      <c r="G1685" s="28"/>
      <c r="H1685" s="28"/>
      <c r="I1685" s="28"/>
      <c r="J1685" s="28"/>
      <c r="K1685" s="28"/>
      <c r="L1685" s="28"/>
      <c r="M1685" s="28"/>
      <c r="N1685" s="21"/>
      <c r="O1685" s="28"/>
      <c r="P1685" s="38"/>
      <c r="Q1685" s="21"/>
      <c r="R1685" s="21"/>
      <c r="S1685" s="47"/>
      <c r="T1685" s="25">
        <f t="shared" si="55"/>
        <v>0</v>
      </c>
      <c r="U1685" s="25" t="str">
        <f>IF('PART III-DEMOGRAPHICS'!Q1695="","",'PART III-DEMOGRAPHICS'!Q1695)</f>
        <v/>
      </c>
    </row>
    <row r="1686" spans="1:21">
      <c r="A1686" s="25" t="str">
        <f>IF('PART III-DEMOGRAPHICS'!A1696="","",'PART III-DEMOGRAPHICS'!A1696)</f>
        <v/>
      </c>
      <c r="B1686" s="28"/>
      <c r="C1686" s="27"/>
      <c r="D1686" s="28"/>
      <c r="E1686" s="21"/>
      <c r="F1686" s="36" t="str">
        <f t="shared" si="56"/>
        <v>Did Not</v>
      </c>
      <c r="G1686" s="28"/>
      <c r="H1686" s="28"/>
      <c r="I1686" s="28"/>
      <c r="J1686" s="28"/>
      <c r="K1686" s="28"/>
      <c r="L1686" s="28"/>
      <c r="M1686" s="28"/>
      <c r="N1686" s="21"/>
      <c r="O1686" s="28"/>
      <c r="P1686" s="38"/>
      <c r="Q1686" s="21"/>
      <c r="R1686" s="21"/>
      <c r="S1686" s="47"/>
      <c r="T1686" s="25">
        <f t="shared" si="55"/>
        <v>0</v>
      </c>
      <c r="U1686" s="25" t="str">
        <f>IF('PART III-DEMOGRAPHICS'!Q1696="","",'PART III-DEMOGRAPHICS'!Q1696)</f>
        <v/>
      </c>
    </row>
    <row r="1687" spans="1:21">
      <c r="A1687" s="25" t="str">
        <f>IF('PART III-DEMOGRAPHICS'!A1697="","",'PART III-DEMOGRAPHICS'!A1697)</f>
        <v/>
      </c>
      <c r="B1687" s="28"/>
      <c r="C1687" s="27"/>
      <c r="D1687" s="28"/>
      <c r="E1687" s="21"/>
      <c r="F1687" s="36" t="str">
        <f t="shared" si="56"/>
        <v>Did Not</v>
      </c>
      <c r="G1687" s="28"/>
      <c r="H1687" s="28"/>
      <c r="I1687" s="28"/>
      <c r="J1687" s="28"/>
      <c r="K1687" s="28"/>
      <c r="L1687" s="28"/>
      <c r="M1687" s="28"/>
      <c r="N1687" s="21"/>
      <c r="O1687" s="28"/>
      <c r="P1687" s="38"/>
      <c r="Q1687" s="21"/>
      <c r="R1687" s="21"/>
      <c r="S1687" s="47"/>
      <c r="T1687" s="25">
        <f t="shared" si="55"/>
        <v>0</v>
      </c>
      <c r="U1687" s="25" t="str">
        <f>IF('PART III-DEMOGRAPHICS'!Q1697="","",'PART III-DEMOGRAPHICS'!Q1697)</f>
        <v/>
      </c>
    </row>
    <row r="1688" spans="1:21">
      <c r="A1688" s="25" t="str">
        <f>IF('PART III-DEMOGRAPHICS'!A1698="","",'PART III-DEMOGRAPHICS'!A1698)</f>
        <v/>
      </c>
      <c r="B1688" s="28"/>
      <c r="C1688" s="27"/>
      <c r="D1688" s="28"/>
      <c r="E1688" s="21"/>
      <c r="F1688" s="36" t="str">
        <f t="shared" si="56"/>
        <v>Did Not</v>
      </c>
      <c r="G1688" s="28"/>
      <c r="H1688" s="28"/>
      <c r="I1688" s="28"/>
      <c r="J1688" s="28"/>
      <c r="K1688" s="28"/>
      <c r="L1688" s="28"/>
      <c r="M1688" s="28"/>
      <c r="N1688" s="21"/>
      <c r="O1688" s="28"/>
      <c r="P1688" s="38"/>
      <c r="Q1688" s="21"/>
      <c r="R1688" s="21"/>
      <c r="S1688" s="47"/>
      <c r="T1688" s="25">
        <f t="shared" si="55"/>
        <v>0</v>
      </c>
      <c r="U1688" s="25" t="str">
        <f>IF('PART III-DEMOGRAPHICS'!Q1698="","",'PART III-DEMOGRAPHICS'!Q1698)</f>
        <v/>
      </c>
    </row>
    <row r="1689" spans="1:21">
      <c r="A1689" s="25" t="str">
        <f>IF('PART III-DEMOGRAPHICS'!A1699="","",'PART III-DEMOGRAPHICS'!A1699)</f>
        <v/>
      </c>
      <c r="B1689" s="28"/>
      <c r="C1689" s="27"/>
      <c r="D1689" s="28"/>
      <c r="E1689" s="21"/>
      <c r="F1689" s="36" t="str">
        <f t="shared" si="56"/>
        <v>Did Not</v>
      </c>
      <c r="G1689" s="28"/>
      <c r="H1689" s="28"/>
      <c r="I1689" s="28"/>
      <c r="J1689" s="28"/>
      <c r="K1689" s="28"/>
      <c r="L1689" s="28"/>
      <c r="M1689" s="28"/>
      <c r="N1689" s="21"/>
      <c r="O1689" s="28"/>
      <c r="P1689" s="38"/>
      <c r="Q1689" s="21"/>
      <c r="R1689" s="21"/>
      <c r="S1689" s="47"/>
      <c r="T1689" s="25">
        <f t="shared" si="55"/>
        <v>0</v>
      </c>
      <c r="U1689" s="25" t="str">
        <f>IF('PART III-DEMOGRAPHICS'!Q1699="","",'PART III-DEMOGRAPHICS'!Q1699)</f>
        <v/>
      </c>
    </row>
    <row r="1690" spans="1:21">
      <c r="A1690" s="25" t="str">
        <f>IF('PART III-DEMOGRAPHICS'!A1700="","",'PART III-DEMOGRAPHICS'!A1700)</f>
        <v/>
      </c>
      <c r="B1690" s="28"/>
      <c r="C1690" s="27"/>
      <c r="D1690" s="28"/>
      <c r="E1690" s="21"/>
      <c r="F1690" s="36" t="str">
        <f t="shared" si="56"/>
        <v>Did Not</v>
      </c>
      <c r="G1690" s="28"/>
      <c r="H1690" s="28"/>
      <c r="I1690" s="28"/>
      <c r="J1690" s="28"/>
      <c r="K1690" s="28"/>
      <c r="L1690" s="28"/>
      <c r="M1690" s="28"/>
      <c r="N1690" s="21"/>
      <c r="O1690" s="28"/>
      <c r="P1690" s="38"/>
      <c r="Q1690" s="21"/>
      <c r="R1690" s="21"/>
      <c r="S1690" s="47"/>
      <c r="T1690" s="25">
        <f t="shared" si="55"/>
        <v>0</v>
      </c>
      <c r="U1690" s="25" t="str">
        <f>IF('PART III-DEMOGRAPHICS'!Q1700="","",'PART III-DEMOGRAPHICS'!Q1700)</f>
        <v/>
      </c>
    </row>
    <row r="1691" spans="1:21">
      <c r="A1691" s="25" t="str">
        <f>IF('PART III-DEMOGRAPHICS'!A1701="","",'PART III-DEMOGRAPHICS'!A1701)</f>
        <v/>
      </c>
      <c r="B1691" s="28"/>
      <c r="C1691" s="27"/>
      <c r="D1691" s="28"/>
      <c r="E1691" s="21"/>
      <c r="F1691" s="36" t="str">
        <f t="shared" si="56"/>
        <v>Did Not</v>
      </c>
      <c r="G1691" s="28"/>
      <c r="H1691" s="28"/>
      <c r="I1691" s="28"/>
      <c r="J1691" s="28"/>
      <c r="K1691" s="28"/>
      <c r="L1691" s="28"/>
      <c r="M1691" s="28"/>
      <c r="N1691" s="21"/>
      <c r="O1691" s="28"/>
      <c r="P1691" s="38"/>
      <c r="Q1691" s="21"/>
      <c r="R1691" s="21"/>
      <c r="S1691" s="47"/>
      <c r="T1691" s="25">
        <f t="shared" si="55"/>
        <v>0</v>
      </c>
      <c r="U1691" s="25" t="str">
        <f>IF('PART III-DEMOGRAPHICS'!Q1701="","",'PART III-DEMOGRAPHICS'!Q1701)</f>
        <v/>
      </c>
    </row>
    <row r="1692" spans="1:21">
      <c r="A1692" s="25" t="str">
        <f>IF('PART III-DEMOGRAPHICS'!A1702="","",'PART III-DEMOGRAPHICS'!A1702)</f>
        <v/>
      </c>
      <c r="B1692" s="28"/>
      <c r="C1692" s="27"/>
      <c r="D1692" s="28"/>
      <c r="E1692" s="21"/>
      <c r="F1692" s="36" t="str">
        <f t="shared" si="56"/>
        <v>Did Not</v>
      </c>
      <c r="G1692" s="28"/>
      <c r="H1692" s="28"/>
      <c r="I1692" s="28"/>
      <c r="J1692" s="28"/>
      <c r="K1692" s="28"/>
      <c r="L1692" s="28"/>
      <c r="M1692" s="28"/>
      <c r="N1692" s="21"/>
      <c r="O1692" s="28"/>
      <c r="P1692" s="38"/>
      <c r="Q1692" s="21"/>
      <c r="R1692" s="21"/>
      <c r="S1692" s="47"/>
      <c r="T1692" s="25">
        <f t="shared" si="55"/>
        <v>0</v>
      </c>
      <c r="U1692" s="25" t="str">
        <f>IF('PART III-DEMOGRAPHICS'!Q1702="","",'PART III-DEMOGRAPHICS'!Q1702)</f>
        <v/>
      </c>
    </row>
    <row r="1693" spans="1:21">
      <c r="A1693" s="25" t="str">
        <f>IF('PART III-DEMOGRAPHICS'!A1703="","",'PART III-DEMOGRAPHICS'!A1703)</f>
        <v/>
      </c>
      <c r="B1693" s="28"/>
      <c r="C1693" s="27"/>
      <c r="D1693" s="28"/>
      <c r="E1693" s="21"/>
      <c r="F1693" s="36" t="str">
        <f t="shared" si="56"/>
        <v>Did Not</v>
      </c>
      <c r="G1693" s="28"/>
      <c r="H1693" s="28"/>
      <c r="I1693" s="28"/>
      <c r="J1693" s="28"/>
      <c r="K1693" s="28"/>
      <c r="L1693" s="28"/>
      <c r="M1693" s="28"/>
      <c r="N1693" s="21"/>
      <c r="O1693" s="28"/>
      <c r="P1693" s="38"/>
      <c r="Q1693" s="21"/>
      <c r="R1693" s="21"/>
      <c r="S1693" s="47"/>
      <c r="T1693" s="25">
        <f t="shared" si="55"/>
        <v>0</v>
      </c>
      <c r="U1693" s="25" t="str">
        <f>IF('PART III-DEMOGRAPHICS'!Q1703="","",'PART III-DEMOGRAPHICS'!Q1703)</f>
        <v/>
      </c>
    </row>
    <row r="1694" spans="1:21">
      <c r="A1694" s="25" t="str">
        <f>IF('PART III-DEMOGRAPHICS'!A1704="","",'PART III-DEMOGRAPHICS'!A1704)</f>
        <v/>
      </c>
      <c r="B1694" s="28"/>
      <c r="C1694" s="27"/>
      <c r="D1694" s="28"/>
      <c r="E1694" s="21"/>
      <c r="F1694" s="36" t="str">
        <f t="shared" si="56"/>
        <v>Did Not</v>
      </c>
      <c r="G1694" s="28"/>
      <c r="H1694" s="28"/>
      <c r="I1694" s="28"/>
      <c r="J1694" s="28"/>
      <c r="K1694" s="28"/>
      <c r="L1694" s="28"/>
      <c r="M1694" s="28"/>
      <c r="N1694" s="21"/>
      <c r="O1694" s="28"/>
      <c r="P1694" s="38"/>
      <c r="Q1694" s="21"/>
      <c r="R1694" s="21"/>
      <c r="S1694" s="47"/>
      <c r="T1694" s="25">
        <f t="shared" si="55"/>
        <v>0</v>
      </c>
      <c r="U1694" s="25" t="str">
        <f>IF('PART III-DEMOGRAPHICS'!Q1704="","",'PART III-DEMOGRAPHICS'!Q1704)</f>
        <v/>
      </c>
    </row>
    <row r="1695" spans="1:21">
      <c r="A1695" s="25" t="str">
        <f>IF('PART III-DEMOGRAPHICS'!A1705="","",'PART III-DEMOGRAPHICS'!A1705)</f>
        <v/>
      </c>
      <c r="B1695" s="28"/>
      <c r="C1695" s="27"/>
      <c r="D1695" s="28"/>
      <c r="E1695" s="21"/>
      <c r="F1695" s="36" t="str">
        <f t="shared" si="56"/>
        <v>Did Not</v>
      </c>
      <c r="G1695" s="28"/>
      <c r="H1695" s="28"/>
      <c r="I1695" s="28"/>
      <c r="J1695" s="28"/>
      <c r="K1695" s="28"/>
      <c r="L1695" s="28"/>
      <c r="M1695" s="28"/>
      <c r="N1695" s="21"/>
      <c r="O1695" s="28"/>
      <c r="P1695" s="38"/>
      <c r="Q1695" s="21"/>
      <c r="R1695" s="21"/>
      <c r="S1695" s="47"/>
      <c r="T1695" s="25">
        <f t="shared" si="55"/>
        <v>0</v>
      </c>
      <c r="U1695" s="25" t="str">
        <f>IF('PART III-DEMOGRAPHICS'!Q1705="","",'PART III-DEMOGRAPHICS'!Q1705)</f>
        <v/>
      </c>
    </row>
    <row r="1696" spans="1:21">
      <c r="A1696" s="25" t="str">
        <f>IF('PART III-DEMOGRAPHICS'!A1706="","",'PART III-DEMOGRAPHICS'!A1706)</f>
        <v/>
      </c>
      <c r="B1696" s="28"/>
      <c r="C1696" s="27"/>
      <c r="D1696" s="28"/>
      <c r="E1696" s="21"/>
      <c r="F1696" s="36" t="str">
        <f t="shared" si="56"/>
        <v>Did Not</v>
      </c>
      <c r="G1696" s="28"/>
      <c r="H1696" s="28"/>
      <c r="I1696" s="28"/>
      <c r="J1696" s="28"/>
      <c r="K1696" s="28"/>
      <c r="L1696" s="28"/>
      <c r="M1696" s="28"/>
      <c r="N1696" s="21"/>
      <c r="O1696" s="28"/>
      <c r="P1696" s="38"/>
      <c r="Q1696" s="21"/>
      <c r="R1696" s="21"/>
      <c r="S1696" s="47"/>
      <c r="T1696" s="25">
        <f t="shared" si="55"/>
        <v>0</v>
      </c>
      <c r="U1696" s="25" t="str">
        <f>IF('PART III-DEMOGRAPHICS'!Q1706="","",'PART III-DEMOGRAPHICS'!Q1706)</f>
        <v/>
      </c>
    </row>
    <row r="1697" spans="1:21">
      <c r="A1697" s="25" t="str">
        <f>IF('PART III-DEMOGRAPHICS'!A1707="","",'PART III-DEMOGRAPHICS'!A1707)</f>
        <v/>
      </c>
      <c r="B1697" s="28"/>
      <c r="C1697" s="27"/>
      <c r="D1697" s="28"/>
      <c r="E1697" s="21"/>
      <c r="F1697" s="36" t="str">
        <f t="shared" si="56"/>
        <v>Did Not</v>
      </c>
      <c r="G1697" s="28"/>
      <c r="H1697" s="28"/>
      <c r="I1697" s="28"/>
      <c r="J1697" s="28"/>
      <c r="K1697" s="28"/>
      <c r="L1697" s="28"/>
      <c r="M1697" s="28"/>
      <c r="N1697" s="21"/>
      <c r="O1697" s="28"/>
      <c r="P1697" s="38"/>
      <c r="Q1697" s="21"/>
      <c r="R1697" s="21"/>
      <c r="S1697" s="47"/>
      <c r="T1697" s="25">
        <f t="shared" si="55"/>
        <v>0</v>
      </c>
      <c r="U1697" s="25" t="str">
        <f>IF('PART III-DEMOGRAPHICS'!Q1707="","",'PART III-DEMOGRAPHICS'!Q1707)</f>
        <v/>
      </c>
    </row>
    <row r="1698" spans="1:21">
      <c r="A1698" s="25" t="str">
        <f>IF('PART III-DEMOGRAPHICS'!A1708="","",'PART III-DEMOGRAPHICS'!A1708)</f>
        <v/>
      </c>
      <c r="B1698" s="28"/>
      <c r="C1698" s="27"/>
      <c r="D1698" s="28"/>
      <c r="E1698" s="21"/>
      <c r="F1698" s="36" t="str">
        <f t="shared" si="56"/>
        <v>Did Not</v>
      </c>
      <c r="G1698" s="28"/>
      <c r="H1698" s="28"/>
      <c r="I1698" s="28"/>
      <c r="J1698" s="28"/>
      <c r="K1698" s="28"/>
      <c r="L1698" s="28"/>
      <c r="M1698" s="28"/>
      <c r="N1698" s="21"/>
      <c r="O1698" s="28"/>
      <c r="P1698" s="38"/>
      <c r="Q1698" s="21"/>
      <c r="R1698" s="21"/>
      <c r="S1698" s="47"/>
      <c r="T1698" s="25">
        <f t="shared" si="55"/>
        <v>0</v>
      </c>
      <c r="U1698" s="25" t="str">
        <f>IF('PART III-DEMOGRAPHICS'!Q1708="","",'PART III-DEMOGRAPHICS'!Q1708)</f>
        <v/>
      </c>
    </row>
    <row r="1699" spans="1:21">
      <c r="A1699" s="25" t="str">
        <f>IF('PART III-DEMOGRAPHICS'!A1709="","",'PART III-DEMOGRAPHICS'!A1709)</f>
        <v/>
      </c>
      <c r="B1699" s="28"/>
      <c r="C1699" s="27"/>
      <c r="D1699" s="28"/>
      <c r="E1699" s="21"/>
      <c r="F1699" s="36" t="str">
        <f t="shared" si="56"/>
        <v>Did Not</v>
      </c>
      <c r="G1699" s="28"/>
      <c r="H1699" s="28"/>
      <c r="I1699" s="28"/>
      <c r="J1699" s="28"/>
      <c r="K1699" s="28"/>
      <c r="L1699" s="28"/>
      <c r="M1699" s="28"/>
      <c r="N1699" s="21"/>
      <c r="O1699" s="28"/>
      <c r="P1699" s="38"/>
      <c r="Q1699" s="21"/>
      <c r="R1699" s="21"/>
      <c r="S1699" s="47"/>
      <c r="T1699" s="25">
        <f t="shared" si="55"/>
        <v>0</v>
      </c>
      <c r="U1699" s="25" t="str">
        <f>IF('PART III-DEMOGRAPHICS'!Q1709="","",'PART III-DEMOGRAPHICS'!Q1709)</f>
        <v/>
      </c>
    </row>
    <row r="1700" spans="1:21">
      <c r="A1700" s="25" t="str">
        <f>IF('PART III-DEMOGRAPHICS'!A1710="","",'PART III-DEMOGRAPHICS'!A1710)</f>
        <v/>
      </c>
      <c r="B1700" s="28"/>
      <c r="C1700" s="27"/>
      <c r="D1700" s="28"/>
      <c r="E1700" s="21"/>
      <c r="F1700" s="36" t="str">
        <f t="shared" si="56"/>
        <v>Did Not</v>
      </c>
      <c r="G1700" s="28"/>
      <c r="H1700" s="28"/>
      <c r="I1700" s="28"/>
      <c r="J1700" s="28"/>
      <c r="K1700" s="28"/>
      <c r="L1700" s="28"/>
      <c r="M1700" s="28"/>
      <c r="N1700" s="21"/>
      <c r="O1700" s="28"/>
      <c r="P1700" s="38"/>
      <c r="Q1700" s="21"/>
      <c r="R1700" s="21"/>
      <c r="S1700" s="47"/>
      <c r="T1700" s="25">
        <f t="shared" si="55"/>
        <v>0</v>
      </c>
      <c r="U1700" s="25" t="str">
        <f>IF('PART III-DEMOGRAPHICS'!Q1710="","",'PART III-DEMOGRAPHICS'!Q1710)</f>
        <v/>
      </c>
    </row>
    <row r="1701" spans="1:21">
      <c r="A1701" s="25" t="str">
        <f>IF('PART III-DEMOGRAPHICS'!A1711="","",'PART III-DEMOGRAPHICS'!A1711)</f>
        <v/>
      </c>
      <c r="B1701" s="28"/>
      <c r="C1701" s="27"/>
      <c r="D1701" s="28"/>
      <c r="E1701" s="21"/>
      <c r="F1701" s="36" t="str">
        <f t="shared" si="56"/>
        <v>Did Not</v>
      </c>
      <c r="G1701" s="28"/>
      <c r="H1701" s="28"/>
      <c r="I1701" s="28"/>
      <c r="J1701" s="28"/>
      <c r="K1701" s="28"/>
      <c r="L1701" s="28"/>
      <c r="M1701" s="28"/>
      <c r="N1701" s="21"/>
      <c r="O1701" s="28"/>
      <c r="P1701" s="38"/>
      <c r="Q1701" s="21"/>
      <c r="R1701" s="21"/>
      <c r="S1701" s="47"/>
      <c r="T1701" s="25">
        <f t="shared" si="55"/>
        <v>0</v>
      </c>
      <c r="U1701" s="25" t="str">
        <f>IF('PART III-DEMOGRAPHICS'!Q1711="","",'PART III-DEMOGRAPHICS'!Q1711)</f>
        <v/>
      </c>
    </row>
    <row r="1702" spans="1:21">
      <c r="A1702" s="25" t="str">
        <f>IF('PART III-DEMOGRAPHICS'!A1712="","",'PART III-DEMOGRAPHICS'!A1712)</f>
        <v/>
      </c>
      <c r="B1702" s="28"/>
      <c r="C1702" s="27"/>
      <c r="D1702" s="28"/>
      <c r="E1702" s="21"/>
      <c r="F1702" s="36" t="str">
        <f t="shared" si="56"/>
        <v>Did Not</v>
      </c>
      <c r="G1702" s="28"/>
      <c r="H1702" s="28"/>
      <c r="I1702" s="28"/>
      <c r="J1702" s="28"/>
      <c r="K1702" s="28"/>
      <c r="L1702" s="28"/>
      <c r="M1702" s="28"/>
      <c r="N1702" s="21"/>
      <c r="O1702" s="28"/>
      <c r="P1702" s="38"/>
      <c r="Q1702" s="21"/>
      <c r="R1702" s="21"/>
      <c r="S1702" s="47"/>
      <c r="T1702" s="25">
        <f t="shared" si="55"/>
        <v>0</v>
      </c>
      <c r="U1702" s="25" t="str">
        <f>IF('PART III-DEMOGRAPHICS'!Q1712="","",'PART III-DEMOGRAPHICS'!Q1712)</f>
        <v/>
      </c>
    </row>
    <row r="1703" spans="1:21">
      <c r="A1703" s="25" t="str">
        <f>IF('PART III-DEMOGRAPHICS'!A1713="","",'PART III-DEMOGRAPHICS'!A1713)</f>
        <v/>
      </c>
      <c r="B1703" s="28"/>
      <c r="C1703" s="27"/>
      <c r="D1703" s="28"/>
      <c r="E1703" s="21"/>
      <c r="F1703" s="36" t="str">
        <f t="shared" si="56"/>
        <v>Did Not</v>
      </c>
      <c r="G1703" s="28"/>
      <c r="H1703" s="28"/>
      <c r="I1703" s="28"/>
      <c r="J1703" s="28"/>
      <c r="K1703" s="28"/>
      <c r="L1703" s="28"/>
      <c r="M1703" s="28"/>
      <c r="N1703" s="21"/>
      <c r="O1703" s="28"/>
      <c r="P1703" s="38"/>
      <c r="Q1703" s="21"/>
      <c r="R1703" s="21"/>
      <c r="S1703" s="47"/>
      <c r="T1703" s="25">
        <f t="shared" si="55"/>
        <v>0</v>
      </c>
      <c r="U1703" s="25" t="str">
        <f>IF('PART III-DEMOGRAPHICS'!Q1713="","",'PART III-DEMOGRAPHICS'!Q1713)</f>
        <v/>
      </c>
    </row>
    <row r="1704" spans="1:21">
      <c r="A1704" s="25" t="str">
        <f>IF('PART III-DEMOGRAPHICS'!A1714="","",'PART III-DEMOGRAPHICS'!A1714)</f>
        <v/>
      </c>
      <c r="B1704" s="28"/>
      <c r="C1704" s="27"/>
      <c r="D1704" s="28"/>
      <c r="E1704" s="21"/>
      <c r="F1704" s="36" t="str">
        <f t="shared" si="56"/>
        <v>Did Not</v>
      </c>
      <c r="G1704" s="28"/>
      <c r="H1704" s="28"/>
      <c r="I1704" s="28"/>
      <c r="J1704" s="28"/>
      <c r="K1704" s="28"/>
      <c r="L1704" s="28"/>
      <c r="M1704" s="28"/>
      <c r="N1704" s="21"/>
      <c r="O1704" s="28"/>
      <c r="P1704" s="38"/>
      <c r="Q1704" s="21"/>
      <c r="R1704" s="21"/>
      <c r="S1704" s="47"/>
      <c r="T1704" s="25">
        <f t="shared" si="55"/>
        <v>0</v>
      </c>
      <c r="U1704" s="25" t="str">
        <f>IF('PART III-DEMOGRAPHICS'!Q1714="","",'PART III-DEMOGRAPHICS'!Q1714)</f>
        <v/>
      </c>
    </row>
    <row r="1705" spans="1:21">
      <c r="A1705" s="25" t="str">
        <f>IF('PART III-DEMOGRAPHICS'!A1715="","",'PART III-DEMOGRAPHICS'!A1715)</f>
        <v/>
      </c>
      <c r="B1705" s="28"/>
      <c r="C1705" s="27"/>
      <c r="D1705" s="28"/>
      <c r="E1705" s="21"/>
      <c r="F1705" s="36" t="str">
        <f t="shared" si="56"/>
        <v>Did Not</v>
      </c>
      <c r="G1705" s="28"/>
      <c r="H1705" s="28"/>
      <c r="I1705" s="28"/>
      <c r="J1705" s="28"/>
      <c r="K1705" s="28"/>
      <c r="L1705" s="28"/>
      <c r="M1705" s="28"/>
      <c r="N1705" s="21"/>
      <c r="O1705" s="28"/>
      <c r="P1705" s="38"/>
      <c r="Q1705" s="21"/>
      <c r="R1705" s="21"/>
      <c r="S1705" s="47"/>
      <c r="T1705" s="25">
        <f t="shared" si="55"/>
        <v>0</v>
      </c>
      <c r="U1705" s="25" t="str">
        <f>IF('PART III-DEMOGRAPHICS'!Q1715="","",'PART III-DEMOGRAPHICS'!Q1715)</f>
        <v/>
      </c>
    </row>
    <row r="1706" spans="1:21">
      <c r="A1706" s="25" t="str">
        <f>IF('PART III-DEMOGRAPHICS'!A1716="","",'PART III-DEMOGRAPHICS'!A1716)</f>
        <v/>
      </c>
      <c r="B1706" s="28"/>
      <c r="C1706" s="27"/>
      <c r="D1706" s="28"/>
      <c r="E1706" s="21"/>
      <c r="F1706" s="36" t="str">
        <f t="shared" si="56"/>
        <v>Did Not</v>
      </c>
      <c r="G1706" s="28"/>
      <c r="H1706" s="28"/>
      <c r="I1706" s="28"/>
      <c r="J1706" s="28"/>
      <c r="K1706" s="28"/>
      <c r="L1706" s="28"/>
      <c r="M1706" s="28"/>
      <c r="N1706" s="21"/>
      <c r="O1706" s="28"/>
      <c r="P1706" s="38"/>
      <c r="Q1706" s="21"/>
      <c r="R1706" s="21"/>
      <c r="S1706" s="47"/>
      <c r="T1706" s="25">
        <f t="shared" si="55"/>
        <v>0</v>
      </c>
      <c r="U1706" s="25" t="str">
        <f>IF('PART III-DEMOGRAPHICS'!Q1716="","",'PART III-DEMOGRAPHICS'!Q1716)</f>
        <v/>
      </c>
    </row>
    <row r="1707" spans="1:21">
      <c r="A1707" s="25" t="str">
        <f>IF('PART III-DEMOGRAPHICS'!A1717="","",'PART III-DEMOGRAPHICS'!A1717)</f>
        <v/>
      </c>
      <c r="B1707" s="28"/>
      <c r="C1707" s="27"/>
      <c r="D1707" s="28"/>
      <c r="E1707" s="21"/>
      <c r="F1707" s="36" t="str">
        <f t="shared" si="56"/>
        <v>Did Not</v>
      </c>
      <c r="G1707" s="28"/>
      <c r="H1707" s="28"/>
      <c r="I1707" s="28"/>
      <c r="J1707" s="28"/>
      <c r="K1707" s="28"/>
      <c r="L1707" s="28"/>
      <c r="M1707" s="28"/>
      <c r="N1707" s="21"/>
      <c r="O1707" s="28"/>
      <c r="P1707" s="38"/>
      <c r="Q1707" s="21"/>
      <c r="R1707" s="21"/>
      <c r="S1707" s="47"/>
      <c r="T1707" s="25">
        <f t="shared" si="55"/>
        <v>0</v>
      </c>
      <c r="U1707" s="25" t="str">
        <f>IF('PART III-DEMOGRAPHICS'!Q1717="","",'PART III-DEMOGRAPHICS'!Q1717)</f>
        <v/>
      </c>
    </row>
    <row r="1708" spans="1:21">
      <c r="A1708" s="25" t="str">
        <f>IF('PART III-DEMOGRAPHICS'!A1718="","",'PART III-DEMOGRAPHICS'!A1718)</f>
        <v/>
      </c>
      <c r="B1708" s="28"/>
      <c r="C1708" s="27"/>
      <c r="D1708" s="28"/>
      <c r="E1708" s="21"/>
      <c r="F1708" s="36" t="str">
        <f t="shared" si="56"/>
        <v>Did Not</v>
      </c>
      <c r="G1708" s="28"/>
      <c r="H1708" s="28"/>
      <c r="I1708" s="28"/>
      <c r="J1708" s="28"/>
      <c r="K1708" s="28"/>
      <c r="L1708" s="28"/>
      <c r="M1708" s="28"/>
      <c r="N1708" s="21"/>
      <c r="O1708" s="28"/>
      <c r="P1708" s="38"/>
      <c r="Q1708" s="21"/>
      <c r="R1708" s="21"/>
      <c r="S1708" s="47"/>
      <c r="T1708" s="25">
        <f t="shared" si="55"/>
        <v>0</v>
      </c>
      <c r="U1708" s="25" t="str">
        <f>IF('PART III-DEMOGRAPHICS'!Q1718="","",'PART III-DEMOGRAPHICS'!Q1718)</f>
        <v/>
      </c>
    </row>
    <row r="1709" spans="1:21">
      <c r="A1709" s="25" t="str">
        <f>IF('PART III-DEMOGRAPHICS'!A1719="","",'PART III-DEMOGRAPHICS'!A1719)</f>
        <v/>
      </c>
      <c r="B1709" s="28"/>
      <c r="C1709" s="27"/>
      <c r="D1709" s="28"/>
      <c r="E1709" s="21"/>
      <c r="F1709" s="36" t="str">
        <f t="shared" si="56"/>
        <v>Did Not</v>
      </c>
      <c r="G1709" s="28"/>
      <c r="H1709" s="28"/>
      <c r="I1709" s="28"/>
      <c r="J1709" s="28"/>
      <c r="K1709" s="28"/>
      <c r="L1709" s="28"/>
      <c r="M1709" s="28"/>
      <c r="N1709" s="21"/>
      <c r="O1709" s="28"/>
      <c r="P1709" s="38"/>
      <c r="Q1709" s="21"/>
      <c r="R1709" s="21"/>
      <c r="S1709" s="47"/>
      <c r="T1709" s="25">
        <f t="shared" si="55"/>
        <v>0</v>
      </c>
      <c r="U1709" s="25" t="str">
        <f>IF('PART III-DEMOGRAPHICS'!Q1719="","",'PART III-DEMOGRAPHICS'!Q1719)</f>
        <v/>
      </c>
    </row>
    <row r="1710" spans="1:21">
      <c r="A1710" s="25" t="str">
        <f>IF('PART III-DEMOGRAPHICS'!A1720="","",'PART III-DEMOGRAPHICS'!A1720)</f>
        <v/>
      </c>
      <c r="B1710" s="28"/>
      <c r="C1710" s="27"/>
      <c r="D1710" s="28"/>
      <c r="E1710" s="21"/>
      <c r="F1710" s="36" t="str">
        <f t="shared" si="56"/>
        <v>Did Not</v>
      </c>
      <c r="G1710" s="28"/>
      <c r="H1710" s="28"/>
      <c r="I1710" s="28"/>
      <c r="J1710" s="28"/>
      <c r="K1710" s="28"/>
      <c r="L1710" s="28"/>
      <c r="M1710" s="28"/>
      <c r="N1710" s="21"/>
      <c r="O1710" s="28"/>
      <c r="P1710" s="38"/>
      <c r="Q1710" s="21"/>
      <c r="R1710" s="21"/>
      <c r="S1710" s="47"/>
      <c r="T1710" s="25">
        <f t="shared" si="55"/>
        <v>0</v>
      </c>
      <c r="U1710" s="25" t="str">
        <f>IF('PART III-DEMOGRAPHICS'!Q1720="","",'PART III-DEMOGRAPHICS'!Q1720)</f>
        <v/>
      </c>
    </row>
    <row r="1711" spans="1:21">
      <c r="A1711" s="25" t="str">
        <f>IF('PART III-DEMOGRAPHICS'!A1721="","",'PART III-DEMOGRAPHICS'!A1721)</f>
        <v/>
      </c>
      <c r="B1711" s="28"/>
      <c r="C1711" s="27"/>
      <c r="D1711" s="28"/>
      <c r="E1711" s="21"/>
      <c r="F1711" s="36" t="str">
        <f t="shared" si="56"/>
        <v>Did Not</v>
      </c>
      <c r="G1711" s="28"/>
      <c r="H1711" s="28"/>
      <c r="I1711" s="28"/>
      <c r="J1711" s="28"/>
      <c r="K1711" s="28"/>
      <c r="L1711" s="28"/>
      <c r="M1711" s="28"/>
      <c r="N1711" s="21"/>
      <c r="O1711" s="28"/>
      <c r="P1711" s="38"/>
      <c r="Q1711" s="21"/>
      <c r="R1711" s="21"/>
      <c r="S1711" s="47"/>
      <c r="T1711" s="25">
        <f t="shared" si="55"/>
        <v>0</v>
      </c>
      <c r="U1711" s="25" t="str">
        <f>IF('PART III-DEMOGRAPHICS'!Q1721="","",'PART III-DEMOGRAPHICS'!Q1721)</f>
        <v/>
      </c>
    </row>
    <row r="1712" spans="1:21">
      <c r="A1712" s="25" t="str">
        <f>IF('PART III-DEMOGRAPHICS'!A1722="","",'PART III-DEMOGRAPHICS'!A1722)</f>
        <v/>
      </c>
      <c r="B1712" s="28"/>
      <c r="C1712" s="27"/>
      <c r="D1712" s="28"/>
      <c r="E1712" s="21"/>
      <c r="F1712" s="36" t="str">
        <f t="shared" si="56"/>
        <v>Did Not</v>
      </c>
      <c r="G1712" s="28"/>
      <c r="H1712" s="28"/>
      <c r="I1712" s="28"/>
      <c r="J1712" s="28"/>
      <c r="K1712" s="28"/>
      <c r="L1712" s="28"/>
      <c r="M1712" s="28"/>
      <c r="N1712" s="21"/>
      <c r="O1712" s="28"/>
      <c r="P1712" s="38"/>
      <c r="Q1712" s="21"/>
      <c r="R1712" s="21"/>
      <c r="S1712" s="47"/>
      <c r="T1712" s="25">
        <f t="shared" si="55"/>
        <v>0</v>
      </c>
      <c r="U1712" s="25" t="str">
        <f>IF('PART III-DEMOGRAPHICS'!Q1722="","",'PART III-DEMOGRAPHICS'!Q1722)</f>
        <v/>
      </c>
    </row>
    <row r="1713" spans="1:21">
      <c r="A1713" s="25" t="str">
        <f>IF('PART III-DEMOGRAPHICS'!A1723="","",'PART III-DEMOGRAPHICS'!A1723)</f>
        <v/>
      </c>
      <c r="B1713" s="28"/>
      <c r="C1713" s="27"/>
      <c r="D1713" s="28"/>
      <c r="E1713" s="21"/>
      <c r="F1713" s="36" t="str">
        <f t="shared" si="56"/>
        <v>Did Not</v>
      </c>
      <c r="G1713" s="28"/>
      <c r="H1713" s="28"/>
      <c r="I1713" s="28"/>
      <c r="J1713" s="28"/>
      <c r="K1713" s="28"/>
      <c r="L1713" s="28"/>
      <c r="M1713" s="28"/>
      <c r="N1713" s="21"/>
      <c r="O1713" s="28"/>
      <c r="P1713" s="38"/>
      <c r="Q1713" s="21"/>
      <c r="R1713" s="21"/>
      <c r="S1713" s="47"/>
      <c r="T1713" s="25">
        <f t="shared" si="55"/>
        <v>0</v>
      </c>
      <c r="U1713" s="25" t="str">
        <f>IF('PART III-DEMOGRAPHICS'!Q1723="","",'PART III-DEMOGRAPHICS'!Q1723)</f>
        <v/>
      </c>
    </row>
    <row r="1714" spans="1:21">
      <c r="A1714" s="25" t="str">
        <f>IF('PART III-DEMOGRAPHICS'!A1724="","",'PART III-DEMOGRAPHICS'!A1724)</f>
        <v/>
      </c>
      <c r="B1714" s="28"/>
      <c r="C1714" s="27"/>
      <c r="D1714" s="28"/>
      <c r="E1714" s="21"/>
      <c r="F1714" s="36" t="str">
        <f t="shared" si="56"/>
        <v>Did Not</v>
      </c>
      <c r="G1714" s="28"/>
      <c r="H1714" s="28"/>
      <c r="I1714" s="28"/>
      <c r="J1714" s="28"/>
      <c r="K1714" s="28"/>
      <c r="L1714" s="28"/>
      <c r="M1714" s="28"/>
      <c r="N1714" s="21"/>
      <c r="O1714" s="28"/>
      <c r="P1714" s="38"/>
      <c r="Q1714" s="21"/>
      <c r="R1714" s="21"/>
      <c r="S1714" s="47"/>
      <c r="T1714" s="25">
        <f t="shared" si="55"/>
        <v>0</v>
      </c>
      <c r="U1714" s="25" t="str">
        <f>IF('PART III-DEMOGRAPHICS'!Q1724="","",'PART III-DEMOGRAPHICS'!Q1724)</f>
        <v/>
      </c>
    </row>
    <row r="1715" spans="1:21">
      <c r="A1715" s="25" t="str">
        <f>IF('PART III-DEMOGRAPHICS'!A1725="","",'PART III-DEMOGRAPHICS'!A1725)</f>
        <v/>
      </c>
      <c r="B1715" s="28"/>
      <c r="C1715" s="27"/>
      <c r="D1715" s="28"/>
      <c r="E1715" s="21"/>
      <c r="F1715" s="36" t="str">
        <f t="shared" si="56"/>
        <v>Did Not</v>
      </c>
      <c r="G1715" s="28"/>
      <c r="H1715" s="28"/>
      <c r="I1715" s="28"/>
      <c r="J1715" s="28"/>
      <c r="K1715" s="28"/>
      <c r="L1715" s="28"/>
      <c r="M1715" s="28"/>
      <c r="N1715" s="21"/>
      <c r="O1715" s="28"/>
      <c r="P1715" s="38"/>
      <c r="Q1715" s="21"/>
      <c r="R1715" s="21"/>
      <c r="S1715" s="47"/>
      <c r="T1715" s="25">
        <f t="shared" si="55"/>
        <v>0</v>
      </c>
      <c r="U1715" s="25" t="str">
        <f>IF('PART III-DEMOGRAPHICS'!Q1725="","",'PART III-DEMOGRAPHICS'!Q1725)</f>
        <v/>
      </c>
    </row>
    <row r="1716" spans="1:21">
      <c r="A1716" s="25" t="str">
        <f>IF('PART III-DEMOGRAPHICS'!A1726="","",'PART III-DEMOGRAPHICS'!A1726)</f>
        <v/>
      </c>
      <c r="B1716" s="28"/>
      <c r="C1716" s="27"/>
      <c r="D1716" s="28"/>
      <c r="E1716" s="21"/>
      <c r="F1716" s="36" t="str">
        <f t="shared" si="56"/>
        <v>Did Not</v>
      </c>
      <c r="G1716" s="28"/>
      <c r="H1716" s="28"/>
      <c r="I1716" s="28"/>
      <c r="J1716" s="28"/>
      <c r="K1716" s="28"/>
      <c r="L1716" s="28"/>
      <c r="M1716" s="28"/>
      <c r="N1716" s="21"/>
      <c r="O1716" s="28"/>
      <c r="P1716" s="38"/>
      <c r="Q1716" s="21"/>
      <c r="R1716" s="21"/>
      <c r="S1716" s="47"/>
      <c r="T1716" s="25">
        <f t="shared" si="55"/>
        <v>0</v>
      </c>
      <c r="U1716" s="25" t="str">
        <f>IF('PART III-DEMOGRAPHICS'!Q1726="","",'PART III-DEMOGRAPHICS'!Q1726)</f>
        <v/>
      </c>
    </row>
    <row r="1717" spans="1:21">
      <c r="A1717" s="25" t="str">
        <f>IF('PART III-DEMOGRAPHICS'!A1727="","",'PART III-DEMOGRAPHICS'!A1727)</f>
        <v/>
      </c>
      <c r="B1717" s="28"/>
      <c r="C1717" s="27"/>
      <c r="D1717" s="28"/>
      <c r="E1717" s="21"/>
      <c r="F1717" s="36" t="str">
        <f t="shared" si="56"/>
        <v>Did Not</v>
      </c>
      <c r="G1717" s="28"/>
      <c r="H1717" s="28"/>
      <c r="I1717" s="28"/>
      <c r="J1717" s="28"/>
      <c r="K1717" s="28"/>
      <c r="L1717" s="28"/>
      <c r="M1717" s="28"/>
      <c r="N1717" s="21"/>
      <c r="O1717" s="28"/>
      <c r="P1717" s="38"/>
      <c r="Q1717" s="21"/>
      <c r="R1717" s="21"/>
      <c r="S1717" s="47"/>
      <c r="T1717" s="25">
        <f t="shared" si="55"/>
        <v>0</v>
      </c>
      <c r="U1717" s="25" t="str">
        <f>IF('PART III-DEMOGRAPHICS'!Q1727="","",'PART III-DEMOGRAPHICS'!Q1727)</f>
        <v/>
      </c>
    </row>
    <row r="1718" spans="1:21">
      <c r="A1718" s="25" t="str">
        <f>IF('PART III-DEMOGRAPHICS'!A1728="","",'PART III-DEMOGRAPHICS'!A1728)</f>
        <v/>
      </c>
      <c r="B1718" s="28"/>
      <c r="C1718" s="27"/>
      <c r="D1718" s="28"/>
      <c r="E1718" s="21"/>
      <c r="F1718" s="36" t="str">
        <f t="shared" si="56"/>
        <v>Did Not</v>
      </c>
      <c r="G1718" s="28"/>
      <c r="H1718" s="28"/>
      <c r="I1718" s="28"/>
      <c r="J1718" s="28"/>
      <c r="K1718" s="28"/>
      <c r="L1718" s="28"/>
      <c r="M1718" s="28"/>
      <c r="N1718" s="21"/>
      <c r="O1718" s="28"/>
      <c r="P1718" s="38"/>
      <c r="Q1718" s="21"/>
      <c r="R1718" s="21"/>
      <c r="S1718" s="47"/>
      <c r="T1718" s="25">
        <f t="shared" si="55"/>
        <v>0</v>
      </c>
      <c r="U1718" s="25" t="str">
        <f>IF('PART III-DEMOGRAPHICS'!Q1728="","",'PART III-DEMOGRAPHICS'!Q1728)</f>
        <v/>
      </c>
    </row>
    <row r="1719" spans="1:21">
      <c r="A1719" s="25" t="str">
        <f>IF('PART III-DEMOGRAPHICS'!A1729="","",'PART III-DEMOGRAPHICS'!A1729)</f>
        <v/>
      </c>
      <c r="B1719" s="28"/>
      <c r="C1719" s="27"/>
      <c r="D1719" s="28"/>
      <c r="E1719" s="21"/>
      <c r="F1719" s="36" t="str">
        <f t="shared" si="56"/>
        <v>Did Not</v>
      </c>
      <c r="G1719" s="28"/>
      <c r="H1719" s="28"/>
      <c r="I1719" s="28"/>
      <c r="J1719" s="28"/>
      <c r="K1719" s="28"/>
      <c r="L1719" s="28"/>
      <c r="M1719" s="28"/>
      <c r="N1719" s="21"/>
      <c r="O1719" s="28"/>
      <c r="P1719" s="38"/>
      <c r="Q1719" s="21"/>
      <c r="R1719" s="21"/>
      <c r="S1719" s="47"/>
      <c r="T1719" s="25">
        <f t="shared" si="55"/>
        <v>0</v>
      </c>
      <c r="U1719" s="25" t="str">
        <f>IF('PART III-DEMOGRAPHICS'!Q1729="","",'PART III-DEMOGRAPHICS'!Q1729)</f>
        <v/>
      </c>
    </row>
    <row r="1720" spans="1:21">
      <c r="A1720" s="25" t="str">
        <f>IF('PART III-DEMOGRAPHICS'!A1730="","",'PART III-DEMOGRAPHICS'!A1730)</f>
        <v/>
      </c>
      <c r="B1720" s="28"/>
      <c r="C1720" s="27"/>
      <c r="D1720" s="28"/>
      <c r="E1720" s="21"/>
      <c r="F1720" s="36" t="str">
        <f t="shared" si="56"/>
        <v>Did Not</v>
      </c>
      <c r="G1720" s="28"/>
      <c r="H1720" s="28"/>
      <c r="I1720" s="28"/>
      <c r="J1720" s="28"/>
      <c r="K1720" s="28"/>
      <c r="L1720" s="28"/>
      <c r="M1720" s="28"/>
      <c r="N1720" s="21"/>
      <c r="O1720" s="28"/>
      <c r="P1720" s="38"/>
      <c r="Q1720" s="21"/>
      <c r="R1720" s="21"/>
      <c r="S1720" s="47"/>
      <c r="T1720" s="25">
        <f t="shared" si="55"/>
        <v>0</v>
      </c>
      <c r="U1720" s="25" t="str">
        <f>IF('PART III-DEMOGRAPHICS'!Q1730="","",'PART III-DEMOGRAPHICS'!Q1730)</f>
        <v/>
      </c>
    </row>
    <row r="1721" spans="1:21">
      <c r="A1721" s="25" t="str">
        <f>IF('PART III-DEMOGRAPHICS'!A1731="","",'PART III-DEMOGRAPHICS'!A1731)</f>
        <v/>
      </c>
      <c r="B1721" s="28"/>
      <c r="C1721" s="27"/>
      <c r="D1721" s="28"/>
      <c r="E1721" s="21"/>
      <c r="F1721" s="36" t="str">
        <f t="shared" si="56"/>
        <v>Did Not</v>
      </c>
      <c r="G1721" s="28"/>
      <c r="H1721" s="28"/>
      <c r="I1721" s="28"/>
      <c r="J1721" s="28"/>
      <c r="K1721" s="28"/>
      <c r="L1721" s="28"/>
      <c r="M1721" s="28"/>
      <c r="N1721" s="21"/>
      <c r="O1721" s="28"/>
      <c r="P1721" s="38"/>
      <c r="Q1721" s="21"/>
      <c r="R1721" s="21"/>
      <c r="S1721" s="47"/>
      <c r="T1721" s="25">
        <f t="shared" si="55"/>
        <v>0</v>
      </c>
      <c r="U1721" s="25" t="str">
        <f>IF('PART III-DEMOGRAPHICS'!Q1731="","",'PART III-DEMOGRAPHICS'!Q1731)</f>
        <v/>
      </c>
    </row>
    <row r="1722" spans="1:21">
      <c r="A1722" s="25" t="str">
        <f>IF('PART III-DEMOGRAPHICS'!A1732="","",'PART III-DEMOGRAPHICS'!A1732)</f>
        <v/>
      </c>
      <c r="B1722" s="28"/>
      <c r="C1722" s="27"/>
      <c r="D1722" s="28"/>
      <c r="E1722" s="21"/>
      <c r="F1722" s="36" t="str">
        <f t="shared" si="56"/>
        <v>Did Not</v>
      </c>
      <c r="G1722" s="28"/>
      <c r="H1722" s="28"/>
      <c r="I1722" s="28"/>
      <c r="J1722" s="28"/>
      <c r="K1722" s="28"/>
      <c r="L1722" s="28"/>
      <c r="M1722" s="28"/>
      <c r="N1722" s="21"/>
      <c r="O1722" s="28"/>
      <c r="P1722" s="38"/>
      <c r="Q1722" s="21"/>
      <c r="R1722" s="21"/>
      <c r="S1722" s="47"/>
      <c r="T1722" s="25">
        <f t="shared" si="55"/>
        <v>0</v>
      </c>
      <c r="U1722" s="25" t="str">
        <f>IF('PART III-DEMOGRAPHICS'!Q1732="","",'PART III-DEMOGRAPHICS'!Q1732)</f>
        <v/>
      </c>
    </row>
    <row r="1723" spans="1:21">
      <c r="A1723" s="25" t="str">
        <f>IF('PART III-DEMOGRAPHICS'!A1733="","",'PART III-DEMOGRAPHICS'!A1733)</f>
        <v/>
      </c>
      <c r="B1723" s="28"/>
      <c r="C1723" s="27"/>
      <c r="D1723" s="28"/>
      <c r="E1723" s="21"/>
      <c r="F1723" s="36" t="str">
        <f t="shared" si="56"/>
        <v>Did Not</v>
      </c>
      <c r="G1723" s="28"/>
      <c r="H1723" s="28"/>
      <c r="I1723" s="28"/>
      <c r="J1723" s="28"/>
      <c r="K1723" s="28"/>
      <c r="L1723" s="28"/>
      <c r="M1723" s="28"/>
      <c r="N1723" s="21"/>
      <c r="O1723" s="28"/>
      <c r="P1723" s="38"/>
      <c r="Q1723" s="21"/>
      <c r="R1723" s="21"/>
      <c r="S1723" s="47"/>
      <c r="T1723" s="25">
        <f t="shared" si="55"/>
        <v>0</v>
      </c>
      <c r="U1723" s="25" t="str">
        <f>IF('PART III-DEMOGRAPHICS'!Q1733="","",'PART III-DEMOGRAPHICS'!Q1733)</f>
        <v/>
      </c>
    </row>
    <row r="1724" spans="1:21">
      <c r="A1724" s="25" t="str">
        <f>IF('PART III-DEMOGRAPHICS'!A1734="","",'PART III-DEMOGRAPHICS'!A1734)</f>
        <v/>
      </c>
      <c r="B1724" s="28"/>
      <c r="C1724" s="27"/>
      <c r="D1724" s="28"/>
      <c r="E1724" s="21"/>
      <c r="F1724" s="36" t="str">
        <f t="shared" si="56"/>
        <v>Did Not</v>
      </c>
      <c r="G1724" s="28"/>
      <c r="H1724" s="28"/>
      <c r="I1724" s="28"/>
      <c r="J1724" s="28"/>
      <c r="K1724" s="28"/>
      <c r="L1724" s="28"/>
      <c r="M1724" s="28"/>
      <c r="N1724" s="21"/>
      <c r="O1724" s="28"/>
      <c r="P1724" s="38"/>
      <c r="Q1724" s="21"/>
      <c r="R1724" s="21"/>
      <c r="S1724" s="47"/>
      <c r="T1724" s="25">
        <f t="shared" si="55"/>
        <v>0</v>
      </c>
      <c r="U1724" s="25" t="str">
        <f>IF('PART III-DEMOGRAPHICS'!Q1734="","",'PART III-DEMOGRAPHICS'!Q1734)</f>
        <v/>
      </c>
    </row>
    <row r="1725" spans="1:21">
      <c r="A1725" s="25" t="str">
        <f>IF('PART III-DEMOGRAPHICS'!A1735="","",'PART III-DEMOGRAPHICS'!A1735)</f>
        <v/>
      </c>
      <c r="B1725" s="28"/>
      <c r="C1725" s="27"/>
      <c r="D1725" s="28"/>
      <c r="E1725" s="21"/>
      <c r="F1725" s="36" t="str">
        <f t="shared" si="56"/>
        <v>Did Not</v>
      </c>
      <c r="G1725" s="28"/>
      <c r="H1725" s="28"/>
      <c r="I1725" s="28"/>
      <c r="J1725" s="28"/>
      <c r="K1725" s="28"/>
      <c r="L1725" s="28"/>
      <c r="M1725" s="28"/>
      <c r="N1725" s="21"/>
      <c r="O1725" s="28"/>
      <c r="P1725" s="38"/>
      <c r="Q1725" s="21"/>
      <c r="R1725" s="21"/>
      <c r="S1725" s="47"/>
      <c r="T1725" s="25">
        <f t="shared" si="55"/>
        <v>0</v>
      </c>
      <c r="U1725" s="25" t="str">
        <f>IF('PART III-DEMOGRAPHICS'!Q1735="","",'PART III-DEMOGRAPHICS'!Q1735)</f>
        <v/>
      </c>
    </row>
    <row r="1726" spans="1:21">
      <c r="A1726" s="25" t="str">
        <f>IF('PART III-DEMOGRAPHICS'!A1736="","",'PART III-DEMOGRAPHICS'!A1736)</f>
        <v/>
      </c>
      <c r="B1726" s="28"/>
      <c r="C1726" s="27"/>
      <c r="D1726" s="28"/>
      <c r="E1726" s="21"/>
      <c r="F1726" s="36" t="str">
        <f t="shared" si="56"/>
        <v>Did Not</v>
      </c>
      <c r="G1726" s="28"/>
      <c r="H1726" s="28"/>
      <c r="I1726" s="28"/>
      <c r="J1726" s="28"/>
      <c r="K1726" s="28"/>
      <c r="L1726" s="28"/>
      <c r="M1726" s="28"/>
      <c r="N1726" s="21"/>
      <c r="O1726" s="28"/>
      <c r="P1726" s="38"/>
      <c r="Q1726" s="21"/>
      <c r="R1726" s="21"/>
      <c r="S1726" s="47"/>
      <c r="T1726" s="25">
        <f t="shared" si="55"/>
        <v>0</v>
      </c>
      <c r="U1726" s="25" t="str">
        <f>IF('PART III-DEMOGRAPHICS'!Q1736="","",'PART III-DEMOGRAPHICS'!Q1736)</f>
        <v/>
      </c>
    </row>
    <row r="1727" spans="1:21">
      <c r="A1727" s="25" t="str">
        <f>IF('PART III-DEMOGRAPHICS'!A1737="","",'PART III-DEMOGRAPHICS'!A1737)</f>
        <v/>
      </c>
      <c r="B1727" s="28"/>
      <c r="C1727" s="27"/>
      <c r="D1727" s="28"/>
      <c r="E1727" s="21"/>
      <c r="F1727" s="36" t="str">
        <f t="shared" si="56"/>
        <v>Did Not</v>
      </c>
      <c r="G1727" s="28"/>
      <c r="H1727" s="28"/>
      <c r="I1727" s="28"/>
      <c r="J1727" s="28"/>
      <c r="K1727" s="28"/>
      <c r="L1727" s="28"/>
      <c r="M1727" s="28"/>
      <c r="N1727" s="21"/>
      <c r="O1727" s="28"/>
      <c r="P1727" s="38"/>
      <c r="Q1727" s="21"/>
      <c r="R1727" s="21"/>
      <c r="S1727" s="47"/>
      <c r="T1727" s="25">
        <f t="shared" si="55"/>
        <v>0</v>
      </c>
      <c r="U1727" s="25" t="str">
        <f>IF('PART III-DEMOGRAPHICS'!Q1737="","",'PART III-DEMOGRAPHICS'!Q1737)</f>
        <v/>
      </c>
    </row>
    <row r="1728" spans="1:21">
      <c r="A1728" s="25" t="str">
        <f>IF('PART III-DEMOGRAPHICS'!A1738="","",'PART III-DEMOGRAPHICS'!A1738)</f>
        <v/>
      </c>
      <c r="B1728" s="28"/>
      <c r="C1728" s="27"/>
      <c r="D1728" s="28"/>
      <c r="E1728" s="21"/>
      <c r="F1728" s="36" t="str">
        <f t="shared" si="56"/>
        <v>Did Not</v>
      </c>
      <c r="G1728" s="28"/>
      <c r="H1728" s="28"/>
      <c r="I1728" s="28"/>
      <c r="J1728" s="28"/>
      <c r="K1728" s="28"/>
      <c r="L1728" s="28"/>
      <c r="M1728" s="28"/>
      <c r="N1728" s="21"/>
      <c r="O1728" s="28"/>
      <c r="P1728" s="38"/>
      <c r="Q1728" s="21"/>
      <c r="R1728" s="21"/>
      <c r="S1728" s="47"/>
      <c r="T1728" s="25">
        <f t="shared" si="55"/>
        <v>0</v>
      </c>
      <c r="U1728" s="25" t="str">
        <f>IF('PART III-DEMOGRAPHICS'!Q1738="","",'PART III-DEMOGRAPHICS'!Q1738)</f>
        <v/>
      </c>
    </row>
    <row r="1729" spans="1:21">
      <c r="A1729" s="25" t="str">
        <f>IF('PART III-DEMOGRAPHICS'!A1739="","",'PART III-DEMOGRAPHICS'!A1739)</f>
        <v/>
      </c>
      <c r="B1729" s="28"/>
      <c r="C1729" s="27"/>
      <c r="D1729" s="28"/>
      <c r="E1729" s="21"/>
      <c r="F1729" s="36" t="str">
        <f t="shared" si="56"/>
        <v>Did Not</v>
      </c>
      <c r="G1729" s="28"/>
      <c r="H1729" s="28"/>
      <c r="I1729" s="28"/>
      <c r="J1729" s="28"/>
      <c r="K1729" s="28"/>
      <c r="L1729" s="28"/>
      <c r="M1729" s="28"/>
      <c r="N1729" s="21"/>
      <c r="O1729" s="28"/>
      <c r="P1729" s="38"/>
      <c r="Q1729" s="21"/>
      <c r="R1729" s="21"/>
      <c r="S1729" s="47"/>
      <c r="T1729" s="25">
        <f t="shared" si="55"/>
        <v>0</v>
      </c>
      <c r="U1729" s="25" t="str">
        <f>IF('PART III-DEMOGRAPHICS'!Q1739="","",'PART III-DEMOGRAPHICS'!Q1739)</f>
        <v/>
      </c>
    </row>
    <row r="1730" spans="1:21">
      <c r="A1730" s="25" t="str">
        <f>IF('PART III-DEMOGRAPHICS'!A1740="","",'PART III-DEMOGRAPHICS'!A1740)</f>
        <v/>
      </c>
      <c r="B1730" s="28"/>
      <c r="C1730" s="27"/>
      <c r="D1730" s="28"/>
      <c r="E1730" s="21"/>
      <c r="F1730" s="36" t="str">
        <f t="shared" si="56"/>
        <v>Did Not</v>
      </c>
      <c r="G1730" s="28"/>
      <c r="H1730" s="28"/>
      <c r="I1730" s="28"/>
      <c r="J1730" s="28"/>
      <c r="K1730" s="28"/>
      <c r="L1730" s="28"/>
      <c r="M1730" s="28"/>
      <c r="N1730" s="21"/>
      <c r="O1730" s="28"/>
      <c r="P1730" s="38"/>
      <c r="Q1730" s="21"/>
      <c r="R1730" s="21"/>
      <c r="S1730" s="47"/>
      <c r="T1730" s="25">
        <f t="shared" si="55"/>
        <v>0</v>
      </c>
      <c r="U1730" s="25" t="str">
        <f>IF('PART III-DEMOGRAPHICS'!Q1740="","",'PART III-DEMOGRAPHICS'!Q1740)</f>
        <v/>
      </c>
    </row>
    <row r="1731" spans="1:21">
      <c r="A1731" s="25" t="str">
        <f>IF('PART III-DEMOGRAPHICS'!A1741="","",'PART III-DEMOGRAPHICS'!A1741)</f>
        <v/>
      </c>
      <c r="B1731" s="28"/>
      <c r="C1731" s="27"/>
      <c r="D1731" s="28"/>
      <c r="E1731" s="21"/>
      <c r="F1731" s="36" t="str">
        <f t="shared" si="56"/>
        <v>Did Not</v>
      </c>
      <c r="G1731" s="28"/>
      <c r="H1731" s="28"/>
      <c r="I1731" s="28"/>
      <c r="J1731" s="28"/>
      <c r="K1731" s="28"/>
      <c r="L1731" s="28"/>
      <c r="M1731" s="28"/>
      <c r="N1731" s="21"/>
      <c r="O1731" s="28"/>
      <c r="P1731" s="38"/>
      <c r="Q1731" s="21"/>
      <c r="R1731" s="21"/>
      <c r="S1731" s="47"/>
      <c r="T1731" s="25">
        <f t="shared" si="55"/>
        <v>0</v>
      </c>
      <c r="U1731" s="25" t="str">
        <f>IF('PART III-DEMOGRAPHICS'!Q1741="","",'PART III-DEMOGRAPHICS'!Q1741)</f>
        <v/>
      </c>
    </row>
    <row r="1732" spans="1:21">
      <c r="A1732" s="25" t="str">
        <f>IF('PART III-DEMOGRAPHICS'!A1742="","",'PART III-DEMOGRAPHICS'!A1742)</f>
        <v/>
      </c>
      <c r="B1732" s="28"/>
      <c r="C1732" s="27"/>
      <c r="D1732" s="28"/>
      <c r="E1732" s="21"/>
      <c r="F1732" s="36" t="str">
        <f t="shared" si="56"/>
        <v>Did Not</v>
      </c>
      <c r="G1732" s="28"/>
      <c r="H1732" s="28"/>
      <c r="I1732" s="28"/>
      <c r="J1732" s="28"/>
      <c r="K1732" s="28"/>
      <c r="L1732" s="28"/>
      <c r="M1732" s="28"/>
      <c r="N1732" s="21"/>
      <c r="O1732" s="28"/>
      <c r="P1732" s="38"/>
      <c r="Q1732" s="21"/>
      <c r="R1732" s="21"/>
      <c r="S1732" s="47"/>
      <c r="T1732" s="25">
        <f t="shared" si="55"/>
        <v>0</v>
      </c>
      <c r="U1732" s="25" t="str">
        <f>IF('PART III-DEMOGRAPHICS'!Q1742="","",'PART III-DEMOGRAPHICS'!Q1742)</f>
        <v/>
      </c>
    </row>
    <row r="1733" spans="1:21">
      <c r="A1733" s="25" t="str">
        <f>IF('PART III-DEMOGRAPHICS'!A1743="","",'PART III-DEMOGRAPHICS'!A1743)</f>
        <v/>
      </c>
      <c r="B1733" s="28"/>
      <c r="C1733" s="27"/>
      <c r="D1733" s="28"/>
      <c r="E1733" s="21"/>
      <c r="F1733" s="36" t="str">
        <f t="shared" si="56"/>
        <v>Did Not</v>
      </c>
      <c r="G1733" s="28"/>
      <c r="H1733" s="28"/>
      <c r="I1733" s="28"/>
      <c r="J1733" s="28"/>
      <c r="K1733" s="28"/>
      <c r="L1733" s="28"/>
      <c r="M1733" s="28"/>
      <c r="N1733" s="21"/>
      <c r="O1733" s="28"/>
      <c r="P1733" s="38"/>
      <c r="Q1733" s="21"/>
      <c r="R1733" s="21"/>
      <c r="S1733" s="47"/>
      <c r="T1733" s="25">
        <f t="shared" si="55"/>
        <v>0</v>
      </c>
      <c r="U1733" s="25" t="str">
        <f>IF('PART III-DEMOGRAPHICS'!Q1743="","",'PART III-DEMOGRAPHICS'!Q1743)</f>
        <v/>
      </c>
    </row>
    <row r="1734" spans="1:21">
      <c r="A1734" s="25" t="str">
        <f>IF('PART III-DEMOGRAPHICS'!A1744="","",'PART III-DEMOGRAPHICS'!A1744)</f>
        <v/>
      </c>
      <c r="B1734" s="28"/>
      <c r="C1734" s="27"/>
      <c r="D1734" s="28"/>
      <c r="E1734" s="21"/>
      <c r="F1734" s="36" t="str">
        <f t="shared" si="56"/>
        <v>Did Not</v>
      </c>
      <c r="G1734" s="28"/>
      <c r="H1734" s="28"/>
      <c r="I1734" s="28"/>
      <c r="J1734" s="28"/>
      <c r="K1734" s="28"/>
      <c r="L1734" s="28"/>
      <c r="M1734" s="28"/>
      <c r="N1734" s="21"/>
      <c r="O1734" s="28"/>
      <c r="P1734" s="38"/>
      <c r="Q1734" s="21"/>
      <c r="R1734" s="21"/>
      <c r="S1734" s="47"/>
      <c r="T1734" s="25">
        <f t="shared" si="55"/>
        <v>0</v>
      </c>
      <c r="U1734" s="25" t="str">
        <f>IF('PART III-DEMOGRAPHICS'!Q1744="","",'PART III-DEMOGRAPHICS'!Q1744)</f>
        <v/>
      </c>
    </row>
    <row r="1735" spans="1:21">
      <c r="A1735" s="25" t="str">
        <f>IF('PART III-DEMOGRAPHICS'!A1745="","",'PART III-DEMOGRAPHICS'!A1745)</f>
        <v/>
      </c>
      <c r="B1735" s="28"/>
      <c r="C1735" s="27"/>
      <c r="D1735" s="28"/>
      <c r="E1735" s="21"/>
      <c r="F1735" s="36" t="str">
        <f t="shared" si="56"/>
        <v>Did Not</v>
      </c>
      <c r="G1735" s="28"/>
      <c r="H1735" s="28"/>
      <c r="I1735" s="28"/>
      <c r="J1735" s="28"/>
      <c r="K1735" s="28"/>
      <c r="L1735" s="28"/>
      <c r="M1735" s="28"/>
      <c r="N1735" s="21"/>
      <c r="O1735" s="28"/>
      <c r="P1735" s="38"/>
      <c r="Q1735" s="21"/>
      <c r="R1735" s="21"/>
      <c r="S1735" s="47"/>
      <c r="T1735" s="25">
        <f t="shared" ref="T1735:T1798" si="57">COUNTIF(A1735:R1735,"Yes")</f>
        <v>0</v>
      </c>
      <c r="U1735" s="25" t="str">
        <f>IF('PART III-DEMOGRAPHICS'!Q1745="","",'PART III-DEMOGRAPHICS'!Q1745)</f>
        <v/>
      </c>
    </row>
    <row r="1736" spans="1:21">
      <c r="A1736" s="25" t="str">
        <f>IF('PART III-DEMOGRAPHICS'!A1746="","",'PART III-DEMOGRAPHICS'!A1746)</f>
        <v/>
      </c>
      <c r="B1736" s="28"/>
      <c r="C1736" s="27"/>
      <c r="D1736" s="28"/>
      <c r="E1736" s="21"/>
      <c r="F1736" s="36" t="str">
        <f t="shared" si="56"/>
        <v>Did Not</v>
      </c>
      <c r="G1736" s="28"/>
      <c r="H1736" s="28"/>
      <c r="I1736" s="28"/>
      <c r="J1736" s="28"/>
      <c r="K1736" s="28"/>
      <c r="L1736" s="28"/>
      <c r="M1736" s="28"/>
      <c r="N1736" s="21"/>
      <c r="O1736" s="28"/>
      <c r="P1736" s="38"/>
      <c r="Q1736" s="21"/>
      <c r="R1736" s="21"/>
      <c r="S1736" s="47"/>
      <c r="T1736" s="25">
        <f t="shared" si="57"/>
        <v>0</v>
      </c>
      <c r="U1736" s="25" t="str">
        <f>IF('PART III-DEMOGRAPHICS'!Q1746="","",'PART III-DEMOGRAPHICS'!Q1746)</f>
        <v/>
      </c>
    </row>
    <row r="1737" spans="1:21">
      <c r="A1737" s="25" t="str">
        <f>IF('PART III-DEMOGRAPHICS'!A1747="","",'PART III-DEMOGRAPHICS'!A1747)</f>
        <v/>
      </c>
      <c r="B1737" s="28"/>
      <c r="C1737" s="27"/>
      <c r="D1737" s="28"/>
      <c r="E1737" s="21"/>
      <c r="F1737" s="36" t="str">
        <f t="shared" si="56"/>
        <v>Did Not</v>
      </c>
      <c r="G1737" s="28"/>
      <c r="H1737" s="28"/>
      <c r="I1737" s="28"/>
      <c r="J1737" s="28"/>
      <c r="K1737" s="28"/>
      <c r="L1737" s="28"/>
      <c r="M1737" s="28"/>
      <c r="N1737" s="21"/>
      <c r="O1737" s="28"/>
      <c r="P1737" s="38"/>
      <c r="Q1737" s="21"/>
      <c r="R1737" s="21"/>
      <c r="S1737" s="47"/>
      <c r="T1737" s="25">
        <f t="shared" si="57"/>
        <v>0</v>
      </c>
      <c r="U1737" s="25" t="str">
        <f>IF('PART III-DEMOGRAPHICS'!Q1747="","",'PART III-DEMOGRAPHICS'!Q1747)</f>
        <v/>
      </c>
    </row>
    <row r="1738" spans="1:21">
      <c r="A1738" s="25" t="str">
        <f>IF('PART III-DEMOGRAPHICS'!A1748="","",'PART III-DEMOGRAPHICS'!A1748)</f>
        <v/>
      </c>
      <c r="B1738" s="28"/>
      <c r="C1738" s="27"/>
      <c r="D1738" s="28"/>
      <c r="E1738" s="21"/>
      <c r="F1738" s="36" t="str">
        <f t="shared" si="56"/>
        <v>Did Not</v>
      </c>
      <c r="G1738" s="28"/>
      <c r="H1738" s="28"/>
      <c r="I1738" s="28"/>
      <c r="J1738" s="28"/>
      <c r="K1738" s="28"/>
      <c r="L1738" s="28"/>
      <c r="M1738" s="28"/>
      <c r="N1738" s="21"/>
      <c r="O1738" s="28"/>
      <c r="P1738" s="38"/>
      <c r="Q1738" s="21"/>
      <c r="R1738" s="21"/>
      <c r="S1738" s="47"/>
      <c r="T1738" s="25">
        <f t="shared" si="57"/>
        <v>0</v>
      </c>
      <c r="U1738" s="25" t="str">
        <f>IF('PART III-DEMOGRAPHICS'!Q1748="","",'PART III-DEMOGRAPHICS'!Q1748)</f>
        <v/>
      </c>
    </row>
    <row r="1739" spans="1:21">
      <c r="A1739" s="25" t="str">
        <f>IF('PART III-DEMOGRAPHICS'!A1749="","",'PART III-DEMOGRAPHICS'!A1749)</f>
        <v/>
      </c>
      <c r="B1739" s="28"/>
      <c r="C1739" s="27"/>
      <c r="D1739" s="28"/>
      <c r="E1739" s="21"/>
      <c r="F1739" s="36" t="str">
        <f t="shared" si="56"/>
        <v>Did Not</v>
      </c>
      <c r="G1739" s="28"/>
      <c r="H1739" s="28"/>
      <c r="I1739" s="28"/>
      <c r="J1739" s="28"/>
      <c r="K1739" s="28"/>
      <c r="L1739" s="28"/>
      <c r="M1739" s="28"/>
      <c r="N1739" s="21"/>
      <c r="O1739" s="28"/>
      <c r="P1739" s="38"/>
      <c r="Q1739" s="21"/>
      <c r="R1739" s="21"/>
      <c r="S1739" s="47"/>
      <c r="T1739" s="25">
        <f t="shared" si="57"/>
        <v>0</v>
      </c>
      <c r="U1739" s="25" t="str">
        <f>IF('PART III-DEMOGRAPHICS'!Q1749="","",'PART III-DEMOGRAPHICS'!Q1749)</f>
        <v/>
      </c>
    </row>
    <row r="1740" spans="1:21">
      <c r="A1740" s="25" t="str">
        <f>IF('PART III-DEMOGRAPHICS'!A1750="","",'PART III-DEMOGRAPHICS'!A1750)</f>
        <v/>
      </c>
      <c r="B1740" s="28"/>
      <c r="C1740" s="27"/>
      <c r="D1740" s="28"/>
      <c r="E1740" s="21"/>
      <c r="F1740" s="36" t="str">
        <f t="shared" si="56"/>
        <v>Did Not</v>
      </c>
      <c r="G1740" s="28"/>
      <c r="H1740" s="28"/>
      <c r="I1740" s="28"/>
      <c r="J1740" s="28"/>
      <c r="K1740" s="28"/>
      <c r="L1740" s="28"/>
      <c r="M1740" s="28"/>
      <c r="N1740" s="21"/>
      <c r="O1740" s="28"/>
      <c r="P1740" s="38"/>
      <c r="Q1740" s="21"/>
      <c r="R1740" s="21"/>
      <c r="S1740" s="47"/>
      <c r="T1740" s="25">
        <f t="shared" si="57"/>
        <v>0</v>
      </c>
      <c r="U1740" s="25" t="str">
        <f>IF('PART III-DEMOGRAPHICS'!Q1750="","",'PART III-DEMOGRAPHICS'!Q1750)</f>
        <v/>
      </c>
    </row>
    <row r="1741" spans="1:21">
      <c r="A1741" s="25" t="str">
        <f>IF('PART III-DEMOGRAPHICS'!A1751="","",'PART III-DEMOGRAPHICS'!A1751)</f>
        <v/>
      </c>
      <c r="B1741" s="28"/>
      <c r="C1741" s="27"/>
      <c r="D1741" s="28"/>
      <c r="E1741" s="21"/>
      <c r="F1741" s="36" t="str">
        <f t="shared" si="56"/>
        <v>Did Not</v>
      </c>
      <c r="G1741" s="28"/>
      <c r="H1741" s="28"/>
      <c r="I1741" s="28"/>
      <c r="J1741" s="28"/>
      <c r="K1741" s="28"/>
      <c r="L1741" s="28"/>
      <c r="M1741" s="28"/>
      <c r="N1741" s="21"/>
      <c r="O1741" s="28"/>
      <c r="P1741" s="38"/>
      <c r="Q1741" s="21"/>
      <c r="R1741" s="21"/>
      <c r="S1741" s="47"/>
      <c r="T1741" s="25">
        <f t="shared" si="57"/>
        <v>0</v>
      </c>
      <c r="U1741" s="25" t="str">
        <f>IF('PART III-DEMOGRAPHICS'!Q1751="","",'PART III-DEMOGRAPHICS'!Q1751)</f>
        <v/>
      </c>
    </row>
    <row r="1742" spans="1:21">
      <c r="A1742" s="25" t="str">
        <f>IF('PART III-DEMOGRAPHICS'!A1752="","",'PART III-DEMOGRAPHICS'!A1752)</f>
        <v/>
      </c>
      <c r="B1742" s="28"/>
      <c r="C1742" s="27"/>
      <c r="D1742" s="28"/>
      <c r="E1742" s="21"/>
      <c r="F1742" s="36" t="str">
        <f t="shared" ref="F1742:F1805" si="58">IF(OR(G1742="Yes",H1742="Yes",I1742="Yes",J1742="Yes",K1742="Yes",L1742="Yes",M1742="Yes"),"Did","Did Not")</f>
        <v>Did Not</v>
      </c>
      <c r="G1742" s="28"/>
      <c r="H1742" s="28"/>
      <c r="I1742" s="28"/>
      <c r="J1742" s="28"/>
      <c r="K1742" s="28"/>
      <c r="L1742" s="28"/>
      <c r="M1742" s="28"/>
      <c r="N1742" s="21"/>
      <c r="O1742" s="28"/>
      <c r="P1742" s="38"/>
      <c r="Q1742" s="21"/>
      <c r="R1742" s="21"/>
      <c r="S1742" s="47"/>
      <c r="T1742" s="25">
        <f t="shared" si="57"/>
        <v>0</v>
      </c>
      <c r="U1742" s="25" t="str">
        <f>IF('PART III-DEMOGRAPHICS'!Q1752="","",'PART III-DEMOGRAPHICS'!Q1752)</f>
        <v/>
      </c>
    </row>
    <row r="1743" spans="1:21">
      <c r="A1743" s="25" t="str">
        <f>IF('PART III-DEMOGRAPHICS'!A1753="","",'PART III-DEMOGRAPHICS'!A1753)</f>
        <v/>
      </c>
      <c r="B1743" s="28"/>
      <c r="C1743" s="27"/>
      <c r="D1743" s="28"/>
      <c r="E1743" s="21"/>
      <c r="F1743" s="36" t="str">
        <f t="shared" si="58"/>
        <v>Did Not</v>
      </c>
      <c r="G1743" s="28"/>
      <c r="H1743" s="28"/>
      <c r="I1743" s="28"/>
      <c r="J1743" s="28"/>
      <c r="K1743" s="28"/>
      <c r="L1743" s="28"/>
      <c r="M1743" s="28"/>
      <c r="N1743" s="21"/>
      <c r="O1743" s="28"/>
      <c r="P1743" s="38"/>
      <c r="Q1743" s="21"/>
      <c r="R1743" s="21"/>
      <c r="S1743" s="47"/>
      <c r="T1743" s="25">
        <f t="shared" si="57"/>
        <v>0</v>
      </c>
      <c r="U1743" s="25" t="str">
        <f>IF('PART III-DEMOGRAPHICS'!Q1753="","",'PART III-DEMOGRAPHICS'!Q1753)</f>
        <v/>
      </c>
    </row>
    <row r="1744" spans="1:21">
      <c r="A1744" s="25" t="str">
        <f>IF('PART III-DEMOGRAPHICS'!A1754="","",'PART III-DEMOGRAPHICS'!A1754)</f>
        <v/>
      </c>
      <c r="B1744" s="28"/>
      <c r="C1744" s="27"/>
      <c r="D1744" s="28"/>
      <c r="E1744" s="21"/>
      <c r="F1744" s="36" t="str">
        <f t="shared" si="58"/>
        <v>Did Not</v>
      </c>
      <c r="G1744" s="28"/>
      <c r="H1744" s="28"/>
      <c r="I1744" s="28"/>
      <c r="J1744" s="28"/>
      <c r="K1744" s="28"/>
      <c r="L1744" s="28"/>
      <c r="M1744" s="28"/>
      <c r="N1744" s="21"/>
      <c r="O1744" s="28"/>
      <c r="P1744" s="38"/>
      <c r="Q1744" s="21"/>
      <c r="R1744" s="21"/>
      <c r="S1744" s="47"/>
      <c r="T1744" s="25">
        <f t="shared" si="57"/>
        <v>0</v>
      </c>
      <c r="U1744" s="25" t="str">
        <f>IF('PART III-DEMOGRAPHICS'!Q1754="","",'PART III-DEMOGRAPHICS'!Q1754)</f>
        <v/>
      </c>
    </row>
    <row r="1745" spans="1:21">
      <c r="A1745" s="25" t="str">
        <f>IF('PART III-DEMOGRAPHICS'!A1755="","",'PART III-DEMOGRAPHICS'!A1755)</f>
        <v/>
      </c>
      <c r="B1745" s="28"/>
      <c r="C1745" s="27"/>
      <c r="D1745" s="28"/>
      <c r="E1745" s="21"/>
      <c r="F1745" s="36" t="str">
        <f t="shared" si="58"/>
        <v>Did Not</v>
      </c>
      <c r="G1745" s="28"/>
      <c r="H1745" s="28"/>
      <c r="I1745" s="28"/>
      <c r="J1745" s="28"/>
      <c r="K1745" s="28"/>
      <c r="L1745" s="28"/>
      <c r="M1745" s="28"/>
      <c r="N1745" s="21"/>
      <c r="O1745" s="28"/>
      <c r="P1745" s="38"/>
      <c r="Q1745" s="21"/>
      <c r="R1745" s="21"/>
      <c r="S1745" s="47"/>
      <c r="T1745" s="25">
        <f t="shared" si="57"/>
        <v>0</v>
      </c>
      <c r="U1745" s="25" t="str">
        <f>IF('PART III-DEMOGRAPHICS'!Q1755="","",'PART III-DEMOGRAPHICS'!Q1755)</f>
        <v/>
      </c>
    </row>
    <row r="1746" spans="1:21">
      <c r="A1746" s="25" t="str">
        <f>IF('PART III-DEMOGRAPHICS'!A1756="","",'PART III-DEMOGRAPHICS'!A1756)</f>
        <v/>
      </c>
      <c r="B1746" s="28"/>
      <c r="C1746" s="27"/>
      <c r="D1746" s="28"/>
      <c r="E1746" s="21"/>
      <c r="F1746" s="36" t="str">
        <f t="shared" si="58"/>
        <v>Did Not</v>
      </c>
      <c r="G1746" s="28"/>
      <c r="H1746" s="28"/>
      <c r="I1746" s="28"/>
      <c r="J1746" s="28"/>
      <c r="K1746" s="28"/>
      <c r="L1746" s="28"/>
      <c r="M1746" s="28"/>
      <c r="N1746" s="21"/>
      <c r="O1746" s="28"/>
      <c r="P1746" s="38"/>
      <c r="Q1746" s="21"/>
      <c r="R1746" s="21"/>
      <c r="S1746" s="47"/>
      <c r="T1746" s="25">
        <f t="shared" si="57"/>
        <v>0</v>
      </c>
      <c r="U1746" s="25" t="str">
        <f>IF('PART III-DEMOGRAPHICS'!Q1756="","",'PART III-DEMOGRAPHICS'!Q1756)</f>
        <v/>
      </c>
    </row>
    <row r="1747" spans="1:21">
      <c r="A1747" s="25" t="str">
        <f>IF('PART III-DEMOGRAPHICS'!A1757="","",'PART III-DEMOGRAPHICS'!A1757)</f>
        <v/>
      </c>
      <c r="B1747" s="28"/>
      <c r="C1747" s="27"/>
      <c r="D1747" s="28"/>
      <c r="E1747" s="21"/>
      <c r="F1747" s="36" t="str">
        <f t="shared" si="58"/>
        <v>Did Not</v>
      </c>
      <c r="G1747" s="28"/>
      <c r="H1747" s="28"/>
      <c r="I1747" s="28"/>
      <c r="J1747" s="28"/>
      <c r="K1747" s="28"/>
      <c r="L1747" s="28"/>
      <c r="M1747" s="28"/>
      <c r="N1747" s="21"/>
      <c r="O1747" s="28"/>
      <c r="P1747" s="38"/>
      <c r="Q1747" s="21"/>
      <c r="R1747" s="21"/>
      <c r="S1747" s="47"/>
      <c r="T1747" s="25">
        <f t="shared" si="57"/>
        <v>0</v>
      </c>
      <c r="U1747" s="25" t="str">
        <f>IF('PART III-DEMOGRAPHICS'!Q1757="","",'PART III-DEMOGRAPHICS'!Q1757)</f>
        <v/>
      </c>
    </row>
    <row r="1748" spans="1:21">
      <c r="A1748" s="25" t="str">
        <f>IF('PART III-DEMOGRAPHICS'!A1758="","",'PART III-DEMOGRAPHICS'!A1758)</f>
        <v/>
      </c>
      <c r="B1748" s="28"/>
      <c r="C1748" s="27"/>
      <c r="D1748" s="28"/>
      <c r="E1748" s="21"/>
      <c r="F1748" s="36" t="str">
        <f t="shared" si="58"/>
        <v>Did Not</v>
      </c>
      <c r="G1748" s="28"/>
      <c r="H1748" s="28"/>
      <c r="I1748" s="28"/>
      <c r="J1748" s="28"/>
      <c r="K1748" s="28"/>
      <c r="L1748" s="28"/>
      <c r="M1748" s="28"/>
      <c r="N1748" s="21"/>
      <c r="O1748" s="28"/>
      <c r="P1748" s="38"/>
      <c r="Q1748" s="21"/>
      <c r="R1748" s="21"/>
      <c r="S1748" s="47"/>
      <c r="T1748" s="25">
        <f t="shared" si="57"/>
        <v>0</v>
      </c>
      <c r="U1748" s="25" t="str">
        <f>IF('PART III-DEMOGRAPHICS'!Q1758="","",'PART III-DEMOGRAPHICS'!Q1758)</f>
        <v/>
      </c>
    </row>
    <row r="1749" spans="1:21">
      <c r="A1749" s="25" t="str">
        <f>IF('PART III-DEMOGRAPHICS'!A1759="","",'PART III-DEMOGRAPHICS'!A1759)</f>
        <v/>
      </c>
      <c r="B1749" s="28"/>
      <c r="C1749" s="27"/>
      <c r="D1749" s="28"/>
      <c r="E1749" s="21"/>
      <c r="F1749" s="36" t="str">
        <f t="shared" si="58"/>
        <v>Did Not</v>
      </c>
      <c r="G1749" s="28"/>
      <c r="H1749" s="28"/>
      <c r="I1749" s="28"/>
      <c r="J1749" s="28"/>
      <c r="K1749" s="28"/>
      <c r="L1749" s="28"/>
      <c r="M1749" s="28"/>
      <c r="N1749" s="21"/>
      <c r="O1749" s="28"/>
      <c r="P1749" s="38"/>
      <c r="Q1749" s="21"/>
      <c r="R1749" s="21"/>
      <c r="S1749" s="47"/>
      <c r="T1749" s="25">
        <f t="shared" si="57"/>
        <v>0</v>
      </c>
      <c r="U1749" s="25" t="str">
        <f>IF('PART III-DEMOGRAPHICS'!Q1759="","",'PART III-DEMOGRAPHICS'!Q1759)</f>
        <v/>
      </c>
    </row>
    <row r="1750" spans="1:21">
      <c r="A1750" s="25" t="str">
        <f>IF('PART III-DEMOGRAPHICS'!A1760="","",'PART III-DEMOGRAPHICS'!A1760)</f>
        <v/>
      </c>
      <c r="B1750" s="28"/>
      <c r="C1750" s="27"/>
      <c r="D1750" s="28"/>
      <c r="E1750" s="21"/>
      <c r="F1750" s="36" t="str">
        <f t="shared" si="58"/>
        <v>Did Not</v>
      </c>
      <c r="G1750" s="28"/>
      <c r="H1750" s="28"/>
      <c r="I1750" s="28"/>
      <c r="J1750" s="28"/>
      <c r="K1750" s="28"/>
      <c r="L1750" s="28"/>
      <c r="M1750" s="28"/>
      <c r="N1750" s="21"/>
      <c r="O1750" s="28"/>
      <c r="P1750" s="38"/>
      <c r="Q1750" s="21"/>
      <c r="R1750" s="21"/>
      <c r="S1750" s="47"/>
      <c r="T1750" s="25">
        <f t="shared" si="57"/>
        <v>0</v>
      </c>
      <c r="U1750" s="25" t="str">
        <f>IF('PART III-DEMOGRAPHICS'!Q1760="","",'PART III-DEMOGRAPHICS'!Q1760)</f>
        <v/>
      </c>
    </row>
    <row r="1751" spans="1:21">
      <c r="A1751" s="25" t="str">
        <f>IF('PART III-DEMOGRAPHICS'!A1761="","",'PART III-DEMOGRAPHICS'!A1761)</f>
        <v/>
      </c>
      <c r="B1751" s="28"/>
      <c r="C1751" s="27"/>
      <c r="D1751" s="28"/>
      <c r="E1751" s="21"/>
      <c r="F1751" s="36" t="str">
        <f t="shared" si="58"/>
        <v>Did Not</v>
      </c>
      <c r="G1751" s="28"/>
      <c r="H1751" s="28"/>
      <c r="I1751" s="28"/>
      <c r="J1751" s="28"/>
      <c r="K1751" s="28"/>
      <c r="L1751" s="28"/>
      <c r="M1751" s="28"/>
      <c r="N1751" s="21"/>
      <c r="O1751" s="28"/>
      <c r="P1751" s="38"/>
      <c r="Q1751" s="21"/>
      <c r="R1751" s="21"/>
      <c r="S1751" s="47"/>
      <c r="T1751" s="25">
        <f t="shared" si="57"/>
        <v>0</v>
      </c>
      <c r="U1751" s="25" t="str">
        <f>IF('PART III-DEMOGRAPHICS'!Q1761="","",'PART III-DEMOGRAPHICS'!Q1761)</f>
        <v/>
      </c>
    </row>
    <row r="1752" spans="1:21">
      <c r="A1752" s="25" t="str">
        <f>IF('PART III-DEMOGRAPHICS'!A1762="","",'PART III-DEMOGRAPHICS'!A1762)</f>
        <v/>
      </c>
      <c r="B1752" s="28"/>
      <c r="C1752" s="27"/>
      <c r="D1752" s="28"/>
      <c r="E1752" s="21"/>
      <c r="F1752" s="36" t="str">
        <f t="shared" si="58"/>
        <v>Did Not</v>
      </c>
      <c r="G1752" s="28"/>
      <c r="H1752" s="28"/>
      <c r="I1752" s="28"/>
      <c r="J1752" s="28"/>
      <c r="K1752" s="28"/>
      <c r="L1752" s="28"/>
      <c r="M1752" s="28"/>
      <c r="N1752" s="21"/>
      <c r="O1752" s="28"/>
      <c r="P1752" s="38"/>
      <c r="Q1752" s="21"/>
      <c r="R1752" s="21"/>
      <c r="S1752" s="47"/>
      <c r="T1752" s="25">
        <f t="shared" si="57"/>
        <v>0</v>
      </c>
      <c r="U1752" s="25" t="str">
        <f>IF('PART III-DEMOGRAPHICS'!Q1762="","",'PART III-DEMOGRAPHICS'!Q1762)</f>
        <v/>
      </c>
    </row>
    <row r="1753" spans="1:21">
      <c r="A1753" s="25" t="str">
        <f>IF('PART III-DEMOGRAPHICS'!A1763="","",'PART III-DEMOGRAPHICS'!A1763)</f>
        <v/>
      </c>
      <c r="B1753" s="28"/>
      <c r="C1753" s="27"/>
      <c r="D1753" s="28"/>
      <c r="E1753" s="21"/>
      <c r="F1753" s="36" t="str">
        <f t="shared" si="58"/>
        <v>Did Not</v>
      </c>
      <c r="G1753" s="28"/>
      <c r="H1753" s="28"/>
      <c r="I1753" s="28"/>
      <c r="J1753" s="28"/>
      <c r="K1753" s="28"/>
      <c r="L1753" s="28"/>
      <c r="M1753" s="28"/>
      <c r="N1753" s="21"/>
      <c r="O1753" s="28"/>
      <c r="P1753" s="38"/>
      <c r="Q1753" s="21"/>
      <c r="R1753" s="21"/>
      <c r="S1753" s="47"/>
      <c r="T1753" s="25">
        <f t="shared" si="57"/>
        <v>0</v>
      </c>
      <c r="U1753" s="25" t="str">
        <f>IF('PART III-DEMOGRAPHICS'!Q1763="","",'PART III-DEMOGRAPHICS'!Q1763)</f>
        <v/>
      </c>
    </row>
    <row r="1754" spans="1:21">
      <c r="A1754" s="25" t="str">
        <f>IF('PART III-DEMOGRAPHICS'!A1764="","",'PART III-DEMOGRAPHICS'!A1764)</f>
        <v/>
      </c>
      <c r="B1754" s="28"/>
      <c r="C1754" s="27"/>
      <c r="D1754" s="28"/>
      <c r="E1754" s="21"/>
      <c r="F1754" s="36" t="str">
        <f t="shared" si="58"/>
        <v>Did Not</v>
      </c>
      <c r="G1754" s="28"/>
      <c r="H1754" s="28"/>
      <c r="I1754" s="28"/>
      <c r="J1754" s="28"/>
      <c r="K1754" s="28"/>
      <c r="L1754" s="28"/>
      <c r="M1754" s="28"/>
      <c r="N1754" s="21"/>
      <c r="O1754" s="28"/>
      <c r="P1754" s="38"/>
      <c r="Q1754" s="21"/>
      <c r="R1754" s="21"/>
      <c r="S1754" s="47"/>
      <c r="T1754" s="25">
        <f t="shared" si="57"/>
        <v>0</v>
      </c>
      <c r="U1754" s="25" t="str">
        <f>IF('PART III-DEMOGRAPHICS'!Q1764="","",'PART III-DEMOGRAPHICS'!Q1764)</f>
        <v/>
      </c>
    </row>
    <row r="1755" spans="1:21">
      <c r="A1755" s="25" t="str">
        <f>IF('PART III-DEMOGRAPHICS'!A1765="","",'PART III-DEMOGRAPHICS'!A1765)</f>
        <v/>
      </c>
      <c r="B1755" s="28"/>
      <c r="C1755" s="27"/>
      <c r="D1755" s="28"/>
      <c r="E1755" s="21"/>
      <c r="F1755" s="36" t="str">
        <f t="shared" si="58"/>
        <v>Did Not</v>
      </c>
      <c r="G1755" s="28"/>
      <c r="H1755" s="28"/>
      <c r="I1755" s="28"/>
      <c r="J1755" s="28"/>
      <c r="K1755" s="28"/>
      <c r="L1755" s="28"/>
      <c r="M1755" s="28"/>
      <c r="N1755" s="21"/>
      <c r="O1755" s="28"/>
      <c r="P1755" s="38"/>
      <c r="Q1755" s="21"/>
      <c r="R1755" s="21"/>
      <c r="S1755" s="47"/>
      <c r="T1755" s="25">
        <f t="shared" si="57"/>
        <v>0</v>
      </c>
      <c r="U1755" s="25" t="str">
        <f>IF('PART III-DEMOGRAPHICS'!Q1765="","",'PART III-DEMOGRAPHICS'!Q1765)</f>
        <v/>
      </c>
    </row>
    <row r="1756" spans="1:21">
      <c r="A1756" s="25" t="str">
        <f>IF('PART III-DEMOGRAPHICS'!A1766="","",'PART III-DEMOGRAPHICS'!A1766)</f>
        <v/>
      </c>
      <c r="B1756" s="28"/>
      <c r="C1756" s="27"/>
      <c r="D1756" s="28"/>
      <c r="E1756" s="21"/>
      <c r="F1756" s="36" t="str">
        <f t="shared" si="58"/>
        <v>Did Not</v>
      </c>
      <c r="G1756" s="28"/>
      <c r="H1756" s="28"/>
      <c r="I1756" s="28"/>
      <c r="J1756" s="28"/>
      <c r="K1756" s="28"/>
      <c r="L1756" s="28"/>
      <c r="M1756" s="28"/>
      <c r="N1756" s="21"/>
      <c r="O1756" s="28"/>
      <c r="P1756" s="38"/>
      <c r="Q1756" s="21"/>
      <c r="R1756" s="21"/>
      <c r="S1756" s="47"/>
      <c r="T1756" s="25">
        <f t="shared" si="57"/>
        <v>0</v>
      </c>
      <c r="U1756" s="25" t="str">
        <f>IF('PART III-DEMOGRAPHICS'!Q1766="","",'PART III-DEMOGRAPHICS'!Q1766)</f>
        <v/>
      </c>
    </row>
    <row r="1757" spans="1:21">
      <c r="A1757" s="25" t="str">
        <f>IF('PART III-DEMOGRAPHICS'!A1767="","",'PART III-DEMOGRAPHICS'!A1767)</f>
        <v/>
      </c>
      <c r="B1757" s="28"/>
      <c r="C1757" s="27"/>
      <c r="D1757" s="28"/>
      <c r="E1757" s="21"/>
      <c r="F1757" s="36" t="str">
        <f t="shared" si="58"/>
        <v>Did Not</v>
      </c>
      <c r="G1757" s="28"/>
      <c r="H1757" s="28"/>
      <c r="I1757" s="28"/>
      <c r="J1757" s="28"/>
      <c r="K1757" s="28"/>
      <c r="L1757" s="28"/>
      <c r="M1757" s="28"/>
      <c r="N1757" s="21"/>
      <c r="O1757" s="28"/>
      <c r="P1757" s="38"/>
      <c r="Q1757" s="21"/>
      <c r="R1757" s="21"/>
      <c r="S1757" s="47"/>
      <c r="T1757" s="25">
        <f t="shared" si="57"/>
        <v>0</v>
      </c>
      <c r="U1757" s="25" t="str">
        <f>IF('PART III-DEMOGRAPHICS'!Q1767="","",'PART III-DEMOGRAPHICS'!Q1767)</f>
        <v/>
      </c>
    </row>
    <row r="1758" spans="1:21">
      <c r="A1758" s="25" t="str">
        <f>IF('PART III-DEMOGRAPHICS'!A1768="","",'PART III-DEMOGRAPHICS'!A1768)</f>
        <v/>
      </c>
      <c r="B1758" s="28"/>
      <c r="C1758" s="27"/>
      <c r="D1758" s="28"/>
      <c r="E1758" s="21"/>
      <c r="F1758" s="36" t="str">
        <f t="shared" si="58"/>
        <v>Did Not</v>
      </c>
      <c r="G1758" s="28"/>
      <c r="H1758" s="28"/>
      <c r="I1758" s="28"/>
      <c r="J1758" s="28"/>
      <c r="K1758" s="28"/>
      <c r="L1758" s="28"/>
      <c r="M1758" s="28"/>
      <c r="N1758" s="21"/>
      <c r="O1758" s="28"/>
      <c r="P1758" s="38"/>
      <c r="Q1758" s="21"/>
      <c r="R1758" s="21"/>
      <c r="S1758" s="47"/>
      <c r="T1758" s="25">
        <f t="shared" si="57"/>
        <v>0</v>
      </c>
      <c r="U1758" s="25" t="str">
        <f>IF('PART III-DEMOGRAPHICS'!Q1768="","",'PART III-DEMOGRAPHICS'!Q1768)</f>
        <v/>
      </c>
    </row>
    <row r="1759" spans="1:21">
      <c r="A1759" s="25" t="str">
        <f>IF('PART III-DEMOGRAPHICS'!A1769="","",'PART III-DEMOGRAPHICS'!A1769)</f>
        <v/>
      </c>
      <c r="B1759" s="28"/>
      <c r="C1759" s="27"/>
      <c r="D1759" s="28"/>
      <c r="E1759" s="21"/>
      <c r="F1759" s="36" t="str">
        <f t="shared" si="58"/>
        <v>Did Not</v>
      </c>
      <c r="G1759" s="28"/>
      <c r="H1759" s="28"/>
      <c r="I1759" s="28"/>
      <c r="J1759" s="28"/>
      <c r="K1759" s="28"/>
      <c r="L1759" s="28"/>
      <c r="M1759" s="28"/>
      <c r="N1759" s="21"/>
      <c r="O1759" s="28"/>
      <c r="P1759" s="38"/>
      <c r="Q1759" s="21"/>
      <c r="R1759" s="21"/>
      <c r="S1759" s="47"/>
      <c r="T1759" s="25">
        <f t="shared" si="57"/>
        <v>0</v>
      </c>
      <c r="U1759" s="25" t="str">
        <f>IF('PART III-DEMOGRAPHICS'!Q1769="","",'PART III-DEMOGRAPHICS'!Q1769)</f>
        <v/>
      </c>
    </row>
    <row r="1760" spans="1:21">
      <c r="A1760" s="25" t="str">
        <f>IF('PART III-DEMOGRAPHICS'!A1770="","",'PART III-DEMOGRAPHICS'!A1770)</f>
        <v/>
      </c>
      <c r="B1760" s="28"/>
      <c r="C1760" s="27"/>
      <c r="D1760" s="28"/>
      <c r="E1760" s="21"/>
      <c r="F1760" s="36" t="str">
        <f t="shared" si="58"/>
        <v>Did Not</v>
      </c>
      <c r="G1760" s="28"/>
      <c r="H1760" s="28"/>
      <c r="I1760" s="28"/>
      <c r="J1760" s="28"/>
      <c r="K1760" s="28"/>
      <c r="L1760" s="28"/>
      <c r="M1760" s="28"/>
      <c r="N1760" s="21"/>
      <c r="O1760" s="28"/>
      <c r="P1760" s="38"/>
      <c r="Q1760" s="21"/>
      <c r="R1760" s="21"/>
      <c r="S1760" s="47"/>
      <c r="T1760" s="25">
        <f t="shared" si="57"/>
        <v>0</v>
      </c>
      <c r="U1760" s="25" t="str">
        <f>IF('PART III-DEMOGRAPHICS'!Q1770="","",'PART III-DEMOGRAPHICS'!Q1770)</f>
        <v/>
      </c>
    </row>
    <row r="1761" spans="1:21">
      <c r="A1761" s="25" t="str">
        <f>IF('PART III-DEMOGRAPHICS'!A1771="","",'PART III-DEMOGRAPHICS'!A1771)</f>
        <v/>
      </c>
      <c r="B1761" s="28"/>
      <c r="C1761" s="27"/>
      <c r="D1761" s="28"/>
      <c r="E1761" s="21"/>
      <c r="F1761" s="36" t="str">
        <f t="shared" si="58"/>
        <v>Did Not</v>
      </c>
      <c r="G1761" s="28"/>
      <c r="H1761" s="28"/>
      <c r="I1761" s="28"/>
      <c r="J1761" s="28"/>
      <c r="K1761" s="28"/>
      <c r="L1761" s="28"/>
      <c r="M1761" s="28"/>
      <c r="N1761" s="21"/>
      <c r="O1761" s="28"/>
      <c r="P1761" s="38"/>
      <c r="Q1761" s="21"/>
      <c r="R1761" s="21"/>
      <c r="S1761" s="47"/>
      <c r="T1761" s="25">
        <f t="shared" si="57"/>
        <v>0</v>
      </c>
      <c r="U1761" s="25" t="str">
        <f>IF('PART III-DEMOGRAPHICS'!Q1771="","",'PART III-DEMOGRAPHICS'!Q1771)</f>
        <v/>
      </c>
    </row>
    <row r="1762" spans="1:21">
      <c r="A1762" s="25" t="str">
        <f>IF('PART III-DEMOGRAPHICS'!A1772="","",'PART III-DEMOGRAPHICS'!A1772)</f>
        <v/>
      </c>
      <c r="B1762" s="28"/>
      <c r="C1762" s="27"/>
      <c r="D1762" s="28"/>
      <c r="E1762" s="21"/>
      <c r="F1762" s="36" t="str">
        <f t="shared" si="58"/>
        <v>Did Not</v>
      </c>
      <c r="G1762" s="28"/>
      <c r="H1762" s="28"/>
      <c r="I1762" s="28"/>
      <c r="J1762" s="28"/>
      <c r="K1762" s="28"/>
      <c r="L1762" s="28"/>
      <c r="M1762" s="28"/>
      <c r="N1762" s="21"/>
      <c r="O1762" s="28"/>
      <c r="P1762" s="38"/>
      <c r="Q1762" s="21"/>
      <c r="R1762" s="21"/>
      <c r="S1762" s="47"/>
      <c r="T1762" s="25">
        <f t="shared" si="57"/>
        <v>0</v>
      </c>
      <c r="U1762" s="25" t="str">
        <f>IF('PART III-DEMOGRAPHICS'!Q1772="","",'PART III-DEMOGRAPHICS'!Q1772)</f>
        <v/>
      </c>
    </row>
    <row r="1763" spans="1:21">
      <c r="A1763" s="25" t="str">
        <f>IF('PART III-DEMOGRAPHICS'!A1773="","",'PART III-DEMOGRAPHICS'!A1773)</f>
        <v/>
      </c>
      <c r="B1763" s="28"/>
      <c r="C1763" s="27"/>
      <c r="D1763" s="28"/>
      <c r="E1763" s="21"/>
      <c r="F1763" s="36" t="str">
        <f t="shared" si="58"/>
        <v>Did Not</v>
      </c>
      <c r="G1763" s="28"/>
      <c r="H1763" s="28"/>
      <c r="I1763" s="28"/>
      <c r="J1763" s="28"/>
      <c r="K1763" s="28"/>
      <c r="L1763" s="28"/>
      <c r="M1763" s="28"/>
      <c r="N1763" s="21"/>
      <c r="O1763" s="28"/>
      <c r="P1763" s="38"/>
      <c r="Q1763" s="21"/>
      <c r="R1763" s="21"/>
      <c r="S1763" s="47"/>
      <c r="T1763" s="25">
        <f t="shared" si="57"/>
        <v>0</v>
      </c>
      <c r="U1763" s="25" t="str">
        <f>IF('PART III-DEMOGRAPHICS'!Q1773="","",'PART III-DEMOGRAPHICS'!Q1773)</f>
        <v/>
      </c>
    </row>
    <row r="1764" spans="1:21">
      <c r="A1764" s="25" t="str">
        <f>IF('PART III-DEMOGRAPHICS'!A1774="","",'PART III-DEMOGRAPHICS'!A1774)</f>
        <v/>
      </c>
      <c r="B1764" s="28"/>
      <c r="C1764" s="27"/>
      <c r="D1764" s="28"/>
      <c r="E1764" s="21"/>
      <c r="F1764" s="36" t="str">
        <f t="shared" si="58"/>
        <v>Did Not</v>
      </c>
      <c r="G1764" s="28"/>
      <c r="H1764" s="28"/>
      <c r="I1764" s="28"/>
      <c r="J1764" s="28"/>
      <c r="K1764" s="28"/>
      <c r="L1764" s="28"/>
      <c r="M1764" s="28"/>
      <c r="N1764" s="21"/>
      <c r="O1764" s="28"/>
      <c r="P1764" s="38"/>
      <c r="Q1764" s="21"/>
      <c r="R1764" s="21"/>
      <c r="S1764" s="47"/>
      <c r="T1764" s="25">
        <f t="shared" si="57"/>
        <v>0</v>
      </c>
      <c r="U1764" s="25" t="str">
        <f>IF('PART III-DEMOGRAPHICS'!Q1774="","",'PART III-DEMOGRAPHICS'!Q1774)</f>
        <v/>
      </c>
    </row>
    <row r="1765" spans="1:21">
      <c r="A1765" s="25" t="str">
        <f>IF('PART III-DEMOGRAPHICS'!A1775="","",'PART III-DEMOGRAPHICS'!A1775)</f>
        <v/>
      </c>
      <c r="B1765" s="28"/>
      <c r="C1765" s="27"/>
      <c r="D1765" s="28"/>
      <c r="E1765" s="21"/>
      <c r="F1765" s="36" t="str">
        <f t="shared" si="58"/>
        <v>Did Not</v>
      </c>
      <c r="G1765" s="28"/>
      <c r="H1765" s="28"/>
      <c r="I1765" s="28"/>
      <c r="J1765" s="28"/>
      <c r="K1765" s="28"/>
      <c r="L1765" s="28"/>
      <c r="M1765" s="28"/>
      <c r="N1765" s="21"/>
      <c r="O1765" s="28"/>
      <c r="P1765" s="38"/>
      <c r="Q1765" s="21"/>
      <c r="R1765" s="21"/>
      <c r="S1765" s="47"/>
      <c r="T1765" s="25">
        <f t="shared" si="57"/>
        <v>0</v>
      </c>
      <c r="U1765" s="25" t="str">
        <f>IF('PART III-DEMOGRAPHICS'!Q1775="","",'PART III-DEMOGRAPHICS'!Q1775)</f>
        <v/>
      </c>
    </row>
    <row r="1766" spans="1:21">
      <c r="A1766" s="25" t="str">
        <f>IF('PART III-DEMOGRAPHICS'!A1776="","",'PART III-DEMOGRAPHICS'!A1776)</f>
        <v/>
      </c>
      <c r="B1766" s="28"/>
      <c r="C1766" s="27"/>
      <c r="D1766" s="28"/>
      <c r="E1766" s="21"/>
      <c r="F1766" s="36" t="str">
        <f t="shared" si="58"/>
        <v>Did Not</v>
      </c>
      <c r="G1766" s="28"/>
      <c r="H1766" s="28"/>
      <c r="I1766" s="28"/>
      <c r="J1766" s="28"/>
      <c r="K1766" s="28"/>
      <c r="L1766" s="28"/>
      <c r="M1766" s="28"/>
      <c r="N1766" s="21"/>
      <c r="O1766" s="28"/>
      <c r="P1766" s="38"/>
      <c r="Q1766" s="21"/>
      <c r="R1766" s="21"/>
      <c r="S1766" s="47"/>
      <c r="T1766" s="25">
        <f t="shared" si="57"/>
        <v>0</v>
      </c>
      <c r="U1766" s="25" t="str">
        <f>IF('PART III-DEMOGRAPHICS'!Q1776="","",'PART III-DEMOGRAPHICS'!Q1776)</f>
        <v/>
      </c>
    </row>
    <row r="1767" spans="1:21">
      <c r="A1767" s="25" t="str">
        <f>IF('PART III-DEMOGRAPHICS'!A1777="","",'PART III-DEMOGRAPHICS'!A1777)</f>
        <v/>
      </c>
      <c r="B1767" s="28"/>
      <c r="C1767" s="27"/>
      <c r="D1767" s="28"/>
      <c r="E1767" s="21"/>
      <c r="F1767" s="36" t="str">
        <f t="shared" si="58"/>
        <v>Did Not</v>
      </c>
      <c r="G1767" s="28"/>
      <c r="H1767" s="28"/>
      <c r="I1767" s="28"/>
      <c r="J1767" s="28"/>
      <c r="K1767" s="28"/>
      <c r="L1767" s="28"/>
      <c r="M1767" s="28"/>
      <c r="N1767" s="21"/>
      <c r="O1767" s="28"/>
      <c r="P1767" s="38"/>
      <c r="Q1767" s="21"/>
      <c r="R1767" s="21"/>
      <c r="S1767" s="47"/>
      <c r="T1767" s="25">
        <f t="shared" si="57"/>
        <v>0</v>
      </c>
      <c r="U1767" s="25" t="str">
        <f>IF('PART III-DEMOGRAPHICS'!Q1777="","",'PART III-DEMOGRAPHICS'!Q1777)</f>
        <v/>
      </c>
    </row>
    <row r="1768" spans="1:21">
      <c r="A1768" s="25" t="str">
        <f>IF('PART III-DEMOGRAPHICS'!A1778="","",'PART III-DEMOGRAPHICS'!A1778)</f>
        <v/>
      </c>
      <c r="B1768" s="28"/>
      <c r="C1768" s="27"/>
      <c r="D1768" s="28"/>
      <c r="E1768" s="21"/>
      <c r="F1768" s="36" t="str">
        <f t="shared" si="58"/>
        <v>Did Not</v>
      </c>
      <c r="G1768" s="28"/>
      <c r="H1768" s="28"/>
      <c r="I1768" s="28"/>
      <c r="J1768" s="28"/>
      <c r="K1768" s="28"/>
      <c r="L1768" s="28"/>
      <c r="M1768" s="28"/>
      <c r="N1768" s="21"/>
      <c r="O1768" s="28"/>
      <c r="P1768" s="38"/>
      <c r="Q1768" s="21"/>
      <c r="R1768" s="21"/>
      <c r="S1768" s="47"/>
      <c r="T1768" s="25">
        <f t="shared" si="57"/>
        <v>0</v>
      </c>
      <c r="U1768" s="25" t="str">
        <f>IF('PART III-DEMOGRAPHICS'!Q1778="","",'PART III-DEMOGRAPHICS'!Q1778)</f>
        <v/>
      </c>
    </row>
    <row r="1769" spans="1:21">
      <c r="A1769" s="25" t="str">
        <f>IF('PART III-DEMOGRAPHICS'!A1779="","",'PART III-DEMOGRAPHICS'!A1779)</f>
        <v/>
      </c>
      <c r="B1769" s="28"/>
      <c r="C1769" s="27"/>
      <c r="D1769" s="28"/>
      <c r="E1769" s="21"/>
      <c r="F1769" s="36" t="str">
        <f t="shared" si="58"/>
        <v>Did Not</v>
      </c>
      <c r="G1769" s="28"/>
      <c r="H1769" s="28"/>
      <c r="I1769" s="28"/>
      <c r="J1769" s="28"/>
      <c r="K1769" s="28"/>
      <c r="L1769" s="28"/>
      <c r="M1769" s="28"/>
      <c r="N1769" s="21"/>
      <c r="O1769" s="28"/>
      <c r="P1769" s="38"/>
      <c r="Q1769" s="21"/>
      <c r="R1769" s="21"/>
      <c r="S1769" s="47"/>
      <c r="T1769" s="25">
        <f t="shared" si="57"/>
        <v>0</v>
      </c>
      <c r="U1769" s="25" t="str">
        <f>IF('PART III-DEMOGRAPHICS'!Q1779="","",'PART III-DEMOGRAPHICS'!Q1779)</f>
        <v/>
      </c>
    </row>
    <row r="1770" spans="1:21">
      <c r="A1770" s="25" t="str">
        <f>IF('PART III-DEMOGRAPHICS'!A1780="","",'PART III-DEMOGRAPHICS'!A1780)</f>
        <v/>
      </c>
      <c r="B1770" s="28"/>
      <c r="C1770" s="27"/>
      <c r="D1770" s="28"/>
      <c r="E1770" s="21"/>
      <c r="F1770" s="36" t="str">
        <f t="shared" si="58"/>
        <v>Did Not</v>
      </c>
      <c r="G1770" s="28"/>
      <c r="H1770" s="28"/>
      <c r="I1770" s="28"/>
      <c r="J1770" s="28"/>
      <c r="K1770" s="28"/>
      <c r="L1770" s="28"/>
      <c r="M1770" s="28"/>
      <c r="N1770" s="21"/>
      <c r="O1770" s="28"/>
      <c r="P1770" s="38"/>
      <c r="Q1770" s="21"/>
      <c r="R1770" s="21"/>
      <c r="S1770" s="47"/>
      <c r="T1770" s="25">
        <f t="shared" si="57"/>
        <v>0</v>
      </c>
      <c r="U1770" s="25" t="str">
        <f>IF('PART III-DEMOGRAPHICS'!Q1780="","",'PART III-DEMOGRAPHICS'!Q1780)</f>
        <v/>
      </c>
    </row>
    <row r="1771" spans="1:21">
      <c r="A1771" s="25" t="str">
        <f>IF('PART III-DEMOGRAPHICS'!A1781="","",'PART III-DEMOGRAPHICS'!A1781)</f>
        <v/>
      </c>
      <c r="B1771" s="28"/>
      <c r="C1771" s="27"/>
      <c r="D1771" s="28"/>
      <c r="E1771" s="21"/>
      <c r="F1771" s="36" t="str">
        <f t="shared" si="58"/>
        <v>Did Not</v>
      </c>
      <c r="G1771" s="28"/>
      <c r="H1771" s="28"/>
      <c r="I1771" s="28"/>
      <c r="J1771" s="28"/>
      <c r="K1771" s="28"/>
      <c r="L1771" s="28"/>
      <c r="M1771" s="28"/>
      <c r="N1771" s="21"/>
      <c r="O1771" s="28"/>
      <c r="P1771" s="38"/>
      <c r="Q1771" s="21"/>
      <c r="R1771" s="21"/>
      <c r="S1771" s="47"/>
      <c r="T1771" s="25">
        <f t="shared" si="57"/>
        <v>0</v>
      </c>
      <c r="U1771" s="25" t="str">
        <f>IF('PART III-DEMOGRAPHICS'!Q1781="","",'PART III-DEMOGRAPHICS'!Q1781)</f>
        <v/>
      </c>
    </row>
    <row r="1772" spans="1:21">
      <c r="A1772" s="25" t="str">
        <f>IF('PART III-DEMOGRAPHICS'!A1782="","",'PART III-DEMOGRAPHICS'!A1782)</f>
        <v/>
      </c>
      <c r="B1772" s="28"/>
      <c r="C1772" s="27"/>
      <c r="D1772" s="28"/>
      <c r="E1772" s="21"/>
      <c r="F1772" s="36" t="str">
        <f t="shared" si="58"/>
        <v>Did Not</v>
      </c>
      <c r="G1772" s="28"/>
      <c r="H1772" s="28"/>
      <c r="I1772" s="28"/>
      <c r="J1772" s="28"/>
      <c r="K1772" s="28"/>
      <c r="L1772" s="28"/>
      <c r="M1772" s="28"/>
      <c r="N1772" s="21"/>
      <c r="O1772" s="28"/>
      <c r="P1772" s="38"/>
      <c r="Q1772" s="21"/>
      <c r="R1772" s="21"/>
      <c r="S1772" s="47"/>
      <c r="T1772" s="25">
        <f t="shared" si="57"/>
        <v>0</v>
      </c>
      <c r="U1772" s="25" t="str">
        <f>IF('PART III-DEMOGRAPHICS'!Q1782="","",'PART III-DEMOGRAPHICS'!Q1782)</f>
        <v/>
      </c>
    </row>
    <row r="1773" spans="1:21">
      <c r="A1773" s="25" t="str">
        <f>IF('PART III-DEMOGRAPHICS'!A1783="","",'PART III-DEMOGRAPHICS'!A1783)</f>
        <v/>
      </c>
      <c r="B1773" s="28"/>
      <c r="C1773" s="27"/>
      <c r="D1773" s="28"/>
      <c r="E1773" s="21"/>
      <c r="F1773" s="36" t="str">
        <f t="shared" si="58"/>
        <v>Did Not</v>
      </c>
      <c r="G1773" s="28"/>
      <c r="H1773" s="28"/>
      <c r="I1773" s="28"/>
      <c r="J1773" s="28"/>
      <c r="K1773" s="28"/>
      <c r="L1773" s="28"/>
      <c r="M1773" s="28"/>
      <c r="N1773" s="21"/>
      <c r="O1773" s="28"/>
      <c r="P1773" s="38"/>
      <c r="Q1773" s="21"/>
      <c r="R1773" s="21"/>
      <c r="S1773" s="47"/>
      <c r="T1773" s="25">
        <f t="shared" si="57"/>
        <v>0</v>
      </c>
      <c r="U1773" s="25" t="str">
        <f>IF('PART III-DEMOGRAPHICS'!Q1783="","",'PART III-DEMOGRAPHICS'!Q1783)</f>
        <v/>
      </c>
    </row>
    <row r="1774" spans="1:21">
      <c r="A1774" s="25" t="str">
        <f>IF('PART III-DEMOGRAPHICS'!A1784="","",'PART III-DEMOGRAPHICS'!A1784)</f>
        <v/>
      </c>
      <c r="B1774" s="28"/>
      <c r="C1774" s="27"/>
      <c r="D1774" s="28"/>
      <c r="E1774" s="21"/>
      <c r="F1774" s="36" t="str">
        <f t="shared" si="58"/>
        <v>Did Not</v>
      </c>
      <c r="G1774" s="28"/>
      <c r="H1774" s="28"/>
      <c r="I1774" s="28"/>
      <c r="J1774" s="28"/>
      <c r="K1774" s="28"/>
      <c r="L1774" s="28"/>
      <c r="M1774" s="28"/>
      <c r="N1774" s="21"/>
      <c r="O1774" s="28"/>
      <c r="P1774" s="38"/>
      <c r="Q1774" s="21"/>
      <c r="R1774" s="21"/>
      <c r="S1774" s="47"/>
      <c r="T1774" s="25">
        <f t="shared" si="57"/>
        <v>0</v>
      </c>
      <c r="U1774" s="25" t="str">
        <f>IF('PART III-DEMOGRAPHICS'!Q1784="","",'PART III-DEMOGRAPHICS'!Q1784)</f>
        <v/>
      </c>
    </row>
    <row r="1775" spans="1:21">
      <c r="A1775" s="25" t="str">
        <f>IF('PART III-DEMOGRAPHICS'!A1785="","",'PART III-DEMOGRAPHICS'!A1785)</f>
        <v/>
      </c>
      <c r="B1775" s="28"/>
      <c r="C1775" s="27"/>
      <c r="D1775" s="28"/>
      <c r="E1775" s="21"/>
      <c r="F1775" s="36" t="str">
        <f t="shared" si="58"/>
        <v>Did Not</v>
      </c>
      <c r="G1775" s="28"/>
      <c r="H1775" s="28"/>
      <c r="I1775" s="28"/>
      <c r="J1775" s="28"/>
      <c r="K1775" s="28"/>
      <c r="L1775" s="28"/>
      <c r="M1775" s="28"/>
      <c r="N1775" s="21"/>
      <c r="O1775" s="28"/>
      <c r="P1775" s="38"/>
      <c r="Q1775" s="21"/>
      <c r="R1775" s="21"/>
      <c r="S1775" s="47"/>
      <c r="T1775" s="25">
        <f t="shared" si="57"/>
        <v>0</v>
      </c>
      <c r="U1775" s="25" t="str">
        <f>IF('PART III-DEMOGRAPHICS'!Q1785="","",'PART III-DEMOGRAPHICS'!Q1785)</f>
        <v/>
      </c>
    </row>
    <row r="1776" spans="1:21">
      <c r="A1776" s="25" t="str">
        <f>IF('PART III-DEMOGRAPHICS'!A1786="","",'PART III-DEMOGRAPHICS'!A1786)</f>
        <v/>
      </c>
      <c r="B1776" s="28"/>
      <c r="C1776" s="27"/>
      <c r="D1776" s="28"/>
      <c r="E1776" s="21"/>
      <c r="F1776" s="36" t="str">
        <f t="shared" si="58"/>
        <v>Did Not</v>
      </c>
      <c r="G1776" s="28"/>
      <c r="H1776" s="28"/>
      <c r="I1776" s="28"/>
      <c r="J1776" s="28"/>
      <c r="K1776" s="28"/>
      <c r="L1776" s="28"/>
      <c r="M1776" s="28"/>
      <c r="N1776" s="21"/>
      <c r="O1776" s="28"/>
      <c r="P1776" s="38"/>
      <c r="Q1776" s="21"/>
      <c r="R1776" s="21"/>
      <c r="S1776" s="47"/>
      <c r="T1776" s="25">
        <f t="shared" si="57"/>
        <v>0</v>
      </c>
      <c r="U1776" s="25" t="str">
        <f>IF('PART III-DEMOGRAPHICS'!Q1786="","",'PART III-DEMOGRAPHICS'!Q1786)</f>
        <v/>
      </c>
    </row>
    <row r="1777" spans="1:21">
      <c r="A1777" s="25" t="str">
        <f>IF('PART III-DEMOGRAPHICS'!A1787="","",'PART III-DEMOGRAPHICS'!A1787)</f>
        <v/>
      </c>
      <c r="B1777" s="28"/>
      <c r="C1777" s="27"/>
      <c r="D1777" s="28"/>
      <c r="E1777" s="21"/>
      <c r="F1777" s="36" t="str">
        <f t="shared" si="58"/>
        <v>Did Not</v>
      </c>
      <c r="G1777" s="28"/>
      <c r="H1777" s="28"/>
      <c r="I1777" s="28"/>
      <c r="J1777" s="28"/>
      <c r="K1777" s="28"/>
      <c r="L1777" s="28"/>
      <c r="M1777" s="28"/>
      <c r="N1777" s="21"/>
      <c r="O1777" s="28"/>
      <c r="P1777" s="38"/>
      <c r="Q1777" s="21"/>
      <c r="R1777" s="21"/>
      <c r="S1777" s="47"/>
      <c r="T1777" s="25">
        <f t="shared" si="57"/>
        <v>0</v>
      </c>
      <c r="U1777" s="25" t="str">
        <f>IF('PART III-DEMOGRAPHICS'!Q1787="","",'PART III-DEMOGRAPHICS'!Q1787)</f>
        <v/>
      </c>
    </row>
    <row r="1778" spans="1:21">
      <c r="A1778" s="25" t="str">
        <f>IF('PART III-DEMOGRAPHICS'!A1788="","",'PART III-DEMOGRAPHICS'!A1788)</f>
        <v/>
      </c>
      <c r="B1778" s="28"/>
      <c r="C1778" s="27"/>
      <c r="D1778" s="28"/>
      <c r="E1778" s="21"/>
      <c r="F1778" s="36" t="str">
        <f t="shared" si="58"/>
        <v>Did Not</v>
      </c>
      <c r="G1778" s="28"/>
      <c r="H1778" s="28"/>
      <c r="I1778" s="28"/>
      <c r="J1778" s="28"/>
      <c r="K1778" s="28"/>
      <c r="L1778" s="28"/>
      <c r="M1778" s="28"/>
      <c r="N1778" s="21"/>
      <c r="O1778" s="28"/>
      <c r="P1778" s="38"/>
      <c r="Q1778" s="21"/>
      <c r="R1778" s="21"/>
      <c r="S1778" s="47"/>
      <c r="T1778" s="25">
        <f t="shared" si="57"/>
        <v>0</v>
      </c>
      <c r="U1778" s="25" t="str">
        <f>IF('PART III-DEMOGRAPHICS'!Q1788="","",'PART III-DEMOGRAPHICS'!Q1788)</f>
        <v/>
      </c>
    </row>
    <row r="1779" spans="1:21">
      <c r="A1779" s="25" t="str">
        <f>IF('PART III-DEMOGRAPHICS'!A1789="","",'PART III-DEMOGRAPHICS'!A1789)</f>
        <v/>
      </c>
      <c r="B1779" s="28"/>
      <c r="C1779" s="27"/>
      <c r="D1779" s="28"/>
      <c r="E1779" s="21"/>
      <c r="F1779" s="36" t="str">
        <f t="shared" si="58"/>
        <v>Did Not</v>
      </c>
      <c r="G1779" s="28"/>
      <c r="H1779" s="28"/>
      <c r="I1779" s="28"/>
      <c r="J1779" s="28"/>
      <c r="K1779" s="28"/>
      <c r="L1779" s="28"/>
      <c r="M1779" s="28"/>
      <c r="N1779" s="21"/>
      <c r="O1779" s="28"/>
      <c r="P1779" s="38"/>
      <c r="Q1779" s="21"/>
      <c r="R1779" s="21"/>
      <c r="S1779" s="47"/>
      <c r="T1779" s="25">
        <f t="shared" si="57"/>
        <v>0</v>
      </c>
      <c r="U1779" s="25" t="str">
        <f>IF('PART III-DEMOGRAPHICS'!Q1789="","",'PART III-DEMOGRAPHICS'!Q1789)</f>
        <v/>
      </c>
    </row>
    <row r="1780" spans="1:21">
      <c r="A1780" s="25" t="str">
        <f>IF('PART III-DEMOGRAPHICS'!A1790="","",'PART III-DEMOGRAPHICS'!A1790)</f>
        <v/>
      </c>
      <c r="B1780" s="28"/>
      <c r="C1780" s="27"/>
      <c r="D1780" s="28"/>
      <c r="E1780" s="21"/>
      <c r="F1780" s="36" t="str">
        <f t="shared" si="58"/>
        <v>Did Not</v>
      </c>
      <c r="G1780" s="28"/>
      <c r="H1780" s="28"/>
      <c r="I1780" s="28"/>
      <c r="J1780" s="28"/>
      <c r="K1780" s="28"/>
      <c r="L1780" s="28"/>
      <c r="M1780" s="28"/>
      <c r="N1780" s="21"/>
      <c r="O1780" s="28"/>
      <c r="P1780" s="38"/>
      <c r="Q1780" s="21"/>
      <c r="R1780" s="21"/>
      <c r="S1780" s="47"/>
      <c r="T1780" s="25">
        <f t="shared" si="57"/>
        <v>0</v>
      </c>
      <c r="U1780" s="25" t="str">
        <f>IF('PART III-DEMOGRAPHICS'!Q1790="","",'PART III-DEMOGRAPHICS'!Q1790)</f>
        <v/>
      </c>
    </row>
    <row r="1781" spans="1:21">
      <c r="A1781" s="25" t="str">
        <f>IF('PART III-DEMOGRAPHICS'!A1791="","",'PART III-DEMOGRAPHICS'!A1791)</f>
        <v/>
      </c>
      <c r="B1781" s="28"/>
      <c r="C1781" s="27"/>
      <c r="D1781" s="28"/>
      <c r="E1781" s="21"/>
      <c r="F1781" s="36" t="str">
        <f t="shared" si="58"/>
        <v>Did Not</v>
      </c>
      <c r="G1781" s="28"/>
      <c r="H1781" s="28"/>
      <c r="I1781" s="28"/>
      <c r="J1781" s="28"/>
      <c r="K1781" s="28"/>
      <c r="L1781" s="28"/>
      <c r="M1781" s="28"/>
      <c r="N1781" s="21"/>
      <c r="O1781" s="28"/>
      <c r="P1781" s="38"/>
      <c r="Q1781" s="21"/>
      <c r="R1781" s="21"/>
      <c r="S1781" s="47"/>
      <c r="T1781" s="25">
        <f t="shared" si="57"/>
        <v>0</v>
      </c>
      <c r="U1781" s="25" t="str">
        <f>IF('PART III-DEMOGRAPHICS'!Q1791="","",'PART III-DEMOGRAPHICS'!Q1791)</f>
        <v/>
      </c>
    </row>
    <row r="1782" spans="1:21">
      <c r="A1782" s="25" t="str">
        <f>IF('PART III-DEMOGRAPHICS'!A1792="","",'PART III-DEMOGRAPHICS'!A1792)</f>
        <v/>
      </c>
      <c r="B1782" s="28"/>
      <c r="C1782" s="27"/>
      <c r="D1782" s="28"/>
      <c r="E1782" s="21"/>
      <c r="F1782" s="36" t="str">
        <f t="shared" si="58"/>
        <v>Did Not</v>
      </c>
      <c r="G1782" s="28"/>
      <c r="H1782" s="28"/>
      <c r="I1782" s="28"/>
      <c r="J1782" s="28"/>
      <c r="K1782" s="28"/>
      <c r="L1782" s="28"/>
      <c r="M1782" s="28"/>
      <c r="N1782" s="21"/>
      <c r="O1782" s="28"/>
      <c r="P1782" s="38"/>
      <c r="Q1782" s="21"/>
      <c r="R1782" s="21"/>
      <c r="S1782" s="47"/>
      <c r="T1782" s="25">
        <f t="shared" si="57"/>
        <v>0</v>
      </c>
      <c r="U1782" s="25" t="str">
        <f>IF('PART III-DEMOGRAPHICS'!Q1792="","",'PART III-DEMOGRAPHICS'!Q1792)</f>
        <v/>
      </c>
    </row>
    <row r="1783" spans="1:21">
      <c r="A1783" s="25" t="str">
        <f>IF('PART III-DEMOGRAPHICS'!A1793="","",'PART III-DEMOGRAPHICS'!A1793)</f>
        <v/>
      </c>
      <c r="B1783" s="28"/>
      <c r="C1783" s="27"/>
      <c r="D1783" s="28"/>
      <c r="E1783" s="21"/>
      <c r="F1783" s="36" t="str">
        <f t="shared" si="58"/>
        <v>Did Not</v>
      </c>
      <c r="G1783" s="28"/>
      <c r="H1783" s="28"/>
      <c r="I1783" s="28"/>
      <c r="J1783" s="28"/>
      <c r="K1783" s="28"/>
      <c r="L1783" s="28"/>
      <c r="M1783" s="28"/>
      <c r="N1783" s="21"/>
      <c r="O1783" s="28"/>
      <c r="P1783" s="38"/>
      <c r="Q1783" s="21"/>
      <c r="R1783" s="21"/>
      <c r="S1783" s="47"/>
      <c r="T1783" s="25">
        <f t="shared" si="57"/>
        <v>0</v>
      </c>
      <c r="U1783" s="25" t="str">
        <f>IF('PART III-DEMOGRAPHICS'!Q1793="","",'PART III-DEMOGRAPHICS'!Q1793)</f>
        <v/>
      </c>
    </row>
    <row r="1784" spans="1:21">
      <c r="A1784" s="25" t="str">
        <f>IF('PART III-DEMOGRAPHICS'!A1794="","",'PART III-DEMOGRAPHICS'!A1794)</f>
        <v/>
      </c>
      <c r="B1784" s="28"/>
      <c r="C1784" s="27"/>
      <c r="D1784" s="28"/>
      <c r="E1784" s="21"/>
      <c r="F1784" s="36" t="str">
        <f t="shared" si="58"/>
        <v>Did Not</v>
      </c>
      <c r="G1784" s="28"/>
      <c r="H1784" s="28"/>
      <c r="I1784" s="28"/>
      <c r="J1784" s="28"/>
      <c r="K1784" s="28"/>
      <c r="L1784" s="28"/>
      <c r="M1784" s="28"/>
      <c r="N1784" s="21"/>
      <c r="O1784" s="28"/>
      <c r="P1784" s="38"/>
      <c r="Q1784" s="21"/>
      <c r="R1784" s="21"/>
      <c r="S1784" s="47"/>
      <c r="T1784" s="25">
        <f t="shared" si="57"/>
        <v>0</v>
      </c>
      <c r="U1784" s="25" t="str">
        <f>IF('PART III-DEMOGRAPHICS'!Q1794="","",'PART III-DEMOGRAPHICS'!Q1794)</f>
        <v/>
      </c>
    </row>
    <row r="1785" spans="1:21">
      <c r="A1785" s="25" t="str">
        <f>IF('PART III-DEMOGRAPHICS'!A1795="","",'PART III-DEMOGRAPHICS'!A1795)</f>
        <v/>
      </c>
      <c r="B1785" s="28"/>
      <c r="C1785" s="27"/>
      <c r="D1785" s="28"/>
      <c r="E1785" s="21"/>
      <c r="F1785" s="36" t="str">
        <f t="shared" si="58"/>
        <v>Did Not</v>
      </c>
      <c r="G1785" s="28"/>
      <c r="H1785" s="28"/>
      <c r="I1785" s="28"/>
      <c r="J1785" s="28"/>
      <c r="K1785" s="28"/>
      <c r="L1785" s="28"/>
      <c r="M1785" s="28"/>
      <c r="N1785" s="21"/>
      <c r="O1785" s="28"/>
      <c r="P1785" s="38"/>
      <c r="Q1785" s="21"/>
      <c r="R1785" s="21"/>
      <c r="S1785" s="47"/>
      <c r="T1785" s="25">
        <f t="shared" si="57"/>
        <v>0</v>
      </c>
      <c r="U1785" s="25" t="str">
        <f>IF('PART III-DEMOGRAPHICS'!Q1795="","",'PART III-DEMOGRAPHICS'!Q1795)</f>
        <v/>
      </c>
    </row>
    <row r="1786" spans="1:21">
      <c r="A1786" s="25" t="str">
        <f>IF('PART III-DEMOGRAPHICS'!A1796="","",'PART III-DEMOGRAPHICS'!A1796)</f>
        <v/>
      </c>
      <c r="B1786" s="28"/>
      <c r="C1786" s="27"/>
      <c r="D1786" s="28"/>
      <c r="E1786" s="21"/>
      <c r="F1786" s="36" t="str">
        <f t="shared" si="58"/>
        <v>Did Not</v>
      </c>
      <c r="G1786" s="28"/>
      <c r="H1786" s="28"/>
      <c r="I1786" s="28"/>
      <c r="J1786" s="28"/>
      <c r="K1786" s="28"/>
      <c r="L1786" s="28"/>
      <c r="M1786" s="28"/>
      <c r="N1786" s="21"/>
      <c r="O1786" s="28"/>
      <c r="P1786" s="38"/>
      <c r="Q1786" s="21"/>
      <c r="R1786" s="21"/>
      <c r="S1786" s="47"/>
      <c r="T1786" s="25">
        <f t="shared" si="57"/>
        <v>0</v>
      </c>
      <c r="U1786" s="25" t="str">
        <f>IF('PART III-DEMOGRAPHICS'!Q1796="","",'PART III-DEMOGRAPHICS'!Q1796)</f>
        <v/>
      </c>
    </row>
    <row r="1787" spans="1:21">
      <c r="A1787" s="25" t="str">
        <f>IF('PART III-DEMOGRAPHICS'!A1797="","",'PART III-DEMOGRAPHICS'!A1797)</f>
        <v/>
      </c>
      <c r="B1787" s="28"/>
      <c r="C1787" s="27"/>
      <c r="D1787" s="28"/>
      <c r="E1787" s="21"/>
      <c r="F1787" s="36" t="str">
        <f t="shared" si="58"/>
        <v>Did Not</v>
      </c>
      <c r="G1787" s="28"/>
      <c r="H1787" s="28"/>
      <c r="I1787" s="28"/>
      <c r="J1787" s="28"/>
      <c r="K1787" s="28"/>
      <c r="L1787" s="28"/>
      <c r="M1787" s="28"/>
      <c r="N1787" s="21"/>
      <c r="O1787" s="28"/>
      <c r="P1787" s="38"/>
      <c r="Q1787" s="21"/>
      <c r="R1787" s="21"/>
      <c r="S1787" s="47"/>
      <c r="T1787" s="25">
        <f t="shared" si="57"/>
        <v>0</v>
      </c>
      <c r="U1787" s="25" t="str">
        <f>IF('PART III-DEMOGRAPHICS'!Q1797="","",'PART III-DEMOGRAPHICS'!Q1797)</f>
        <v/>
      </c>
    </row>
    <row r="1788" spans="1:21">
      <c r="A1788" s="25" t="str">
        <f>IF('PART III-DEMOGRAPHICS'!A1798="","",'PART III-DEMOGRAPHICS'!A1798)</f>
        <v/>
      </c>
      <c r="B1788" s="28"/>
      <c r="C1788" s="27"/>
      <c r="D1788" s="28"/>
      <c r="E1788" s="21"/>
      <c r="F1788" s="36" t="str">
        <f t="shared" si="58"/>
        <v>Did Not</v>
      </c>
      <c r="G1788" s="28"/>
      <c r="H1788" s="28"/>
      <c r="I1788" s="28"/>
      <c r="J1788" s="28"/>
      <c r="K1788" s="28"/>
      <c r="L1788" s="28"/>
      <c r="M1788" s="28"/>
      <c r="N1788" s="21"/>
      <c r="O1788" s="28"/>
      <c r="P1788" s="38"/>
      <c r="Q1788" s="21"/>
      <c r="R1788" s="21"/>
      <c r="S1788" s="47"/>
      <c r="T1788" s="25">
        <f t="shared" si="57"/>
        <v>0</v>
      </c>
      <c r="U1788" s="25" t="str">
        <f>IF('PART III-DEMOGRAPHICS'!Q1798="","",'PART III-DEMOGRAPHICS'!Q1798)</f>
        <v/>
      </c>
    </row>
    <row r="1789" spans="1:21">
      <c r="A1789" s="25" t="str">
        <f>IF('PART III-DEMOGRAPHICS'!A1799="","",'PART III-DEMOGRAPHICS'!A1799)</f>
        <v/>
      </c>
      <c r="B1789" s="28"/>
      <c r="C1789" s="27"/>
      <c r="D1789" s="28"/>
      <c r="E1789" s="21"/>
      <c r="F1789" s="36" t="str">
        <f t="shared" si="58"/>
        <v>Did Not</v>
      </c>
      <c r="G1789" s="28"/>
      <c r="H1789" s="28"/>
      <c r="I1789" s="28"/>
      <c r="J1789" s="28"/>
      <c r="K1789" s="28"/>
      <c r="L1789" s="28"/>
      <c r="M1789" s="28"/>
      <c r="N1789" s="21"/>
      <c r="O1789" s="28"/>
      <c r="P1789" s="38"/>
      <c r="Q1789" s="21"/>
      <c r="R1789" s="21"/>
      <c r="S1789" s="47"/>
      <c r="T1789" s="25">
        <f t="shared" si="57"/>
        <v>0</v>
      </c>
      <c r="U1789" s="25" t="str">
        <f>IF('PART III-DEMOGRAPHICS'!Q1799="","",'PART III-DEMOGRAPHICS'!Q1799)</f>
        <v/>
      </c>
    </row>
    <row r="1790" spans="1:21">
      <c r="A1790" s="25" t="str">
        <f>IF('PART III-DEMOGRAPHICS'!A1800="","",'PART III-DEMOGRAPHICS'!A1800)</f>
        <v/>
      </c>
      <c r="B1790" s="28"/>
      <c r="C1790" s="27"/>
      <c r="D1790" s="28"/>
      <c r="E1790" s="21"/>
      <c r="F1790" s="36" t="str">
        <f t="shared" si="58"/>
        <v>Did Not</v>
      </c>
      <c r="G1790" s="28"/>
      <c r="H1790" s="28"/>
      <c r="I1790" s="28"/>
      <c r="J1790" s="28"/>
      <c r="K1790" s="28"/>
      <c r="L1790" s="28"/>
      <c r="M1790" s="28"/>
      <c r="N1790" s="21"/>
      <c r="O1790" s="28"/>
      <c r="P1790" s="38"/>
      <c r="Q1790" s="21"/>
      <c r="R1790" s="21"/>
      <c r="S1790" s="47"/>
      <c r="T1790" s="25">
        <f t="shared" si="57"/>
        <v>0</v>
      </c>
      <c r="U1790" s="25" t="str">
        <f>IF('PART III-DEMOGRAPHICS'!Q1800="","",'PART III-DEMOGRAPHICS'!Q1800)</f>
        <v/>
      </c>
    </row>
    <row r="1791" spans="1:21">
      <c r="A1791" s="25" t="str">
        <f>IF('PART III-DEMOGRAPHICS'!A1801="","",'PART III-DEMOGRAPHICS'!A1801)</f>
        <v/>
      </c>
      <c r="B1791" s="28"/>
      <c r="C1791" s="27"/>
      <c r="D1791" s="28"/>
      <c r="E1791" s="21"/>
      <c r="F1791" s="36" t="str">
        <f t="shared" si="58"/>
        <v>Did Not</v>
      </c>
      <c r="G1791" s="28"/>
      <c r="H1791" s="28"/>
      <c r="I1791" s="28"/>
      <c r="J1791" s="28"/>
      <c r="K1791" s="28"/>
      <c r="L1791" s="28"/>
      <c r="M1791" s="28"/>
      <c r="N1791" s="21"/>
      <c r="O1791" s="28"/>
      <c r="P1791" s="38"/>
      <c r="Q1791" s="21"/>
      <c r="R1791" s="21"/>
      <c r="S1791" s="47"/>
      <c r="T1791" s="25">
        <f t="shared" si="57"/>
        <v>0</v>
      </c>
      <c r="U1791" s="25" t="str">
        <f>IF('PART III-DEMOGRAPHICS'!Q1801="","",'PART III-DEMOGRAPHICS'!Q1801)</f>
        <v/>
      </c>
    </row>
    <row r="1792" spans="1:21">
      <c r="A1792" s="25" t="str">
        <f>IF('PART III-DEMOGRAPHICS'!A1802="","",'PART III-DEMOGRAPHICS'!A1802)</f>
        <v/>
      </c>
      <c r="B1792" s="28"/>
      <c r="C1792" s="27"/>
      <c r="D1792" s="28"/>
      <c r="E1792" s="21"/>
      <c r="F1792" s="36" t="str">
        <f t="shared" si="58"/>
        <v>Did Not</v>
      </c>
      <c r="G1792" s="28"/>
      <c r="H1792" s="28"/>
      <c r="I1792" s="28"/>
      <c r="J1792" s="28"/>
      <c r="K1792" s="28"/>
      <c r="L1792" s="28"/>
      <c r="M1792" s="28"/>
      <c r="N1792" s="21"/>
      <c r="O1792" s="28"/>
      <c r="P1792" s="38"/>
      <c r="Q1792" s="21"/>
      <c r="R1792" s="21"/>
      <c r="S1792" s="47"/>
      <c r="T1792" s="25">
        <f t="shared" si="57"/>
        <v>0</v>
      </c>
      <c r="U1792" s="25" t="str">
        <f>IF('PART III-DEMOGRAPHICS'!Q1802="","",'PART III-DEMOGRAPHICS'!Q1802)</f>
        <v/>
      </c>
    </row>
    <row r="1793" spans="1:21">
      <c r="A1793" s="25" t="str">
        <f>IF('PART III-DEMOGRAPHICS'!A1803="","",'PART III-DEMOGRAPHICS'!A1803)</f>
        <v/>
      </c>
      <c r="B1793" s="28"/>
      <c r="C1793" s="27"/>
      <c r="D1793" s="28"/>
      <c r="E1793" s="21"/>
      <c r="F1793" s="36" t="str">
        <f t="shared" si="58"/>
        <v>Did Not</v>
      </c>
      <c r="G1793" s="28"/>
      <c r="H1793" s="28"/>
      <c r="I1793" s="28"/>
      <c r="J1793" s="28"/>
      <c r="K1793" s="28"/>
      <c r="L1793" s="28"/>
      <c r="M1793" s="28"/>
      <c r="N1793" s="21"/>
      <c r="O1793" s="28"/>
      <c r="P1793" s="38"/>
      <c r="Q1793" s="21"/>
      <c r="R1793" s="21"/>
      <c r="S1793" s="47"/>
      <c r="T1793" s="25">
        <f t="shared" si="57"/>
        <v>0</v>
      </c>
      <c r="U1793" s="25" t="str">
        <f>IF('PART III-DEMOGRAPHICS'!Q1803="","",'PART III-DEMOGRAPHICS'!Q1803)</f>
        <v/>
      </c>
    </row>
    <row r="1794" spans="1:21">
      <c r="A1794" s="25" t="str">
        <f>IF('PART III-DEMOGRAPHICS'!A1804="","",'PART III-DEMOGRAPHICS'!A1804)</f>
        <v/>
      </c>
      <c r="B1794" s="28"/>
      <c r="C1794" s="27"/>
      <c r="D1794" s="28"/>
      <c r="E1794" s="21"/>
      <c r="F1794" s="36" t="str">
        <f t="shared" si="58"/>
        <v>Did Not</v>
      </c>
      <c r="G1794" s="28"/>
      <c r="H1794" s="28"/>
      <c r="I1794" s="28"/>
      <c r="J1794" s="28"/>
      <c r="K1794" s="28"/>
      <c r="L1794" s="28"/>
      <c r="M1794" s="28"/>
      <c r="N1794" s="21"/>
      <c r="O1794" s="28"/>
      <c r="P1794" s="38"/>
      <c r="Q1794" s="21"/>
      <c r="R1794" s="21"/>
      <c r="S1794" s="47"/>
      <c r="T1794" s="25">
        <f t="shared" si="57"/>
        <v>0</v>
      </c>
      <c r="U1794" s="25" t="str">
        <f>IF('PART III-DEMOGRAPHICS'!Q1804="","",'PART III-DEMOGRAPHICS'!Q1804)</f>
        <v/>
      </c>
    </row>
    <row r="1795" spans="1:21">
      <c r="A1795" s="25" t="str">
        <f>IF('PART III-DEMOGRAPHICS'!A1805="","",'PART III-DEMOGRAPHICS'!A1805)</f>
        <v/>
      </c>
      <c r="B1795" s="28"/>
      <c r="C1795" s="27"/>
      <c r="D1795" s="28"/>
      <c r="E1795" s="21"/>
      <c r="F1795" s="36" t="str">
        <f t="shared" si="58"/>
        <v>Did Not</v>
      </c>
      <c r="G1795" s="28"/>
      <c r="H1795" s="28"/>
      <c r="I1795" s="28"/>
      <c r="J1795" s="28"/>
      <c r="K1795" s="28"/>
      <c r="L1795" s="28"/>
      <c r="M1795" s="28"/>
      <c r="N1795" s="21"/>
      <c r="O1795" s="28"/>
      <c r="P1795" s="38"/>
      <c r="Q1795" s="21"/>
      <c r="R1795" s="21"/>
      <c r="S1795" s="47"/>
      <c r="T1795" s="25">
        <f t="shared" si="57"/>
        <v>0</v>
      </c>
      <c r="U1795" s="25" t="str">
        <f>IF('PART III-DEMOGRAPHICS'!Q1805="","",'PART III-DEMOGRAPHICS'!Q1805)</f>
        <v/>
      </c>
    </row>
    <row r="1796" spans="1:21">
      <c r="A1796" s="25" t="str">
        <f>IF('PART III-DEMOGRAPHICS'!A1806="","",'PART III-DEMOGRAPHICS'!A1806)</f>
        <v/>
      </c>
      <c r="B1796" s="28"/>
      <c r="C1796" s="27"/>
      <c r="D1796" s="28"/>
      <c r="E1796" s="21"/>
      <c r="F1796" s="36" t="str">
        <f t="shared" si="58"/>
        <v>Did Not</v>
      </c>
      <c r="G1796" s="28"/>
      <c r="H1796" s="28"/>
      <c r="I1796" s="28"/>
      <c r="J1796" s="28"/>
      <c r="K1796" s="28"/>
      <c r="L1796" s="28"/>
      <c r="M1796" s="28"/>
      <c r="N1796" s="21"/>
      <c r="O1796" s="28"/>
      <c r="P1796" s="38"/>
      <c r="Q1796" s="21"/>
      <c r="R1796" s="21"/>
      <c r="S1796" s="47"/>
      <c r="T1796" s="25">
        <f t="shared" si="57"/>
        <v>0</v>
      </c>
      <c r="U1796" s="25" t="str">
        <f>IF('PART III-DEMOGRAPHICS'!Q1806="","",'PART III-DEMOGRAPHICS'!Q1806)</f>
        <v/>
      </c>
    </row>
    <row r="1797" spans="1:21">
      <c r="A1797" s="25" t="str">
        <f>IF('PART III-DEMOGRAPHICS'!A1807="","",'PART III-DEMOGRAPHICS'!A1807)</f>
        <v/>
      </c>
      <c r="B1797" s="28"/>
      <c r="C1797" s="27"/>
      <c r="D1797" s="28"/>
      <c r="E1797" s="21"/>
      <c r="F1797" s="36" t="str">
        <f t="shared" si="58"/>
        <v>Did Not</v>
      </c>
      <c r="G1797" s="28"/>
      <c r="H1797" s="28"/>
      <c r="I1797" s="28"/>
      <c r="J1797" s="28"/>
      <c r="K1797" s="28"/>
      <c r="L1797" s="28"/>
      <c r="M1797" s="28"/>
      <c r="N1797" s="21"/>
      <c r="O1797" s="28"/>
      <c r="P1797" s="38"/>
      <c r="Q1797" s="21"/>
      <c r="R1797" s="21"/>
      <c r="S1797" s="47"/>
      <c r="T1797" s="25">
        <f t="shared" si="57"/>
        <v>0</v>
      </c>
      <c r="U1797" s="25" t="str">
        <f>IF('PART III-DEMOGRAPHICS'!Q1807="","",'PART III-DEMOGRAPHICS'!Q1807)</f>
        <v/>
      </c>
    </row>
    <row r="1798" spans="1:21">
      <c r="A1798" s="25" t="str">
        <f>IF('PART III-DEMOGRAPHICS'!A1808="","",'PART III-DEMOGRAPHICS'!A1808)</f>
        <v/>
      </c>
      <c r="B1798" s="28"/>
      <c r="C1798" s="27"/>
      <c r="D1798" s="28"/>
      <c r="E1798" s="21"/>
      <c r="F1798" s="36" t="str">
        <f t="shared" si="58"/>
        <v>Did Not</v>
      </c>
      <c r="G1798" s="28"/>
      <c r="H1798" s="28"/>
      <c r="I1798" s="28"/>
      <c r="J1798" s="28"/>
      <c r="K1798" s="28"/>
      <c r="L1798" s="28"/>
      <c r="M1798" s="28"/>
      <c r="N1798" s="21"/>
      <c r="O1798" s="28"/>
      <c r="P1798" s="38"/>
      <c r="Q1798" s="21"/>
      <c r="R1798" s="21"/>
      <c r="S1798" s="47"/>
      <c r="T1798" s="25">
        <f t="shared" si="57"/>
        <v>0</v>
      </c>
      <c r="U1798" s="25" t="str">
        <f>IF('PART III-DEMOGRAPHICS'!Q1808="","",'PART III-DEMOGRAPHICS'!Q1808)</f>
        <v/>
      </c>
    </row>
    <row r="1799" spans="1:21">
      <c r="A1799" s="25" t="str">
        <f>IF('PART III-DEMOGRAPHICS'!A1809="","",'PART III-DEMOGRAPHICS'!A1809)</f>
        <v/>
      </c>
      <c r="B1799" s="28"/>
      <c r="C1799" s="27"/>
      <c r="D1799" s="28"/>
      <c r="E1799" s="21"/>
      <c r="F1799" s="36" t="str">
        <f t="shared" si="58"/>
        <v>Did Not</v>
      </c>
      <c r="G1799" s="28"/>
      <c r="H1799" s="28"/>
      <c r="I1799" s="28"/>
      <c r="J1799" s="28"/>
      <c r="K1799" s="28"/>
      <c r="L1799" s="28"/>
      <c r="M1799" s="28"/>
      <c r="N1799" s="21"/>
      <c r="O1799" s="28"/>
      <c r="P1799" s="38"/>
      <c r="Q1799" s="21"/>
      <c r="R1799" s="21"/>
      <c r="S1799" s="47"/>
      <c r="T1799" s="25">
        <f t="shared" ref="T1799:T1862" si="59">COUNTIF(A1799:R1799,"Yes")</f>
        <v>0</v>
      </c>
      <c r="U1799" s="25" t="str">
        <f>IF('PART III-DEMOGRAPHICS'!Q1809="","",'PART III-DEMOGRAPHICS'!Q1809)</f>
        <v/>
      </c>
    </row>
    <row r="1800" spans="1:21">
      <c r="A1800" s="25" t="str">
        <f>IF('PART III-DEMOGRAPHICS'!A1810="","",'PART III-DEMOGRAPHICS'!A1810)</f>
        <v/>
      </c>
      <c r="B1800" s="28"/>
      <c r="C1800" s="27"/>
      <c r="D1800" s="28"/>
      <c r="E1800" s="21"/>
      <c r="F1800" s="36" t="str">
        <f t="shared" si="58"/>
        <v>Did Not</v>
      </c>
      <c r="G1800" s="28"/>
      <c r="H1800" s="28"/>
      <c r="I1800" s="28"/>
      <c r="J1800" s="28"/>
      <c r="K1800" s="28"/>
      <c r="L1800" s="28"/>
      <c r="M1800" s="28"/>
      <c r="N1800" s="21"/>
      <c r="O1800" s="28"/>
      <c r="P1800" s="38"/>
      <c r="Q1800" s="21"/>
      <c r="R1800" s="21"/>
      <c r="S1800" s="47"/>
      <c r="T1800" s="25">
        <f t="shared" si="59"/>
        <v>0</v>
      </c>
      <c r="U1800" s="25" t="str">
        <f>IF('PART III-DEMOGRAPHICS'!Q1810="","",'PART III-DEMOGRAPHICS'!Q1810)</f>
        <v/>
      </c>
    </row>
    <row r="1801" spans="1:21">
      <c r="A1801" s="25" t="str">
        <f>IF('PART III-DEMOGRAPHICS'!A1811="","",'PART III-DEMOGRAPHICS'!A1811)</f>
        <v/>
      </c>
      <c r="B1801" s="28"/>
      <c r="C1801" s="27"/>
      <c r="D1801" s="28"/>
      <c r="E1801" s="21"/>
      <c r="F1801" s="36" t="str">
        <f t="shared" si="58"/>
        <v>Did Not</v>
      </c>
      <c r="G1801" s="28"/>
      <c r="H1801" s="28"/>
      <c r="I1801" s="28"/>
      <c r="J1801" s="28"/>
      <c r="K1801" s="28"/>
      <c r="L1801" s="28"/>
      <c r="M1801" s="28"/>
      <c r="N1801" s="21"/>
      <c r="O1801" s="28"/>
      <c r="P1801" s="38"/>
      <c r="Q1801" s="21"/>
      <c r="R1801" s="21"/>
      <c r="S1801" s="47"/>
      <c r="T1801" s="25">
        <f t="shared" si="59"/>
        <v>0</v>
      </c>
      <c r="U1801" s="25" t="str">
        <f>IF('PART III-DEMOGRAPHICS'!Q1811="","",'PART III-DEMOGRAPHICS'!Q1811)</f>
        <v/>
      </c>
    </row>
    <row r="1802" spans="1:21">
      <c r="A1802" s="25" t="str">
        <f>IF('PART III-DEMOGRAPHICS'!A1812="","",'PART III-DEMOGRAPHICS'!A1812)</f>
        <v/>
      </c>
      <c r="B1802" s="28"/>
      <c r="C1802" s="27"/>
      <c r="D1802" s="28"/>
      <c r="E1802" s="21"/>
      <c r="F1802" s="36" t="str">
        <f t="shared" si="58"/>
        <v>Did Not</v>
      </c>
      <c r="G1802" s="28"/>
      <c r="H1802" s="28"/>
      <c r="I1802" s="28"/>
      <c r="J1802" s="28"/>
      <c r="K1802" s="28"/>
      <c r="L1802" s="28"/>
      <c r="M1802" s="28"/>
      <c r="N1802" s="21"/>
      <c r="O1802" s="28"/>
      <c r="P1802" s="38"/>
      <c r="Q1802" s="21"/>
      <c r="R1802" s="21"/>
      <c r="S1802" s="47"/>
      <c r="T1802" s="25">
        <f t="shared" si="59"/>
        <v>0</v>
      </c>
      <c r="U1802" s="25" t="str">
        <f>IF('PART III-DEMOGRAPHICS'!Q1812="","",'PART III-DEMOGRAPHICS'!Q1812)</f>
        <v/>
      </c>
    </row>
    <row r="1803" spans="1:21">
      <c r="A1803" s="25" t="str">
        <f>IF('PART III-DEMOGRAPHICS'!A1813="","",'PART III-DEMOGRAPHICS'!A1813)</f>
        <v/>
      </c>
      <c r="B1803" s="28"/>
      <c r="C1803" s="27"/>
      <c r="D1803" s="28"/>
      <c r="E1803" s="21"/>
      <c r="F1803" s="36" t="str">
        <f t="shared" si="58"/>
        <v>Did Not</v>
      </c>
      <c r="G1803" s="28"/>
      <c r="H1803" s="28"/>
      <c r="I1803" s="28"/>
      <c r="J1803" s="28"/>
      <c r="K1803" s="28"/>
      <c r="L1803" s="28"/>
      <c r="M1803" s="28"/>
      <c r="N1803" s="21"/>
      <c r="O1803" s="28"/>
      <c r="P1803" s="38"/>
      <c r="Q1803" s="21"/>
      <c r="R1803" s="21"/>
      <c r="S1803" s="47"/>
      <c r="T1803" s="25">
        <f t="shared" si="59"/>
        <v>0</v>
      </c>
      <c r="U1803" s="25" t="str">
        <f>IF('PART III-DEMOGRAPHICS'!Q1813="","",'PART III-DEMOGRAPHICS'!Q1813)</f>
        <v/>
      </c>
    </row>
    <row r="1804" spans="1:21">
      <c r="A1804" s="25" t="str">
        <f>IF('PART III-DEMOGRAPHICS'!A1814="","",'PART III-DEMOGRAPHICS'!A1814)</f>
        <v/>
      </c>
      <c r="B1804" s="28"/>
      <c r="C1804" s="27"/>
      <c r="D1804" s="28"/>
      <c r="E1804" s="21"/>
      <c r="F1804" s="36" t="str">
        <f t="shared" si="58"/>
        <v>Did Not</v>
      </c>
      <c r="G1804" s="28"/>
      <c r="H1804" s="28"/>
      <c r="I1804" s="28"/>
      <c r="J1804" s="28"/>
      <c r="K1804" s="28"/>
      <c r="L1804" s="28"/>
      <c r="M1804" s="28"/>
      <c r="N1804" s="21"/>
      <c r="O1804" s="28"/>
      <c r="P1804" s="38"/>
      <c r="Q1804" s="21"/>
      <c r="R1804" s="21"/>
      <c r="S1804" s="47"/>
      <c r="T1804" s="25">
        <f t="shared" si="59"/>
        <v>0</v>
      </c>
      <c r="U1804" s="25" t="str">
        <f>IF('PART III-DEMOGRAPHICS'!Q1814="","",'PART III-DEMOGRAPHICS'!Q1814)</f>
        <v/>
      </c>
    </row>
    <row r="1805" spans="1:21">
      <c r="A1805" s="25" t="str">
        <f>IF('PART III-DEMOGRAPHICS'!A1815="","",'PART III-DEMOGRAPHICS'!A1815)</f>
        <v/>
      </c>
      <c r="B1805" s="28"/>
      <c r="C1805" s="27"/>
      <c r="D1805" s="28"/>
      <c r="E1805" s="21"/>
      <c r="F1805" s="36" t="str">
        <f t="shared" si="58"/>
        <v>Did Not</v>
      </c>
      <c r="G1805" s="28"/>
      <c r="H1805" s="28"/>
      <c r="I1805" s="28"/>
      <c r="J1805" s="28"/>
      <c r="K1805" s="28"/>
      <c r="L1805" s="28"/>
      <c r="M1805" s="28"/>
      <c r="N1805" s="21"/>
      <c r="O1805" s="28"/>
      <c r="P1805" s="38"/>
      <c r="Q1805" s="21"/>
      <c r="R1805" s="21"/>
      <c r="S1805" s="47"/>
      <c r="T1805" s="25">
        <f t="shared" si="59"/>
        <v>0</v>
      </c>
      <c r="U1805" s="25" t="str">
        <f>IF('PART III-DEMOGRAPHICS'!Q1815="","",'PART III-DEMOGRAPHICS'!Q1815)</f>
        <v/>
      </c>
    </row>
    <row r="1806" spans="1:21">
      <c r="A1806" s="25" t="str">
        <f>IF('PART III-DEMOGRAPHICS'!A1816="","",'PART III-DEMOGRAPHICS'!A1816)</f>
        <v/>
      </c>
      <c r="B1806" s="28"/>
      <c r="C1806" s="27"/>
      <c r="D1806" s="28"/>
      <c r="E1806" s="21"/>
      <c r="F1806" s="36" t="str">
        <f t="shared" ref="F1806:F1869" si="60">IF(OR(G1806="Yes",H1806="Yes",I1806="Yes",J1806="Yes",K1806="Yes",L1806="Yes",M1806="Yes"),"Did","Did Not")</f>
        <v>Did Not</v>
      </c>
      <c r="G1806" s="28"/>
      <c r="H1806" s="28"/>
      <c r="I1806" s="28"/>
      <c r="J1806" s="28"/>
      <c r="K1806" s="28"/>
      <c r="L1806" s="28"/>
      <c r="M1806" s="28"/>
      <c r="N1806" s="21"/>
      <c r="O1806" s="28"/>
      <c r="P1806" s="38"/>
      <c r="Q1806" s="21"/>
      <c r="R1806" s="21"/>
      <c r="S1806" s="47"/>
      <c r="T1806" s="25">
        <f t="shared" si="59"/>
        <v>0</v>
      </c>
      <c r="U1806" s="25" t="str">
        <f>IF('PART III-DEMOGRAPHICS'!Q1816="","",'PART III-DEMOGRAPHICS'!Q1816)</f>
        <v/>
      </c>
    </row>
    <row r="1807" spans="1:21">
      <c r="A1807" s="25" t="str">
        <f>IF('PART III-DEMOGRAPHICS'!A1817="","",'PART III-DEMOGRAPHICS'!A1817)</f>
        <v/>
      </c>
      <c r="B1807" s="28"/>
      <c r="C1807" s="27"/>
      <c r="D1807" s="28"/>
      <c r="E1807" s="21"/>
      <c r="F1807" s="36" t="str">
        <f t="shared" si="60"/>
        <v>Did Not</v>
      </c>
      <c r="G1807" s="28"/>
      <c r="H1807" s="28"/>
      <c r="I1807" s="28"/>
      <c r="J1807" s="28"/>
      <c r="K1807" s="28"/>
      <c r="L1807" s="28"/>
      <c r="M1807" s="28"/>
      <c r="N1807" s="21"/>
      <c r="O1807" s="28"/>
      <c r="P1807" s="38"/>
      <c r="Q1807" s="21"/>
      <c r="R1807" s="21"/>
      <c r="S1807" s="47"/>
      <c r="T1807" s="25">
        <f t="shared" si="59"/>
        <v>0</v>
      </c>
      <c r="U1807" s="25" t="str">
        <f>IF('PART III-DEMOGRAPHICS'!Q1817="","",'PART III-DEMOGRAPHICS'!Q1817)</f>
        <v/>
      </c>
    </row>
    <row r="1808" spans="1:21">
      <c r="A1808" s="25" t="str">
        <f>IF('PART III-DEMOGRAPHICS'!A1818="","",'PART III-DEMOGRAPHICS'!A1818)</f>
        <v/>
      </c>
      <c r="B1808" s="28"/>
      <c r="C1808" s="27"/>
      <c r="D1808" s="28"/>
      <c r="E1808" s="21"/>
      <c r="F1808" s="36" t="str">
        <f t="shared" si="60"/>
        <v>Did Not</v>
      </c>
      <c r="G1808" s="28"/>
      <c r="H1808" s="28"/>
      <c r="I1808" s="28"/>
      <c r="J1808" s="28"/>
      <c r="K1808" s="28"/>
      <c r="L1808" s="28"/>
      <c r="M1808" s="28"/>
      <c r="N1808" s="21"/>
      <c r="O1808" s="28"/>
      <c r="P1808" s="38"/>
      <c r="Q1808" s="21"/>
      <c r="R1808" s="21"/>
      <c r="S1808" s="47"/>
      <c r="T1808" s="25">
        <f t="shared" si="59"/>
        <v>0</v>
      </c>
      <c r="U1808" s="25" t="str">
        <f>IF('PART III-DEMOGRAPHICS'!Q1818="","",'PART III-DEMOGRAPHICS'!Q1818)</f>
        <v/>
      </c>
    </row>
    <row r="1809" spans="1:21">
      <c r="A1809" s="25" t="str">
        <f>IF('PART III-DEMOGRAPHICS'!A1819="","",'PART III-DEMOGRAPHICS'!A1819)</f>
        <v/>
      </c>
      <c r="B1809" s="28"/>
      <c r="C1809" s="27"/>
      <c r="D1809" s="28"/>
      <c r="E1809" s="21"/>
      <c r="F1809" s="36" t="str">
        <f t="shared" si="60"/>
        <v>Did Not</v>
      </c>
      <c r="G1809" s="28"/>
      <c r="H1809" s="28"/>
      <c r="I1809" s="28"/>
      <c r="J1809" s="28"/>
      <c r="K1809" s="28"/>
      <c r="L1809" s="28"/>
      <c r="M1809" s="28"/>
      <c r="N1809" s="21"/>
      <c r="O1809" s="28"/>
      <c r="P1809" s="38"/>
      <c r="Q1809" s="21"/>
      <c r="R1809" s="21"/>
      <c r="S1809" s="47"/>
      <c r="T1809" s="25">
        <f t="shared" si="59"/>
        <v>0</v>
      </c>
      <c r="U1809" s="25" t="str">
        <f>IF('PART III-DEMOGRAPHICS'!Q1819="","",'PART III-DEMOGRAPHICS'!Q1819)</f>
        <v/>
      </c>
    </row>
    <row r="1810" spans="1:21">
      <c r="A1810" s="25" t="str">
        <f>IF('PART III-DEMOGRAPHICS'!A1820="","",'PART III-DEMOGRAPHICS'!A1820)</f>
        <v/>
      </c>
      <c r="B1810" s="28"/>
      <c r="C1810" s="27"/>
      <c r="D1810" s="28"/>
      <c r="E1810" s="21"/>
      <c r="F1810" s="36" t="str">
        <f t="shared" si="60"/>
        <v>Did Not</v>
      </c>
      <c r="G1810" s="28"/>
      <c r="H1810" s="28"/>
      <c r="I1810" s="28"/>
      <c r="J1810" s="28"/>
      <c r="K1810" s="28"/>
      <c r="L1810" s="28"/>
      <c r="M1810" s="28"/>
      <c r="N1810" s="21"/>
      <c r="O1810" s="28"/>
      <c r="P1810" s="38"/>
      <c r="Q1810" s="21"/>
      <c r="R1810" s="21"/>
      <c r="S1810" s="47"/>
      <c r="T1810" s="25">
        <f t="shared" si="59"/>
        <v>0</v>
      </c>
      <c r="U1810" s="25" t="str">
        <f>IF('PART III-DEMOGRAPHICS'!Q1820="","",'PART III-DEMOGRAPHICS'!Q1820)</f>
        <v/>
      </c>
    </row>
    <row r="1811" spans="1:21">
      <c r="A1811" s="25" t="str">
        <f>IF('PART III-DEMOGRAPHICS'!A1821="","",'PART III-DEMOGRAPHICS'!A1821)</f>
        <v/>
      </c>
      <c r="B1811" s="28"/>
      <c r="C1811" s="27"/>
      <c r="D1811" s="28"/>
      <c r="E1811" s="21"/>
      <c r="F1811" s="36" t="str">
        <f t="shared" si="60"/>
        <v>Did Not</v>
      </c>
      <c r="G1811" s="28"/>
      <c r="H1811" s="28"/>
      <c r="I1811" s="28"/>
      <c r="J1811" s="28"/>
      <c r="K1811" s="28"/>
      <c r="L1811" s="28"/>
      <c r="M1811" s="28"/>
      <c r="N1811" s="21"/>
      <c r="O1811" s="28"/>
      <c r="P1811" s="38"/>
      <c r="Q1811" s="21"/>
      <c r="R1811" s="21"/>
      <c r="S1811" s="47"/>
      <c r="T1811" s="25">
        <f t="shared" si="59"/>
        <v>0</v>
      </c>
      <c r="U1811" s="25" t="str">
        <f>IF('PART III-DEMOGRAPHICS'!Q1821="","",'PART III-DEMOGRAPHICS'!Q1821)</f>
        <v/>
      </c>
    </row>
    <row r="1812" spans="1:21">
      <c r="A1812" s="25" t="str">
        <f>IF('PART III-DEMOGRAPHICS'!A1822="","",'PART III-DEMOGRAPHICS'!A1822)</f>
        <v/>
      </c>
      <c r="B1812" s="28"/>
      <c r="C1812" s="27"/>
      <c r="D1812" s="28"/>
      <c r="E1812" s="21"/>
      <c r="F1812" s="36" t="str">
        <f t="shared" si="60"/>
        <v>Did Not</v>
      </c>
      <c r="G1812" s="28"/>
      <c r="H1812" s="28"/>
      <c r="I1812" s="28"/>
      <c r="J1812" s="28"/>
      <c r="K1812" s="28"/>
      <c r="L1812" s="28"/>
      <c r="M1812" s="28"/>
      <c r="N1812" s="21"/>
      <c r="O1812" s="28"/>
      <c r="P1812" s="38"/>
      <c r="Q1812" s="21"/>
      <c r="R1812" s="21"/>
      <c r="S1812" s="47"/>
      <c r="T1812" s="25">
        <f t="shared" si="59"/>
        <v>0</v>
      </c>
      <c r="U1812" s="25" t="str">
        <f>IF('PART III-DEMOGRAPHICS'!Q1822="","",'PART III-DEMOGRAPHICS'!Q1822)</f>
        <v/>
      </c>
    </row>
    <row r="1813" spans="1:21">
      <c r="A1813" s="25" t="str">
        <f>IF('PART III-DEMOGRAPHICS'!A1823="","",'PART III-DEMOGRAPHICS'!A1823)</f>
        <v/>
      </c>
      <c r="B1813" s="28"/>
      <c r="C1813" s="27"/>
      <c r="D1813" s="28"/>
      <c r="E1813" s="21"/>
      <c r="F1813" s="36" t="str">
        <f t="shared" si="60"/>
        <v>Did Not</v>
      </c>
      <c r="G1813" s="28"/>
      <c r="H1813" s="28"/>
      <c r="I1813" s="28"/>
      <c r="J1813" s="28"/>
      <c r="K1813" s="28"/>
      <c r="L1813" s="28"/>
      <c r="M1813" s="28"/>
      <c r="N1813" s="21"/>
      <c r="O1813" s="28"/>
      <c r="P1813" s="38"/>
      <c r="Q1813" s="21"/>
      <c r="R1813" s="21"/>
      <c r="S1813" s="47"/>
      <c r="T1813" s="25">
        <f t="shared" si="59"/>
        <v>0</v>
      </c>
      <c r="U1813" s="25" t="str">
        <f>IF('PART III-DEMOGRAPHICS'!Q1823="","",'PART III-DEMOGRAPHICS'!Q1823)</f>
        <v/>
      </c>
    </row>
    <row r="1814" spans="1:21">
      <c r="A1814" s="25" t="str">
        <f>IF('PART III-DEMOGRAPHICS'!A1824="","",'PART III-DEMOGRAPHICS'!A1824)</f>
        <v/>
      </c>
      <c r="B1814" s="28"/>
      <c r="C1814" s="27"/>
      <c r="D1814" s="28"/>
      <c r="E1814" s="21"/>
      <c r="F1814" s="36" t="str">
        <f t="shared" si="60"/>
        <v>Did Not</v>
      </c>
      <c r="G1814" s="28"/>
      <c r="H1814" s="28"/>
      <c r="I1814" s="28"/>
      <c r="J1814" s="28"/>
      <c r="K1814" s="28"/>
      <c r="L1814" s="28"/>
      <c r="M1814" s="28"/>
      <c r="N1814" s="21"/>
      <c r="O1814" s="28"/>
      <c r="P1814" s="38"/>
      <c r="Q1814" s="21"/>
      <c r="R1814" s="21"/>
      <c r="S1814" s="47"/>
      <c r="T1814" s="25">
        <f t="shared" si="59"/>
        <v>0</v>
      </c>
      <c r="U1814" s="25" t="str">
        <f>IF('PART III-DEMOGRAPHICS'!Q1824="","",'PART III-DEMOGRAPHICS'!Q1824)</f>
        <v/>
      </c>
    </row>
    <row r="1815" spans="1:21">
      <c r="A1815" s="25" t="str">
        <f>IF('PART III-DEMOGRAPHICS'!A1825="","",'PART III-DEMOGRAPHICS'!A1825)</f>
        <v/>
      </c>
      <c r="B1815" s="28"/>
      <c r="C1815" s="27"/>
      <c r="D1815" s="28"/>
      <c r="E1815" s="21"/>
      <c r="F1815" s="36" t="str">
        <f t="shared" si="60"/>
        <v>Did Not</v>
      </c>
      <c r="G1815" s="28"/>
      <c r="H1815" s="28"/>
      <c r="I1815" s="28"/>
      <c r="J1815" s="28"/>
      <c r="K1815" s="28"/>
      <c r="L1815" s="28"/>
      <c r="M1815" s="28"/>
      <c r="N1815" s="21"/>
      <c r="O1815" s="28"/>
      <c r="P1815" s="38"/>
      <c r="Q1815" s="21"/>
      <c r="R1815" s="21"/>
      <c r="S1815" s="47"/>
      <c r="T1815" s="25">
        <f t="shared" si="59"/>
        <v>0</v>
      </c>
      <c r="U1815" s="25" t="str">
        <f>IF('PART III-DEMOGRAPHICS'!Q1825="","",'PART III-DEMOGRAPHICS'!Q1825)</f>
        <v/>
      </c>
    </row>
    <row r="1816" spans="1:21">
      <c r="A1816" s="25" t="str">
        <f>IF('PART III-DEMOGRAPHICS'!A1826="","",'PART III-DEMOGRAPHICS'!A1826)</f>
        <v/>
      </c>
      <c r="B1816" s="28"/>
      <c r="C1816" s="27"/>
      <c r="D1816" s="28"/>
      <c r="E1816" s="21"/>
      <c r="F1816" s="36" t="str">
        <f t="shared" si="60"/>
        <v>Did Not</v>
      </c>
      <c r="G1816" s="28"/>
      <c r="H1816" s="28"/>
      <c r="I1816" s="28"/>
      <c r="J1816" s="28"/>
      <c r="K1816" s="28"/>
      <c r="L1816" s="28"/>
      <c r="M1816" s="28"/>
      <c r="N1816" s="21"/>
      <c r="O1816" s="28"/>
      <c r="P1816" s="38"/>
      <c r="Q1816" s="21"/>
      <c r="R1816" s="21"/>
      <c r="S1816" s="47"/>
      <c r="T1816" s="25">
        <f t="shared" si="59"/>
        <v>0</v>
      </c>
      <c r="U1816" s="25" t="str">
        <f>IF('PART III-DEMOGRAPHICS'!Q1826="","",'PART III-DEMOGRAPHICS'!Q1826)</f>
        <v/>
      </c>
    </row>
    <row r="1817" spans="1:21">
      <c r="A1817" s="25" t="str">
        <f>IF('PART III-DEMOGRAPHICS'!A1827="","",'PART III-DEMOGRAPHICS'!A1827)</f>
        <v/>
      </c>
      <c r="B1817" s="28"/>
      <c r="C1817" s="27"/>
      <c r="D1817" s="28"/>
      <c r="E1817" s="21"/>
      <c r="F1817" s="36" t="str">
        <f t="shared" si="60"/>
        <v>Did Not</v>
      </c>
      <c r="G1817" s="28"/>
      <c r="H1817" s="28"/>
      <c r="I1817" s="28"/>
      <c r="J1817" s="28"/>
      <c r="K1817" s="28"/>
      <c r="L1817" s="28"/>
      <c r="M1817" s="28"/>
      <c r="N1817" s="21"/>
      <c r="O1817" s="28"/>
      <c r="P1817" s="38"/>
      <c r="Q1817" s="21"/>
      <c r="R1817" s="21"/>
      <c r="S1817" s="47"/>
      <c r="T1817" s="25">
        <f t="shared" si="59"/>
        <v>0</v>
      </c>
      <c r="U1817" s="25" t="str">
        <f>IF('PART III-DEMOGRAPHICS'!Q1827="","",'PART III-DEMOGRAPHICS'!Q1827)</f>
        <v/>
      </c>
    </row>
    <row r="1818" spans="1:21">
      <c r="A1818" s="25" t="str">
        <f>IF('PART III-DEMOGRAPHICS'!A1828="","",'PART III-DEMOGRAPHICS'!A1828)</f>
        <v/>
      </c>
      <c r="B1818" s="28"/>
      <c r="C1818" s="27"/>
      <c r="D1818" s="28"/>
      <c r="E1818" s="21"/>
      <c r="F1818" s="36" t="str">
        <f t="shared" si="60"/>
        <v>Did Not</v>
      </c>
      <c r="G1818" s="28"/>
      <c r="H1818" s="28"/>
      <c r="I1818" s="28"/>
      <c r="J1818" s="28"/>
      <c r="K1818" s="28"/>
      <c r="L1818" s="28"/>
      <c r="M1818" s="28"/>
      <c r="N1818" s="21"/>
      <c r="O1818" s="28"/>
      <c r="P1818" s="38"/>
      <c r="Q1818" s="21"/>
      <c r="R1818" s="21"/>
      <c r="S1818" s="47"/>
      <c r="T1818" s="25">
        <f t="shared" si="59"/>
        <v>0</v>
      </c>
      <c r="U1818" s="25" t="str">
        <f>IF('PART III-DEMOGRAPHICS'!Q1828="","",'PART III-DEMOGRAPHICS'!Q1828)</f>
        <v/>
      </c>
    </row>
    <row r="1819" spans="1:21">
      <c r="A1819" s="25" t="str">
        <f>IF('PART III-DEMOGRAPHICS'!A1829="","",'PART III-DEMOGRAPHICS'!A1829)</f>
        <v/>
      </c>
      <c r="B1819" s="28"/>
      <c r="C1819" s="27"/>
      <c r="D1819" s="28"/>
      <c r="E1819" s="21"/>
      <c r="F1819" s="36" t="str">
        <f t="shared" si="60"/>
        <v>Did Not</v>
      </c>
      <c r="G1819" s="28"/>
      <c r="H1819" s="28"/>
      <c r="I1819" s="28"/>
      <c r="J1819" s="28"/>
      <c r="K1819" s="28"/>
      <c r="L1819" s="28"/>
      <c r="M1819" s="28"/>
      <c r="N1819" s="21"/>
      <c r="O1819" s="28"/>
      <c r="P1819" s="38"/>
      <c r="Q1819" s="21"/>
      <c r="R1819" s="21"/>
      <c r="S1819" s="47"/>
      <c r="T1819" s="25">
        <f t="shared" si="59"/>
        <v>0</v>
      </c>
      <c r="U1819" s="25" t="str">
        <f>IF('PART III-DEMOGRAPHICS'!Q1829="","",'PART III-DEMOGRAPHICS'!Q1829)</f>
        <v/>
      </c>
    </row>
    <row r="1820" spans="1:21">
      <c r="A1820" s="25" t="str">
        <f>IF('PART III-DEMOGRAPHICS'!A1830="","",'PART III-DEMOGRAPHICS'!A1830)</f>
        <v/>
      </c>
      <c r="B1820" s="28"/>
      <c r="C1820" s="27"/>
      <c r="D1820" s="28"/>
      <c r="E1820" s="21"/>
      <c r="F1820" s="36" t="str">
        <f t="shared" si="60"/>
        <v>Did Not</v>
      </c>
      <c r="G1820" s="28"/>
      <c r="H1820" s="28"/>
      <c r="I1820" s="28"/>
      <c r="J1820" s="28"/>
      <c r="K1820" s="28"/>
      <c r="L1820" s="28"/>
      <c r="M1820" s="28"/>
      <c r="N1820" s="21"/>
      <c r="O1820" s="28"/>
      <c r="P1820" s="38"/>
      <c r="Q1820" s="21"/>
      <c r="R1820" s="21"/>
      <c r="S1820" s="47"/>
      <c r="T1820" s="25">
        <f t="shared" si="59"/>
        <v>0</v>
      </c>
      <c r="U1820" s="25" t="str">
        <f>IF('PART III-DEMOGRAPHICS'!Q1830="","",'PART III-DEMOGRAPHICS'!Q1830)</f>
        <v/>
      </c>
    </row>
    <row r="1821" spans="1:21">
      <c r="A1821" s="25" t="str">
        <f>IF('PART III-DEMOGRAPHICS'!A1831="","",'PART III-DEMOGRAPHICS'!A1831)</f>
        <v/>
      </c>
      <c r="B1821" s="28"/>
      <c r="C1821" s="27"/>
      <c r="D1821" s="28"/>
      <c r="E1821" s="21"/>
      <c r="F1821" s="36" t="str">
        <f t="shared" si="60"/>
        <v>Did Not</v>
      </c>
      <c r="G1821" s="28"/>
      <c r="H1821" s="28"/>
      <c r="I1821" s="28"/>
      <c r="J1821" s="28"/>
      <c r="K1821" s="28"/>
      <c r="L1821" s="28"/>
      <c r="M1821" s="28"/>
      <c r="N1821" s="21"/>
      <c r="O1821" s="28"/>
      <c r="P1821" s="38"/>
      <c r="Q1821" s="21"/>
      <c r="R1821" s="21"/>
      <c r="S1821" s="47"/>
      <c r="T1821" s="25">
        <f t="shared" si="59"/>
        <v>0</v>
      </c>
      <c r="U1821" s="25" t="str">
        <f>IF('PART III-DEMOGRAPHICS'!Q1831="","",'PART III-DEMOGRAPHICS'!Q1831)</f>
        <v/>
      </c>
    </row>
    <row r="1822" spans="1:21">
      <c r="A1822" s="25" t="str">
        <f>IF('PART III-DEMOGRAPHICS'!A1832="","",'PART III-DEMOGRAPHICS'!A1832)</f>
        <v/>
      </c>
      <c r="B1822" s="28"/>
      <c r="C1822" s="27"/>
      <c r="D1822" s="28"/>
      <c r="E1822" s="21"/>
      <c r="F1822" s="36" t="str">
        <f t="shared" si="60"/>
        <v>Did Not</v>
      </c>
      <c r="G1822" s="28"/>
      <c r="H1822" s="28"/>
      <c r="I1822" s="28"/>
      <c r="J1822" s="28"/>
      <c r="K1822" s="28"/>
      <c r="L1822" s="28"/>
      <c r="M1822" s="28"/>
      <c r="N1822" s="21"/>
      <c r="O1822" s="28"/>
      <c r="P1822" s="38"/>
      <c r="Q1822" s="21"/>
      <c r="R1822" s="21"/>
      <c r="S1822" s="47"/>
      <c r="T1822" s="25">
        <f t="shared" si="59"/>
        <v>0</v>
      </c>
      <c r="U1822" s="25" t="str">
        <f>IF('PART III-DEMOGRAPHICS'!Q1832="","",'PART III-DEMOGRAPHICS'!Q1832)</f>
        <v/>
      </c>
    </row>
    <row r="1823" spans="1:21">
      <c r="A1823" s="25" t="str">
        <f>IF('PART III-DEMOGRAPHICS'!A1833="","",'PART III-DEMOGRAPHICS'!A1833)</f>
        <v/>
      </c>
      <c r="B1823" s="28"/>
      <c r="C1823" s="27"/>
      <c r="D1823" s="28"/>
      <c r="E1823" s="21"/>
      <c r="F1823" s="36" t="str">
        <f t="shared" si="60"/>
        <v>Did Not</v>
      </c>
      <c r="G1823" s="28"/>
      <c r="H1823" s="28"/>
      <c r="I1823" s="28"/>
      <c r="J1823" s="28"/>
      <c r="K1823" s="28"/>
      <c r="L1823" s="28"/>
      <c r="M1823" s="28"/>
      <c r="N1823" s="21"/>
      <c r="O1823" s="28"/>
      <c r="P1823" s="38"/>
      <c r="Q1823" s="21"/>
      <c r="R1823" s="21"/>
      <c r="S1823" s="47"/>
      <c r="T1823" s="25">
        <f t="shared" si="59"/>
        <v>0</v>
      </c>
      <c r="U1823" s="25" t="str">
        <f>IF('PART III-DEMOGRAPHICS'!Q1833="","",'PART III-DEMOGRAPHICS'!Q1833)</f>
        <v/>
      </c>
    </row>
    <row r="1824" spans="1:21">
      <c r="A1824" s="25" t="str">
        <f>IF('PART III-DEMOGRAPHICS'!A1834="","",'PART III-DEMOGRAPHICS'!A1834)</f>
        <v/>
      </c>
      <c r="B1824" s="28"/>
      <c r="C1824" s="27"/>
      <c r="D1824" s="28"/>
      <c r="E1824" s="21"/>
      <c r="F1824" s="36" t="str">
        <f t="shared" si="60"/>
        <v>Did Not</v>
      </c>
      <c r="G1824" s="28"/>
      <c r="H1824" s="28"/>
      <c r="I1824" s="28"/>
      <c r="J1824" s="28"/>
      <c r="K1824" s="28"/>
      <c r="L1824" s="28"/>
      <c r="M1824" s="28"/>
      <c r="N1824" s="21"/>
      <c r="O1824" s="28"/>
      <c r="P1824" s="38"/>
      <c r="Q1824" s="21"/>
      <c r="R1824" s="21"/>
      <c r="S1824" s="47"/>
      <c r="T1824" s="25">
        <f t="shared" si="59"/>
        <v>0</v>
      </c>
      <c r="U1824" s="25" t="str">
        <f>IF('PART III-DEMOGRAPHICS'!Q1834="","",'PART III-DEMOGRAPHICS'!Q1834)</f>
        <v/>
      </c>
    </row>
    <row r="1825" spans="1:21">
      <c r="A1825" s="25" t="str">
        <f>IF('PART III-DEMOGRAPHICS'!A1835="","",'PART III-DEMOGRAPHICS'!A1835)</f>
        <v/>
      </c>
      <c r="B1825" s="28"/>
      <c r="C1825" s="27"/>
      <c r="D1825" s="28"/>
      <c r="E1825" s="21"/>
      <c r="F1825" s="36" t="str">
        <f t="shared" si="60"/>
        <v>Did Not</v>
      </c>
      <c r="G1825" s="28"/>
      <c r="H1825" s="28"/>
      <c r="I1825" s="28"/>
      <c r="J1825" s="28"/>
      <c r="K1825" s="28"/>
      <c r="L1825" s="28"/>
      <c r="M1825" s="28"/>
      <c r="N1825" s="21"/>
      <c r="O1825" s="28"/>
      <c r="P1825" s="38"/>
      <c r="Q1825" s="21"/>
      <c r="R1825" s="21"/>
      <c r="S1825" s="47"/>
      <c r="T1825" s="25">
        <f t="shared" si="59"/>
        <v>0</v>
      </c>
      <c r="U1825" s="25" t="str">
        <f>IF('PART III-DEMOGRAPHICS'!Q1835="","",'PART III-DEMOGRAPHICS'!Q1835)</f>
        <v/>
      </c>
    </row>
    <row r="1826" spans="1:21">
      <c r="A1826" s="25" t="str">
        <f>IF('PART III-DEMOGRAPHICS'!A1836="","",'PART III-DEMOGRAPHICS'!A1836)</f>
        <v/>
      </c>
      <c r="B1826" s="28"/>
      <c r="C1826" s="27"/>
      <c r="D1826" s="28"/>
      <c r="E1826" s="21"/>
      <c r="F1826" s="36" t="str">
        <f t="shared" si="60"/>
        <v>Did Not</v>
      </c>
      <c r="G1826" s="28"/>
      <c r="H1826" s="28"/>
      <c r="I1826" s="28"/>
      <c r="J1826" s="28"/>
      <c r="K1826" s="28"/>
      <c r="L1826" s="28"/>
      <c r="M1826" s="28"/>
      <c r="N1826" s="21"/>
      <c r="O1826" s="28"/>
      <c r="P1826" s="38"/>
      <c r="Q1826" s="21"/>
      <c r="R1826" s="21"/>
      <c r="S1826" s="47"/>
      <c r="T1826" s="25">
        <f t="shared" si="59"/>
        <v>0</v>
      </c>
      <c r="U1826" s="25" t="str">
        <f>IF('PART III-DEMOGRAPHICS'!Q1836="","",'PART III-DEMOGRAPHICS'!Q1836)</f>
        <v/>
      </c>
    </row>
    <row r="1827" spans="1:21">
      <c r="A1827" s="25" t="str">
        <f>IF('PART III-DEMOGRAPHICS'!A1837="","",'PART III-DEMOGRAPHICS'!A1837)</f>
        <v/>
      </c>
      <c r="B1827" s="28"/>
      <c r="C1827" s="27"/>
      <c r="D1827" s="28"/>
      <c r="E1827" s="21"/>
      <c r="F1827" s="36" t="str">
        <f t="shared" si="60"/>
        <v>Did Not</v>
      </c>
      <c r="G1827" s="28"/>
      <c r="H1827" s="28"/>
      <c r="I1827" s="28"/>
      <c r="J1827" s="28"/>
      <c r="K1827" s="28"/>
      <c r="L1827" s="28"/>
      <c r="M1827" s="28"/>
      <c r="N1827" s="21"/>
      <c r="O1827" s="28"/>
      <c r="P1827" s="38"/>
      <c r="Q1827" s="21"/>
      <c r="R1827" s="21"/>
      <c r="S1827" s="47"/>
      <c r="T1827" s="25">
        <f t="shared" si="59"/>
        <v>0</v>
      </c>
      <c r="U1827" s="25" t="str">
        <f>IF('PART III-DEMOGRAPHICS'!Q1837="","",'PART III-DEMOGRAPHICS'!Q1837)</f>
        <v/>
      </c>
    </row>
    <row r="1828" spans="1:21">
      <c r="A1828" s="25" t="str">
        <f>IF('PART III-DEMOGRAPHICS'!A1838="","",'PART III-DEMOGRAPHICS'!A1838)</f>
        <v/>
      </c>
      <c r="B1828" s="28"/>
      <c r="C1828" s="27"/>
      <c r="D1828" s="28"/>
      <c r="E1828" s="21"/>
      <c r="F1828" s="36" t="str">
        <f t="shared" si="60"/>
        <v>Did Not</v>
      </c>
      <c r="G1828" s="28"/>
      <c r="H1828" s="28"/>
      <c r="I1828" s="28"/>
      <c r="J1828" s="28"/>
      <c r="K1828" s="28"/>
      <c r="L1828" s="28"/>
      <c r="M1828" s="28"/>
      <c r="N1828" s="21"/>
      <c r="O1828" s="28"/>
      <c r="P1828" s="38"/>
      <c r="Q1828" s="21"/>
      <c r="R1828" s="21"/>
      <c r="S1828" s="47"/>
      <c r="T1828" s="25">
        <f t="shared" si="59"/>
        <v>0</v>
      </c>
      <c r="U1828" s="25" t="str">
        <f>IF('PART III-DEMOGRAPHICS'!Q1838="","",'PART III-DEMOGRAPHICS'!Q1838)</f>
        <v/>
      </c>
    </row>
    <row r="1829" spans="1:21">
      <c r="A1829" s="25" t="str">
        <f>IF('PART III-DEMOGRAPHICS'!A1839="","",'PART III-DEMOGRAPHICS'!A1839)</f>
        <v/>
      </c>
      <c r="B1829" s="28"/>
      <c r="C1829" s="27"/>
      <c r="D1829" s="28"/>
      <c r="E1829" s="21"/>
      <c r="F1829" s="36" t="str">
        <f t="shared" si="60"/>
        <v>Did Not</v>
      </c>
      <c r="G1829" s="28"/>
      <c r="H1829" s="28"/>
      <c r="I1829" s="28"/>
      <c r="J1829" s="28"/>
      <c r="K1829" s="28"/>
      <c r="L1829" s="28"/>
      <c r="M1829" s="28"/>
      <c r="N1829" s="21"/>
      <c r="O1829" s="28"/>
      <c r="P1829" s="38"/>
      <c r="Q1829" s="21"/>
      <c r="R1829" s="21"/>
      <c r="S1829" s="47"/>
      <c r="T1829" s="25">
        <f t="shared" si="59"/>
        <v>0</v>
      </c>
      <c r="U1829" s="25" t="str">
        <f>IF('PART III-DEMOGRAPHICS'!Q1839="","",'PART III-DEMOGRAPHICS'!Q1839)</f>
        <v/>
      </c>
    </row>
    <row r="1830" spans="1:21">
      <c r="A1830" s="25" t="str">
        <f>IF('PART III-DEMOGRAPHICS'!A1840="","",'PART III-DEMOGRAPHICS'!A1840)</f>
        <v/>
      </c>
      <c r="B1830" s="28"/>
      <c r="C1830" s="27"/>
      <c r="D1830" s="28"/>
      <c r="E1830" s="21"/>
      <c r="F1830" s="36" t="str">
        <f t="shared" si="60"/>
        <v>Did Not</v>
      </c>
      <c r="G1830" s="28"/>
      <c r="H1830" s="28"/>
      <c r="I1830" s="28"/>
      <c r="J1830" s="28"/>
      <c r="K1830" s="28"/>
      <c r="L1830" s="28"/>
      <c r="M1830" s="28"/>
      <c r="N1830" s="21"/>
      <c r="O1830" s="28"/>
      <c r="P1830" s="38"/>
      <c r="Q1830" s="21"/>
      <c r="R1830" s="21"/>
      <c r="S1830" s="47"/>
      <c r="T1830" s="25">
        <f t="shared" si="59"/>
        <v>0</v>
      </c>
      <c r="U1830" s="25" t="str">
        <f>IF('PART III-DEMOGRAPHICS'!Q1840="","",'PART III-DEMOGRAPHICS'!Q1840)</f>
        <v/>
      </c>
    </row>
    <row r="1831" spans="1:21">
      <c r="A1831" s="25" t="str">
        <f>IF('PART III-DEMOGRAPHICS'!A1841="","",'PART III-DEMOGRAPHICS'!A1841)</f>
        <v/>
      </c>
      <c r="B1831" s="28"/>
      <c r="C1831" s="27"/>
      <c r="D1831" s="28"/>
      <c r="E1831" s="21"/>
      <c r="F1831" s="36" t="str">
        <f t="shared" si="60"/>
        <v>Did Not</v>
      </c>
      <c r="G1831" s="28"/>
      <c r="H1831" s="28"/>
      <c r="I1831" s="28"/>
      <c r="J1831" s="28"/>
      <c r="K1831" s="28"/>
      <c r="L1831" s="28"/>
      <c r="M1831" s="28"/>
      <c r="N1831" s="21"/>
      <c r="O1831" s="28"/>
      <c r="P1831" s="38"/>
      <c r="Q1831" s="21"/>
      <c r="R1831" s="21"/>
      <c r="S1831" s="47"/>
      <c r="T1831" s="25">
        <f t="shared" si="59"/>
        <v>0</v>
      </c>
      <c r="U1831" s="25" t="str">
        <f>IF('PART III-DEMOGRAPHICS'!Q1841="","",'PART III-DEMOGRAPHICS'!Q1841)</f>
        <v/>
      </c>
    </row>
    <row r="1832" spans="1:21">
      <c r="A1832" s="25" t="str">
        <f>IF('PART III-DEMOGRAPHICS'!A1842="","",'PART III-DEMOGRAPHICS'!A1842)</f>
        <v/>
      </c>
      <c r="B1832" s="28"/>
      <c r="C1832" s="27"/>
      <c r="D1832" s="28"/>
      <c r="E1832" s="21"/>
      <c r="F1832" s="36" t="str">
        <f t="shared" si="60"/>
        <v>Did Not</v>
      </c>
      <c r="G1832" s="28"/>
      <c r="H1832" s="28"/>
      <c r="I1832" s="28"/>
      <c r="J1832" s="28"/>
      <c r="K1832" s="28"/>
      <c r="L1832" s="28"/>
      <c r="M1832" s="28"/>
      <c r="N1832" s="21"/>
      <c r="O1832" s="28"/>
      <c r="P1832" s="38"/>
      <c r="Q1832" s="21"/>
      <c r="R1832" s="21"/>
      <c r="S1832" s="47"/>
      <c r="T1832" s="25">
        <f t="shared" si="59"/>
        <v>0</v>
      </c>
      <c r="U1832" s="25" t="str">
        <f>IF('PART III-DEMOGRAPHICS'!Q1842="","",'PART III-DEMOGRAPHICS'!Q1842)</f>
        <v/>
      </c>
    </row>
    <row r="1833" spans="1:21">
      <c r="A1833" s="25" t="str">
        <f>IF('PART III-DEMOGRAPHICS'!A1843="","",'PART III-DEMOGRAPHICS'!A1843)</f>
        <v/>
      </c>
      <c r="B1833" s="28"/>
      <c r="C1833" s="27"/>
      <c r="D1833" s="28"/>
      <c r="E1833" s="21"/>
      <c r="F1833" s="36" t="str">
        <f t="shared" si="60"/>
        <v>Did Not</v>
      </c>
      <c r="G1833" s="28"/>
      <c r="H1833" s="28"/>
      <c r="I1833" s="28"/>
      <c r="J1833" s="28"/>
      <c r="K1833" s="28"/>
      <c r="L1833" s="28"/>
      <c r="M1833" s="28"/>
      <c r="N1833" s="21"/>
      <c r="O1833" s="28"/>
      <c r="P1833" s="38"/>
      <c r="Q1833" s="21"/>
      <c r="R1833" s="21"/>
      <c r="S1833" s="47"/>
      <c r="T1833" s="25">
        <f t="shared" si="59"/>
        <v>0</v>
      </c>
      <c r="U1833" s="25" t="str">
        <f>IF('PART III-DEMOGRAPHICS'!Q1843="","",'PART III-DEMOGRAPHICS'!Q1843)</f>
        <v/>
      </c>
    </row>
    <row r="1834" spans="1:21">
      <c r="A1834" s="25" t="str">
        <f>IF('PART III-DEMOGRAPHICS'!A1844="","",'PART III-DEMOGRAPHICS'!A1844)</f>
        <v/>
      </c>
      <c r="B1834" s="28"/>
      <c r="C1834" s="27"/>
      <c r="D1834" s="28"/>
      <c r="E1834" s="21"/>
      <c r="F1834" s="36" t="str">
        <f t="shared" si="60"/>
        <v>Did Not</v>
      </c>
      <c r="G1834" s="28"/>
      <c r="H1834" s="28"/>
      <c r="I1834" s="28"/>
      <c r="J1834" s="28"/>
      <c r="K1834" s="28"/>
      <c r="L1834" s="28"/>
      <c r="M1834" s="28"/>
      <c r="N1834" s="21"/>
      <c r="O1834" s="28"/>
      <c r="P1834" s="38"/>
      <c r="Q1834" s="21"/>
      <c r="R1834" s="21"/>
      <c r="S1834" s="47"/>
      <c r="T1834" s="25">
        <f t="shared" si="59"/>
        <v>0</v>
      </c>
      <c r="U1834" s="25" t="str">
        <f>IF('PART III-DEMOGRAPHICS'!Q1844="","",'PART III-DEMOGRAPHICS'!Q1844)</f>
        <v/>
      </c>
    </row>
    <row r="1835" spans="1:21">
      <c r="A1835" s="25" t="str">
        <f>IF('PART III-DEMOGRAPHICS'!A1845="","",'PART III-DEMOGRAPHICS'!A1845)</f>
        <v/>
      </c>
      <c r="B1835" s="28"/>
      <c r="C1835" s="27"/>
      <c r="D1835" s="28"/>
      <c r="E1835" s="21"/>
      <c r="F1835" s="36" t="str">
        <f t="shared" si="60"/>
        <v>Did Not</v>
      </c>
      <c r="G1835" s="28"/>
      <c r="H1835" s="28"/>
      <c r="I1835" s="28"/>
      <c r="J1835" s="28"/>
      <c r="K1835" s="28"/>
      <c r="L1835" s="28"/>
      <c r="M1835" s="28"/>
      <c r="N1835" s="21"/>
      <c r="O1835" s="28"/>
      <c r="P1835" s="38"/>
      <c r="Q1835" s="21"/>
      <c r="R1835" s="21"/>
      <c r="S1835" s="47"/>
      <c r="T1835" s="25">
        <f t="shared" si="59"/>
        <v>0</v>
      </c>
      <c r="U1835" s="25" t="str">
        <f>IF('PART III-DEMOGRAPHICS'!Q1845="","",'PART III-DEMOGRAPHICS'!Q1845)</f>
        <v/>
      </c>
    </row>
    <row r="1836" spans="1:21">
      <c r="A1836" s="25" t="str">
        <f>IF('PART III-DEMOGRAPHICS'!A1846="","",'PART III-DEMOGRAPHICS'!A1846)</f>
        <v/>
      </c>
      <c r="B1836" s="28"/>
      <c r="C1836" s="27"/>
      <c r="D1836" s="28"/>
      <c r="E1836" s="21"/>
      <c r="F1836" s="36" t="str">
        <f t="shared" si="60"/>
        <v>Did Not</v>
      </c>
      <c r="G1836" s="28"/>
      <c r="H1836" s="28"/>
      <c r="I1836" s="28"/>
      <c r="J1836" s="28"/>
      <c r="K1836" s="28"/>
      <c r="L1836" s="28"/>
      <c r="M1836" s="28"/>
      <c r="N1836" s="21"/>
      <c r="O1836" s="28"/>
      <c r="P1836" s="38"/>
      <c r="Q1836" s="21"/>
      <c r="R1836" s="21"/>
      <c r="S1836" s="47"/>
      <c r="T1836" s="25">
        <f t="shared" si="59"/>
        <v>0</v>
      </c>
      <c r="U1836" s="25" t="str">
        <f>IF('PART III-DEMOGRAPHICS'!Q1846="","",'PART III-DEMOGRAPHICS'!Q1846)</f>
        <v/>
      </c>
    </row>
    <row r="1837" spans="1:21">
      <c r="A1837" s="25" t="str">
        <f>IF('PART III-DEMOGRAPHICS'!A1847="","",'PART III-DEMOGRAPHICS'!A1847)</f>
        <v/>
      </c>
      <c r="B1837" s="28"/>
      <c r="C1837" s="27"/>
      <c r="D1837" s="28"/>
      <c r="E1837" s="21"/>
      <c r="F1837" s="36" t="str">
        <f t="shared" si="60"/>
        <v>Did Not</v>
      </c>
      <c r="G1837" s="28"/>
      <c r="H1837" s="28"/>
      <c r="I1837" s="28"/>
      <c r="J1837" s="28"/>
      <c r="K1837" s="28"/>
      <c r="L1837" s="28"/>
      <c r="M1837" s="28"/>
      <c r="N1837" s="21"/>
      <c r="O1837" s="28"/>
      <c r="P1837" s="38"/>
      <c r="Q1837" s="21"/>
      <c r="R1837" s="21"/>
      <c r="S1837" s="47"/>
      <c r="T1837" s="25">
        <f t="shared" si="59"/>
        <v>0</v>
      </c>
      <c r="U1837" s="25" t="str">
        <f>IF('PART III-DEMOGRAPHICS'!Q1847="","",'PART III-DEMOGRAPHICS'!Q1847)</f>
        <v/>
      </c>
    </row>
    <row r="1838" spans="1:21">
      <c r="A1838" s="25" t="str">
        <f>IF('PART III-DEMOGRAPHICS'!A1848="","",'PART III-DEMOGRAPHICS'!A1848)</f>
        <v/>
      </c>
      <c r="B1838" s="28"/>
      <c r="C1838" s="27"/>
      <c r="D1838" s="28"/>
      <c r="E1838" s="21"/>
      <c r="F1838" s="36" t="str">
        <f t="shared" si="60"/>
        <v>Did Not</v>
      </c>
      <c r="G1838" s="28"/>
      <c r="H1838" s="28"/>
      <c r="I1838" s="28"/>
      <c r="J1838" s="28"/>
      <c r="K1838" s="28"/>
      <c r="L1838" s="28"/>
      <c r="M1838" s="28"/>
      <c r="N1838" s="21"/>
      <c r="O1838" s="28"/>
      <c r="P1838" s="38"/>
      <c r="Q1838" s="21"/>
      <c r="R1838" s="21"/>
      <c r="S1838" s="47"/>
      <c r="T1838" s="25">
        <f t="shared" si="59"/>
        <v>0</v>
      </c>
      <c r="U1838" s="25" t="str">
        <f>IF('PART III-DEMOGRAPHICS'!Q1848="","",'PART III-DEMOGRAPHICS'!Q1848)</f>
        <v/>
      </c>
    </row>
    <row r="1839" spans="1:21">
      <c r="A1839" s="25" t="str">
        <f>IF('PART III-DEMOGRAPHICS'!A1849="","",'PART III-DEMOGRAPHICS'!A1849)</f>
        <v/>
      </c>
      <c r="B1839" s="28"/>
      <c r="C1839" s="27"/>
      <c r="D1839" s="28"/>
      <c r="E1839" s="21"/>
      <c r="F1839" s="36" t="str">
        <f t="shared" si="60"/>
        <v>Did Not</v>
      </c>
      <c r="G1839" s="28"/>
      <c r="H1839" s="28"/>
      <c r="I1839" s="28"/>
      <c r="J1839" s="28"/>
      <c r="K1839" s="28"/>
      <c r="L1839" s="28"/>
      <c r="M1839" s="28"/>
      <c r="N1839" s="21"/>
      <c r="O1839" s="28"/>
      <c r="P1839" s="38"/>
      <c r="Q1839" s="21"/>
      <c r="R1839" s="21"/>
      <c r="S1839" s="47"/>
      <c r="T1839" s="25">
        <f t="shared" si="59"/>
        <v>0</v>
      </c>
      <c r="U1839" s="25" t="str">
        <f>IF('PART III-DEMOGRAPHICS'!Q1849="","",'PART III-DEMOGRAPHICS'!Q1849)</f>
        <v/>
      </c>
    </row>
    <row r="1840" spans="1:21">
      <c r="A1840" s="25" t="str">
        <f>IF('PART III-DEMOGRAPHICS'!A1850="","",'PART III-DEMOGRAPHICS'!A1850)</f>
        <v/>
      </c>
      <c r="B1840" s="28"/>
      <c r="C1840" s="27"/>
      <c r="D1840" s="28"/>
      <c r="E1840" s="21"/>
      <c r="F1840" s="36" t="str">
        <f t="shared" si="60"/>
        <v>Did Not</v>
      </c>
      <c r="G1840" s="28"/>
      <c r="H1840" s="28"/>
      <c r="I1840" s="28"/>
      <c r="J1840" s="28"/>
      <c r="K1840" s="28"/>
      <c r="L1840" s="28"/>
      <c r="M1840" s="28"/>
      <c r="N1840" s="21"/>
      <c r="O1840" s="28"/>
      <c r="P1840" s="38"/>
      <c r="Q1840" s="21"/>
      <c r="R1840" s="21"/>
      <c r="S1840" s="47"/>
      <c r="T1840" s="25">
        <f t="shared" si="59"/>
        <v>0</v>
      </c>
      <c r="U1840" s="25" t="str">
        <f>IF('PART III-DEMOGRAPHICS'!Q1850="","",'PART III-DEMOGRAPHICS'!Q1850)</f>
        <v/>
      </c>
    </row>
    <row r="1841" spans="1:21">
      <c r="A1841" s="25" t="str">
        <f>IF('PART III-DEMOGRAPHICS'!A1851="","",'PART III-DEMOGRAPHICS'!A1851)</f>
        <v/>
      </c>
      <c r="B1841" s="28"/>
      <c r="C1841" s="27"/>
      <c r="D1841" s="28"/>
      <c r="E1841" s="21"/>
      <c r="F1841" s="36" t="str">
        <f t="shared" si="60"/>
        <v>Did Not</v>
      </c>
      <c r="G1841" s="28"/>
      <c r="H1841" s="28"/>
      <c r="I1841" s="28"/>
      <c r="J1841" s="28"/>
      <c r="K1841" s="28"/>
      <c r="L1841" s="28"/>
      <c r="M1841" s="28"/>
      <c r="N1841" s="21"/>
      <c r="O1841" s="28"/>
      <c r="P1841" s="38"/>
      <c r="Q1841" s="21"/>
      <c r="R1841" s="21"/>
      <c r="S1841" s="47"/>
      <c r="T1841" s="25">
        <f t="shared" si="59"/>
        <v>0</v>
      </c>
      <c r="U1841" s="25" t="str">
        <f>IF('PART III-DEMOGRAPHICS'!Q1851="","",'PART III-DEMOGRAPHICS'!Q1851)</f>
        <v/>
      </c>
    </row>
    <row r="1842" spans="1:21">
      <c r="A1842" s="25" t="str">
        <f>IF('PART III-DEMOGRAPHICS'!A1852="","",'PART III-DEMOGRAPHICS'!A1852)</f>
        <v/>
      </c>
      <c r="B1842" s="28"/>
      <c r="C1842" s="27"/>
      <c r="D1842" s="28"/>
      <c r="E1842" s="21"/>
      <c r="F1842" s="36" t="str">
        <f t="shared" si="60"/>
        <v>Did Not</v>
      </c>
      <c r="G1842" s="28"/>
      <c r="H1842" s="28"/>
      <c r="I1842" s="28"/>
      <c r="J1842" s="28"/>
      <c r="K1842" s="28"/>
      <c r="L1842" s="28"/>
      <c r="M1842" s="28"/>
      <c r="N1842" s="21"/>
      <c r="O1842" s="28"/>
      <c r="P1842" s="38"/>
      <c r="Q1842" s="21"/>
      <c r="R1842" s="21"/>
      <c r="S1842" s="47"/>
      <c r="T1842" s="25">
        <f t="shared" si="59"/>
        <v>0</v>
      </c>
      <c r="U1842" s="25" t="str">
        <f>IF('PART III-DEMOGRAPHICS'!Q1852="","",'PART III-DEMOGRAPHICS'!Q1852)</f>
        <v/>
      </c>
    </row>
    <row r="1843" spans="1:21">
      <c r="A1843" s="25" t="str">
        <f>IF('PART III-DEMOGRAPHICS'!A1853="","",'PART III-DEMOGRAPHICS'!A1853)</f>
        <v/>
      </c>
      <c r="B1843" s="28"/>
      <c r="C1843" s="27"/>
      <c r="D1843" s="28"/>
      <c r="E1843" s="21"/>
      <c r="F1843" s="36" t="str">
        <f t="shared" si="60"/>
        <v>Did Not</v>
      </c>
      <c r="G1843" s="28"/>
      <c r="H1843" s="28"/>
      <c r="I1843" s="28"/>
      <c r="J1843" s="28"/>
      <c r="K1843" s="28"/>
      <c r="L1843" s="28"/>
      <c r="M1843" s="28"/>
      <c r="N1843" s="21"/>
      <c r="O1843" s="28"/>
      <c r="P1843" s="38"/>
      <c r="Q1843" s="21"/>
      <c r="R1843" s="21"/>
      <c r="S1843" s="47"/>
      <c r="T1843" s="25">
        <f t="shared" si="59"/>
        <v>0</v>
      </c>
      <c r="U1843" s="25" t="str">
        <f>IF('PART III-DEMOGRAPHICS'!Q1853="","",'PART III-DEMOGRAPHICS'!Q1853)</f>
        <v/>
      </c>
    </row>
    <row r="1844" spans="1:21">
      <c r="A1844" s="25" t="str">
        <f>IF('PART III-DEMOGRAPHICS'!A1854="","",'PART III-DEMOGRAPHICS'!A1854)</f>
        <v/>
      </c>
      <c r="B1844" s="28"/>
      <c r="C1844" s="27"/>
      <c r="D1844" s="28"/>
      <c r="E1844" s="21"/>
      <c r="F1844" s="36" t="str">
        <f t="shared" si="60"/>
        <v>Did Not</v>
      </c>
      <c r="G1844" s="28"/>
      <c r="H1844" s="28"/>
      <c r="I1844" s="28"/>
      <c r="J1844" s="28"/>
      <c r="K1844" s="28"/>
      <c r="L1844" s="28"/>
      <c r="M1844" s="28"/>
      <c r="N1844" s="21"/>
      <c r="O1844" s="28"/>
      <c r="P1844" s="38"/>
      <c r="Q1844" s="21"/>
      <c r="R1844" s="21"/>
      <c r="S1844" s="47"/>
      <c r="T1844" s="25">
        <f t="shared" si="59"/>
        <v>0</v>
      </c>
      <c r="U1844" s="25" t="str">
        <f>IF('PART III-DEMOGRAPHICS'!Q1854="","",'PART III-DEMOGRAPHICS'!Q1854)</f>
        <v/>
      </c>
    </row>
    <row r="1845" spans="1:21">
      <c r="A1845" s="25" t="str">
        <f>IF('PART III-DEMOGRAPHICS'!A1855="","",'PART III-DEMOGRAPHICS'!A1855)</f>
        <v/>
      </c>
      <c r="B1845" s="28"/>
      <c r="C1845" s="27"/>
      <c r="D1845" s="28"/>
      <c r="E1845" s="21"/>
      <c r="F1845" s="36" t="str">
        <f t="shared" si="60"/>
        <v>Did Not</v>
      </c>
      <c r="G1845" s="28"/>
      <c r="H1845" s="28"/>
      <c r="I1845" s="28"/>
      <c r="J1845" s="28"/>
      <c r="K1845" s="28"/>
      <c r="L1845" s="28"/>
      <c r="M1845" s="28"/>
      <c r="N1845" s="21"/>
      <c r="O1845" s="28"/>
      <c r="P1845" s="38"/>
      <c r="Q1845" s="21"/>
      <c r="R1845" s="21"/>
      <c r="S1845" s="47"/>
      <c r="T1845" s="25">
        <f t="shared" si="59"/>
        <v>0</v>
      </c>
      <c r="U1845" s="25" t="str">
        <f>IF('PART III-DEMOGRAPHICS'!Q1855="","",'PART III-DEMOGRAPHICS'!Q1855)</f>
        <v/>
      </c>
    </row>
    <row r="1846" spans="1:21">
      <c r="A1846" s="25" t="str">
        <f>IF('PART III-DEMOGRAPHICS'!A1856="","",'PART III-DEMOGRAPHICS'!A1856)</f>
        <v/>
      </c>
      <c r="B1846" s="28"/>
      <c r="C1846" s="27"/>
      <c r="D1846" s="28"/>
      <c r="E1846" s="21"/>
      <c r="F1846" s="36" t="str">
        <f t="shared" si="60"/>
        <v>Did Not</v>
      </c>
      <c r="G1846" s="28"/>
      <c r="H1846" s="28"/>
      <c r="I1846" s="28"/>
      <c r="J1846" s="28"/>
      <c r="K1846" s="28"/>
      <c r="L1846" s="28"/>
      <c r="M1846" s="28"/>
      <c r="N1846" s="21"/>
      <c r="O1846" s="28"/>
      <c r="P1846" s="38"/>
      <c r="Q1846" s="21"/>
      <c r="R1846" s="21"/>
      <c r="S1846" s="47"/>
      <c r="T1846" s="25">
        <f t="shared" si="59"/>
        <v>0</v>
      </c>
      <c r="U1846" s="25" t="str">
        <f>IF('PART III-DEMOGRAPHICS'!Q1856="","",'PART III-DEMOGRAPHICS'!Q1856)</f>
        <v/>
      </c>
    </row>
    <row r="1847" spans="1:21">
      <c r="A1847" s="25" t="str">
        <f>IF('PART III-DEMOGRAPHICS'!A1857="","",'PART III-DEMOGRAPHICS'!A1857)</f>
        <v/>
      </c>
      <c r="B1847" s="28"/>
      <c r="C1847" s="27"/>
      <c r="D1847" s="28"/>
      <c r="E1847" s="21"/>
      <c r="F1847" s="36" t="str">
        <f t="shared" si="60"/>
        <v>Did Not</v>
      </c>
      <c r="G1847" s="28"/>
      <c r="H1847" s="28"/>
      <c r="I1847" s="28"/>
      <c r="J1847" s="28"/>
      <c r="K1847" s="28"/>
      <c r="L1847" s="28"/>
      <c r="M1847" s="28"/>
      <c r="N1847" s="21"/>
      <c r="O1847" s="28"/>
      <c r="P1847" s="38"/>
      <c r="Q1847" s="21"/>
      <c r="R1847" s="21"/>
      <c r="S1847" s="47"/>
      <c r="T1847" s="25">
        <f t="shared" si="59"/>
        <v>0</v>
      </c>
      <c r="U1847" s="25" t="str">
        <f>IF('PART III-DEMOGRAPHICS'!Q1857="","",'PART III-DEMOGRAPHICS'!Q1857)</f>
        <v/>
      </c>
    </row>
    <row r="1848" spans="1:21">
      <c r="A1848" s="25" t="str">
        <f>IF('PART III-DEMOGRAPHICS'!A1858="","",'PART III-DEMOGRAPHICS'!A1858)</f>
        <v/>
      </c>
      <c r="B1848" s="28"/>
      <c r="C1848" s="27"/>
      <c r="D1848" s="28"/>
      <c r="E1848" s="21"/>
      <c r="F1848" s="36" t="str">
        <f t="shared" si="60"/>
        <v>Did Not</v>
      </c>
      <c r="G1848" s="28"/>
      <c r="H1848" s="28"/>
      <c r="I1848" s="28"/>
      <c r="J1848" s="28"/>
      <c r="K1848" s="28"/>
      <c r="L1848" s="28"/>
      <c r="M1848" s="28"/>
      <c r="N1848" s="21"/>
      <c r="O1848" s="28"/>
      <c r="P1848" s="38"/>
      <c r="Q1848" s="21"/>
      <c r="R1848" s="21"/>
      <c r="S1848" s="47"/>
      <c r="T1848" s="25">
        <f t="shared" si="59"/>
        <v>0</v>
      </c>
      <c r="U1848" s="25" t="str">
        <f>IF('PART III-DEMOGRAPHICS'!Q1858="","",'PART III-DEMOGRAPHICS'!Q1858)</f>
        <v/>
      </c>
    </row>
    <row r="1849" spans="1:21">
      <c r="A1849" s="25" t="str">
        <f>IF('PART III-DEMOGRAPHICS'!A1859="","",'PART III-DEMOGRAPHICS'!A1859)</f>
        <v/>
      </c>
      <c r="B1849" s="28"/>
      <c r="C1849" s="27"/>
      <c r="D1849" s="28"/>
      <c r="E1849" s="21"/>
      <c r="F1849" s="36" t="str">
        <f t="shared" si="60"/>
        <v>Did Not</v>
      </c>
      <c r="G1849" s="28"/>
      <c r="H1849" s="28"/>
      <c r="I1849" s="28"/>
      <c r="J1849" s="28"/>
      <c r="K1849" s="28"/>
      <c r="L1849" s="28"/>
      <c r="M1849" s="28"/>
      <c r="N1849" s="21"/>
      <c r="O1849" s="28"/>
      <c r="P1849" s="38"/>
      <c r="Q1849" s="21"/>
      <c r="R1849" s="21"/>
      <c r="S1849" s="47"/>
      <c r="T1849" s="25">
        <f t="shared" si="59"/>
        <v>0</v>
      </c>
      <c r="U1849" s="25" t="str">
        <f>IF('PART III-DEMOGRAPHICS'!Q1859="","",'PART III-DEMOGRAPHICS'!Q1859)</f>
        <v/>
      </c>
    </row>
    <row r="1850" spans="1:21">
      <c r="A1850" s="25" t="str">
        <f>IF('PART III-DEMOGRAPHICS'!A1860="","",'PART III-DEMOGRAPHICS'!A1860)</f>
        <v/>
      </c>
      <c r="B1850" s="28"/>
      <c r="C1850" s="27"/>
      <c r="D1850" s="28"/>
      <c r="E1850" s="21"/>
      <c r="F1850" s="36" t="str">
        <f t="shared" si="60"/>
        <v>Did Not</v>
      </c>
      <c r="G1850" s="28"/>
      <c r="H1850" s="28"/>
      <c r="I1850" s="28"/>
      <c r="J1850" s="28"/>
      <c r="K1850" s="28"/>
      <c r="L1850" s="28"/>
      <c r="M1850" s="28"/>
      <c r="N1850" s="21"/>
      <c r="O1850" s="28"/>
      <c r="P1850" s="38"/>
      <c r="Q1850" s="21"/>
      <c r="R1850" s="21"/>
      <c r="S1850" s="47"/>
      <c r="T1850" s="25">
        <f t="shared" si="59"/>
        <v>0</v>
      </c>
      <c r="U1850" s="25" t="str">
        <f>IF('PART III-DEMOGRAPHICS'!Q1860="","",'PART III-DEMOGRAPHICS'!Q1860)</f>
        <v/>
      </c>
    </row>
    <row r="1851" spans="1:21">
      <c r="A1851" s="25" t="str">
        <f>IF('PART III-DEMOGRAPHICS'!A1861="","",'PART III-DEMOGRAPHICS'!A1861)</f>
        <v/>
      </c>
      <c r="B1851" s="28"/>
      <c r="C1851" s="27"/>
      <c r="D1851" s="28"/>
      <c r="E1851" s="21"/>
      <c r="F1851" s="36" t="str">
        <f t="shared" si="60"/>
        <v>Did Not</v>
      </c>
      <c r="G1851" s="28"/>
      <c r="H1851" s="28"/>
      <c r="I1851" s="28"/>
      <c r="J1851" s="28"/>
      <c r="K1851" s="28"/>
      <c r="L1851" s="28"/>
      <c r="M1851" s="28"/>
      <c r="N1851" s="21"/>
      <c r="O1851" s="28"/>
      <c r="P1851" s="38"/>
      <c r="Q1851" s="21"/>
      <c r="R1851" s="21"/>
      <c r="S1851" s="47"/>
      <c r="T1851" s="25">
        <f t="shared" si="59"/>
        <v>0</v>
      </c>
      <c r="U1851" s="25" t="str">
        <f>IF('PART III-DEMOGRAPHICS'!Q1861="","",'PART III-DEMOGRAPHICS'!Q1861)</f>
        <v/>
      </c>
    </row>
    <row r="1852" spans="1:21">
      <c r="A1852" s="25" t="str">
        <f>IF('PART III-DEMOGRAPHICS'!A1862="","",'PART III-DEMOGRAPHICS'!A1862)</f>
        <v/>
      </c>
      <c r="B1852" s="28"/>
      <c r="C1852" s="27"/>
      <c r="D1852" s="28"/>
      <c r="E1852" s="21"/>
      <c r="F1852" s="36" t="str">
        <f t="shared" si="60"/>
        <v>Did Not</v>
      </c>
      <c r="G1852" s="28"/>
      <c r="H1852" s="28"/>
      <c r="I1852" s="28"/>
      <c r="J1852" s="28"/>
      <c r="K1852" s="28"/>
      <c r="L1852" s="28"/>
      <c r="M1852" s="28"/>
      <c r="N1852" s="21"/>
      <c r="O1852" s="28"/>
      <c r="P1852" s="38"/>
      <c r="Q1852" s="21"/>
      <c r="R1852" s="21"/>
      <c r="S1852" s="47"/>
      <c r="T1852" s="25">
        <f t="shared" si="59"/>
        <v>0</v>
      </c>
      <c r="U1852" s="25" t="str">
        <f>IF('PART III-DEMOGRAPHICS'!Q1862="","",'PART III-DEMOGRAPHICS'!Q1862)</f>
        <v/>
      </c>
    </row>
    <row r="1853" spans="1:21">
      <c r="A1853" s="25" t="str">
        <f>IF('PART III-DEMOGRAPHICS'!A1863="","",'PART III-DEMOGRAPHICS'!A1863)</f>
        <v/>
      </c>
      <c r="B1853" s="28"/>
      <c r="C1853" s="27"/>
      <c r="D1853" s="28"/>
      <c r="E1853" s="21"/>
      <c r="F1853" s="36" t="str">
        <f t="shared" si="60"/>
        <v>Did Not</v>
      </c>
      <c r="G1853" s="28"/>
      <c r="H1853" s="28"/>
      <c r="I1853" s="28"/>
      <c r="J1853" s="28"/>
      <c r="K1853" s="28"/>
      <c r="L1853" s="28"/>
      <c r="M1853" s="28"/>
      <c r="N1853" s="21"/>
      <c r="O1853" s="28"/>
      <c r="P1853" s="38"/>
      <c r="Q1853" s="21"/>
      <c r="R1853" s="21"/>
      <c r="S1853" s="47"/>
      <c r="T1853" s="25">
        <f t="shared" si="59"/>
        <v>0</v>
      </c>
      <c r="U1853" s="25" t="str">
        <f>IF('PART III-DEMOGRAPHICS'!Q1863="","",'PART III-DEMOGRAPHICS'!Q1863)</f>
        <v/>
      </c>
    </row>
    <row r="1854" spans="1:21">
      <c r="A1854" s="25" t="str">
        <f>IF('PART III-DEMOGRAPHICS'!A1864="","",'PART III-DEMOGRAPHICS'!A1864)</f>
        <v/>
      </c>
      <c r="B1854" s="28"/>
      <c r="C1854" s="27"/>
      <c r="D1854" s="28"/>
      <c r="E1854" s="21"/>
      <c r="F1854" s="36" t="str">
        <f t="shared" si="60"/>
        <v>Did Not</v>
      </c>
      <c r="G1854" s="28"/>
      <c r="H1854" s="28"/>
      <c r="I1854" s="28"/>
      <c r="J1854" s="28"/>
      <c r="K1854" s="28"/>
      <c r="L1854" s="28"/>
      <c r="M1854" s="28"/>
      <c r="N1854" s="21"/>
      <c r="O1854" s="28"/>
      <c r="P1854" s="38"/>
      <c r="Q1854" s="21"/>
      <c r="R1854" s="21"/>
      <c r="S1854" s="47"/>
      <c r="T1854" s="25">
        <f t="shared" si="59"/>
        <v>0</v>
      </c>
      <c r="U1854" s="25" t="str">
        <f>IF('PART III-DEMOGRAPHICS'!Q1864="","",'PART III-DEMOGRAPHICS'!Q1864)</f>
        <v/>
      </c>
    </row>
    <row r="1855" spans="1:21">
      <c r="A1855" s="25" t="str">
        <f>IF('PART III-DEMOGRAPHICS'!A1865="","",'PART III-DEMOGRAPHICS'!A1865)</f>
        <v/>
      </c>
      <c r="B1855" s="28"/>
      <c r="C1855" s="27"/>
      <c r="D1855" s="28"/>
      <c r="E1855" s="21"/>
      <c r="F1855" s="36" t="str">
        <f t="shared" si="60"/>
        <v>Did Not</v>
      </c>
      <c r="G1855" s="28"/>
      <c r="H1855" s="28"/>
      <c r="I1855" s="28"/>
      <c r="J1855" s="28"/>
      <c r="K1855" s="28"/>
      <c r="L1855" s="28"/>
      <c r="M1855" s="28"/>
      <c r="N1855" s="21"/>
      <c r="O1855" s="28"/>
      <c r="P1855" s="38"/>
      <c r="Q1855" s="21"/>
      <c r="R1855" s="21"/>
      <c r="S1855" s="47"/>
      <c r="T1855" s="25">
        <f t="shared" si="59"/>
        <v>0</v>
      </c>
      <c r="U1855" s="25" t="str">
        <f>IF('PART III-DEMOGRAPHICS'!Q1865="","",'PART III-DEMOGRAPHICS'!Q1865)</f>
        <v/>
      </c>
    </row>
    <row r="1856" spans="1:21">
      <c r="A1856" s="25" t="str">
        <f>IF('PART III-DEMOGRAPHICS'!A1866="","",'PART III-DEMOGRAPHICS'!A1866)</f>
        <v/>
      </c>
      <c r="B1856" s="28"/>
      <c r="C1856" s="27"/>
      <c r="D1856" s="28"/>
      <c r="E1856" s="21"/>
      <c r="F1856" s="36" t="str">
        <f t="shared" si="60"/>
        <v>Did Not</v>
      </c>
      <c r="G1856" s="28"/>
      <c r="H1856" s="28"/>
      <c r="I1856" s="28"/>
      <c r="J1856" s="28"/>
      <c r="K1856" s="28"/>
      <c r="L1856" s="28"/>
      <c r="M1856" s="28"/>
      <c r="N1856" s="21"/>
      <c r="O1856" s="28"/>
      <c r="P1856" s="38"/>
      <c r="Q1856" s="21"/>
      <c r="R1856" s="21"/>
      <c r="S1856" s="47"/>
      <c r="T1856" s="25">
        <f t="shared" si="59"/>
        <v>0</v>
      </c>
      <c r="U1856" s="25" t="str">
        <f>IF('PART III-DEMOGRAPHICS'!Q1866="","",'PART III-DEMOGRAPHICS'!Q1866)</f>
        <v/>
      </c>
    </row>
    <row r="1857" spans="1:21">
      <c r="A1857" s="25" t="str">
        <f>IF('PART III-DEMOGRAPHICS'!A1867="","",'PART III-DEMOGRAPHICS'!A1867)</f>
        <v/>
      </c>
      <c r="B1857" s="28"/>
      <c r="C1857" s="27"/>
      <c r="D1857" s="28"/>
      <c r="E1857" s="21"/>
      <c r="F1857" s="36" t="str">
        <f t="shared" si="60"/>
        <v>Did Not</v>
      </c>
      <c r="G1857" s="28"/>
      <c r="H1857" s="28"/>
      <c r="I1857" s="28"/>
      <c r="J1857" s="28"/>
      <c r="K1857" s="28"/>
      <c r="L1857" s="28"/>
      <c r="M1857" s="28"/>
      <c r="N1857" s="21"/>
      <c r="O1857" s="28"/>
      <c r="P1857" s="38"/>
      <c r="Q1857" s="21"/>
      <c r="R1857" s="21"/>
      <c r="S1857" s="47"/>
      <c r="T1857" s="25">
        <f t="shared" si="59"/>
        <v>0</v>
      </c>
      <c r="U1857" s="25" t="str">
        <f>IF('PART III-DEMOGRAPHICS'!Q1867="","",'PART III-DEMOGRAPHICS'!Q1867)</f>
        <v/>
      </c>
    </row>
    <row r="1858" spans="1:21">
      <c r="A1858" s="25" t="str">
        <f>IF('PART III-DEMOGRAPHICS'!A1868="","",'PART III-DEMOGRAPHICS'!A1868)</f>
        <v/>
      </c>
      <c r="B1858" s="28"/>
      <c r="C1858" s="27"/>
      <c r="D1858" s="28"/>
      <c r="E1858" s="21"/>
      <c r="F1858" s="36" t="str">
        <f t="shared" si="60"/>
        <v>Did Not</v>
      </c>
      <c r="G1858" s="28"/>
      <c r="H1858" s="28"/>
      <c r="I1858" s="28"/>
      <c r="J1858" s="28"/>
      <c r="K1858" s="28"/>
      <c r="L1858" s="28"/>
      <c r="M1858" s="28"/>
      <c r="N1858" s="21"/>
      <c r="O1858" s="28"/>
      <c r="P1858" s="38"/>
      <c r="Q1858" s="21"/>
      <c r="R1858" s="21"/>
      <c r="S1858" s="47"/>
      <c r="T1858" s="25">
        <f t="shared" si="59"/>
        <v>0</v>
      </c>
      <c r="U1858" s="25" t="str">
        <f>IF('PART III-DEMOGRAPHICS'!Q1868="","",'PART III-DEMOGRAPHICS'!Q1868)</f>
        <v/>
      </c>
    </row>
    <row r="1859" spans="1:21">
      <c r="A1859" s="25" t="str">
        <f>IF('PART III-DEMOGRAPHICS'!A1869="","",'PART III-DEMOGRAPHICS'!A1869)</f>
        <v/>
      </c>
      <c r="B1859" s="28"/>
      <c r="C1859" s="27"/>
      <c r="D1859" s="28"/>
      <c r="E1859" s="21"/>
      <c r="F1859" s="36" t="str">
        <f t="shared" si="60"/>
        <v>Did Not</v>
      </c>
      <c r="G1859" s="28"/>
      <c r="H1859" s="28"/>
      <c r="I1859" s="28"/>
      <c r="J1859" s="28"/>
      <c r="K1859" s="28"/>
      <c r="L1859" s="28"/>
      <c r="M1859" s="28"/>
      <c r="N1859" s="21"/>
      <c r="O1859" s="28"/>
      <c r="P1859" s="38"/>
      <c r="Q1859" s="21"/>
      <c r="R1859" s="21"/>
      <c r="S1859" s="47"/>
      <c r="T1859" s="25">
        <f t="shared" si="59"/>
        <v>0</v>
      </c>
      <c r="U1859" s="25" t="str">
        <f>IF('PART III-DEMOGRAPHICS'!Q1869="","",'PART III-DEMOGRAPHICS'!Q1869)</f>
        <v/>
      </c>
    </row>
    <row r="1860" spans="1:21">
      <c r="A1860" s="25" t="str">
        <f>IF('PART III-DEMOGRAPHICS'!A1870="","",'PART III-DEMOGRAPHICS'!A1870)</f>
        <v/>
      </c>
      <c r="B1860" s="28"/>
      <c r="C1860" s="27"/>
      <c r="D1860" s="28"/>
      <c r="E1860" s="21"/>
      <c r="F1860" s="36" t="str">
        <f t="shared" si="60"/>
        <v>Did Not</v>
      </c>
      <c r="G1860" s="28"/>
      <c r="H1860" s="28"/>
      <c r="I1860" s="28"/>
      <c r="J1860" s="28"/>
      <c r="K1860" s="28"/>
      <c r="L1860" s="28"/>
      <c r="M1860" s="28"/>
      <c r="N1860" s="21"/>
      <c r="O1860" s="28"/>
      <c r="P1860" s="38"/>
      <c r="Q1860" s="21"/>
      <c r="R1860" s="21"/>
      <c r="S1860" s="47"/>
      <c r="T1860" s="25">
        <f t="shared" si="59"/>
        <v>0</v>
      </c>
      <c r="U1860" s="25" t="str">
        <f>IF('PART III-DEMOGRAPHICS'!Q1870="","",'PART III-DEMOGRAPHICS'!Q1870)</f>
        <v/>
      </c>
    </row>
    <row r="1861" spans="1:21">
      <c r="A1861" s="25" t="str">
        <f>IF('PART III-DEMOGRAPHICS'!A1871="","",'PART III-DEMOGRAPHICS'!A1871)</f>
        <v/>
      </c>
      <c r="B1861" s="28"/>
      <c r="C1861" s="27"/>
      <c r="D1861" s="28"/>
      <c r="E1861" s="21"/>
      <c r="F1861" s="36" t="str">
        <f t="shared" si="60"/>
        <v>Did Not</v>
      </c>
      <c r="G1861" s="28"/>
      <c r="H1861" s="28"/>
      <c r="I1861" s="28"/>
      <c r="J1861" s="28"/>
      <c r="K1861" s="28"/>
      <c r="L1861" s="28"/>
      <c r="M1861" s="28"/>
      <c r="N1861" s="21"/>
      <c r="O1861" s="28"/>
      <c r="P1861" s="38"/>
      <c r="Q1861" s="21"/>
      <c r="R1861" s="21"/>
      <c r="S1861" s="47"/>
      <c r="T1861" s="25">
        <f t="shared" si="59"/>
        <v>0</v>
      </c>
      <c r="U1861" s="25" t="str">
        <f>IF('PART III-DEMOGRAPHICS'!Q1871="","",'PART III-DEMOGRAPHICS'!Q1871)</f>
        <v/>
      </c>
    </row>
    <row r="1862" spans="1:21">
      <c r="A1862" s="25" t="str">
        <f>IF('PART III-DEMOGRAPHICS'!A1872="","",'PART III-DEMOGRAPHICS'!A1872)</f>
        <v/>
      </c>
      <c r="B1862" s="28"/>
      <c r="C1862" s="27"/>
      <c r="D1862" s="28"/>
      <c r="E1862" s="21"/>
      <c r="F1862" s="36" t="str">
        <f t="shared" si="60"/>
        <v>Did Not</v>
      </c>
      <c r="G1862" s="28"/>
      <c r="H1862" s="28"/>
      <c r="I1862" s="28"/>
      <c r="J1862" s="28"/>
      <c r="K1862" s="28"/>
      <c r="L1862" s="28"/>
      <c r="M1862" s="28"/>
      <c r="N1862" s="21"/>
      <c r="O1862" s="28"/>
      <c r="P1862" s="38"/>
      <c r="Q1862" s="21"/>
      <c r="R1862" s="21"/>
      <c r="S1862" s="47"/>
      <c r="T1862" s="25">
        <f t="shared" si="59"/>
        <v>0</v>
      </c>
      <c r="U1862" s="25" t="str">
        <f>IF('PART III-DEMOGRAPHICS'!Q1872="","",'PART III-DEMOGRAPHICS'!Q1872)</f>
        <v/>
      </c>
    </row>
    <row r="1863" spans="1:21">
      <c r="A1863" s="25" t="str">
        <f>IF('PART III-DEMOGRAPHICS'!A1873="","",'PART III-DEMOGRAPHICS'!A1873)</f>
        <v/>
      </c>
      <c r="B1863" s="28"/>
      <c r="C1863" s="27"/>
      <c r="D1863" s="28"/>
      <c r="E1863" s="21"/>
      <c r="F1863" s="36" t="str">
        <f t="shared" si="60"/>
        <v>Did Not</v>
      </c>
      <c r="G1863" s="28"/>
      <c r="H1863" s="28"/>
      <c r="I1863" s="28"/>
      <c r="J1863" s="28"/>
      <c r="K1863" s="28"/>
      <c r="L1863" s="28"/>
      <c r="M1863" s="28"/>
      <c r="N1863" s="21"/>
      <c r="O1863" s="28"/>
      <c r="P1863" s="38"/>
      <c r="Q1863" s="21"/>
      <c r="R1863" s="21"/>
      <c r="S1863" s="47"/>
      <c r="T1863" s="25">
        <f t="shared" ref="T1863:T1926" si="61">COUNTIF(A1863:R1863,"Yes")</f>
        <v>0</v>
      </c>
      <c r="U1863" s="25" t="str">
        <f>IF('PART III-DEMOGRAPHICS'!Q1873="","",'PART III-DEMOGRAPHICS'!Q1873)</f>
        <v/>
      </c>
    </row>
    <row r="1864" spans="1:21">
      <c r="A1864" s="25" t="str">
        <f>IF('PART III-DEMOGRAPHICS'!A1874="","",'PART III-DEMOGRAPHICS'!A1874)</f>
        <v/>
      </c>
      <c r="B1864" s="28"/>
      <c r="C1864" s="27"/>
      <c r="D1864" s="28"/>
      <c r="E1864" s="21"/>
      <c r="F1864" s="36" t="str">
        <f t="shared" si="60"/>
        <v>Did Not</v>
      </c>
      <c r="G1864" s="28"/>
      <c r="H1864" s="28"/>
      <c r="I1864" s="28"/>
      <c r="J1864" s="28"/>
      <c r="K1864" s="28"/>
      <c r="L1864" s="28"/>
      <c r="M1864" s="28"/>
      <c r="N1864" s="21"/>
      <c r="O1864" s="28"/>
      <c r="P1864" s="38"/>
      <c r="Q1864" s="21"/>
      <c r="R1864" s="21"/>
      <c r="S1864" s="47"/>
      <c r="T1864" s="25">
        <f t="shared" si="61"/>
        <v>0</v>
      </c>
      <c r="U1864" s="25" t="str">
        <f>IF('PART III-DEMOGRAPHICS'!Q1874="","",'PART III-DEMOGRAPHICS'!Q1874)</f>
        <v/>
      </c>
    </row>
    <row r="1865" spans="1:21">
      <c r="A1865" s="25" t="str">
        <f>IF('PART III-DEMOGRAPHICS'!A1875="","",'PART III-DEMOGRAPHICS'!A1875)</f>
        <v/>
      </c>
      <c r="B1865" s="28"/>
      <c r="C1865" s="27"/>
      <c r="D1865" s="28"/>
      <c r="E1865" s="21"/>
      <c r="F1865" s="36" t="str">
        <f t="shared" si="60"/>
        <v>Did Not</v>
      </c>
      <c r="G1865" s="28"/>
      <c r="H1865" s="28"/>
      <c r="I1865" s="28"/>
      <c r="J1865" s="28"/>
      <c r="K1865" s="28"/>
      <c r="L1865" s="28"/>
      <c r="M1865" s="28"/>
      <c r="N1865" s="21"/>
      <c r="O1865" s="28"/>
      <c r="P1865" s="38"/>
      <c r="Q1865" s="21"/>
      <c r="R1865" s="21"/>
      <c r="S1865" s="47"/>
      <c r="T1865" s="25">
        <f t="shared" si="61"/>
        <v>0</v>
      </c>
      <c r="U1865" s="25" t="str">
        <f>IF('PART III-DEMOGRAPHICS'!Q1875="","",'PART III-DEMOGRAPHICS'!Q1875)</f>
        <v/>
      </c>
    </row>
    <row r="1866" spans="1:21">
      <c r="A1866" s="25" t="str">
        <f>IF('PART III-DEMOGRAPHICS'!A1876="","",'PART III-DEMOGRAPHICS'!A1876)</f>
        <v/>
      </c>
      <c r="B1866" s="28"/>
      <c r="C1866" s="27"/>
      <c r="D1866" s="28"/>
      <c r="E1866" s="21"/>
      <c r="F1866" s="36" t="str">
        <f t="shared" si="60"/>
        <v>Did Not</v>
      </c>
      <c r="G1866" s="28"/>
      <c r="H1866" s="28"/>
      <c r="I1866" s="28"/>
      <c r="J1866" s="28"/>
      <c r="K1866" s="28"/>
      <c r="L1866" s="28"/>
      <c r="M1866" s="28"/>
      <c r="N1866" s="21"/>
      <c r="O1866" s="28"/>
      <c r="P1866" s="38"/>
      <c r="Q1866" s="21"/>
      <c r="R1866" s="21"/>
      <c r="S1866" s="47"/>
      <c r="T1866" s="25">
        <f t="shared" si="61"/>
        <v>0</v>
      </c>
      <c r="U1866" s="25" t="str">
        <f>IF('PART III-DEMOGRAPHICS'!Q1876="","",'PART III-DEMOGRAPHICS'!Q1876)</f>
        <v/>
      </c>
    </row>
    <row r="1867" spans="1:21">
      <c r="A1867" s="25" t="str">
        <f>IF('PART III-DEMOGRAPHICS'!A1877="","",'PART III-DEMOGRAPHICS'!A1877)</f>
        <v/>
      </c>
      <c r="B1867" s="28"/>
      <c r="C1867" s="27"/>
      <c r="D1867" s="28"/>
      <c r="E1867" s="21"/>
      <c r="F1867" s="36" t="str">
        <f t="shared" si="60"/>
        <v>Did Not</v>
      </c>
      <c r="G1867" s="28"/>
      <c r="H1867" s="28"/>
      <c r="I1867" s="28"/>
      <c r="J1867" s="28"/>
      <c r="K1867" s="28"/>
      <c r="L1867" s="28"/>
      <c r="M1867" s="28"/>
      <c r="N1867" s="21"/>
      <c r="O1867" s="28"/>
      <c r="P1867" s="38"/>
      <c r="Q1867" s="21"/>
      <c r="R1867" s="21"/>
      <c r="S1867" s="47"/>
      <c r="T1867" s="25">
        <f t="shared" si="61"/>
        <v>0</v>
      </c>
      <c r="U1867" s="25" t="str">
        <f>IF('PART III-DEMOGRAPHICS'!Q1877="","",'PART III-DEMOGRAPHICS'!Q1877)</f>
        <v/>
      </c>
    </row>
    <row r="1868" spans="1:21">
      <c r="A1868" s="25" t="str">
        <f>IF('PART III-DEMOGRAPHICS'!A1878="","",'PART III-DEMOGRAPHICS'!A1878)</f>
        <v/>
      </c>
      <c r="B1868" s="28"/>
      <c r="C1868" s="27"/>
      <c r="D1868" s="28"/>
      <c r="E1868" s="21"/>
      <c r="F1868" s="36" t="str">
        <f t="shared" si="60"/>
        <v>Did Not</v>
      </c>
      <c r="G1868" s="28"/>
      <c r="H1868" s="28"/>
      <c r="I1868" s="28"/>
      <c r="J1868" s="28"/>
      <c r="K1868" s="28"/>
      <c r="L1868" s="28"/>
      <c r="M1868" s="28"/>
      <c r="N1868" s="21"/>
      <c r="O1868" s="28"/>
      <c r="P1868" s="38"/>
      <c r="Q1868" s="21"/>
      <c r="R1868" s="21"/>
      <c r="S1868" s="47"/>
      <c r="T1868" s="25">
        <f t="shared" si="61"/>
        <v>0</v>
      </c>
      <c r="U1868" s="25" t="str">
        <f>IF('PART III-DEMOGRAPHICS'!Q1878="","",'PART III-DEMOGRAPHICS'!Q1878)</f>
        <v/>
      </c>
    </row>
    <row r="1869" spans="1:21">
      <c r="A1869" s="25" t="str">
        <f>IF('PART III-DEMOGRAPHICS'!A1879="","",'PART III-DEMOGRAPHICS'!A1879)</f>
        <v/>
      </c>
      <c r="B1869" s="28"/>
      <c r="C1869" s="27"/>
      <c r="D1869" s="28"/>
      <c r="E1869" s="21"/>
      <c r="F1869" s="36" t="str">
        <f t="shared" si="60"/>
        <v>Did Not</v>
      </c>
      <c r="G1869" s="28"/>
      <c r="H1869" s="28"/>
      <c r="I1869" s="28"/>
      <c r="J1869" s="28"/>
      <c r="K1869" s="28"/>
      <c r="L1869" s="28"/>
      <c r="M1869" s="28"/>
      <c r="N1869" s="21"/>
      <c r="O1869" s="28"/>
      <c r="P1869" s="38"/>
      <c r="Q1869" s="21"/>
      <c r="R1869" s="21"/>
      <c r="S1869" s="47"/>
      <c r="T1869" s="25">
        <f t="shared" si="61"/>
        <v>0</v>
      </c>
      <c r="U1869" s="25" t="str">
        <f>IF('PART III-DEMOGRAPHICS'!Q1879="","",'PART III-DEMOGRAPHICS'!Q1879)</f>
        <v/>
      </c>
    </row>
    <row r="1870" spans="1:21">
      <c r="A1870" s="25" t="str">
        <f>IF('PART III-DEMOGRAPHICS'!A1880="","",'PART III-DEMOGRAPHICS'!A1880)</f>
        <v/>
      </c>
      <c r="B1870" s="28"/>
      <c r="C1870" s="27"/>
      <c r="D1870" s="28"/>
      <c r="E1870" s="21"/>
      <c r="F1870" s="36" t="str">
        <f t="shared" ref="F1870:F1933" si="62">IF(OR(G1870="Yes",H1870="Yes",I1870="Yes",J1870="Yes",K1870="Yes",L1870="Yes",M1870="Yes"),"Did","Did Not")</f>
        <v>Did Not</v>
      </c>
      <c r="G1870" s="28"/>
      <c r="H1870" s="28"/>
      <c r="I1870" s="28"/>
      <c r="J1870" s="28"/>
      <c r="K1870" s="28"/>
      <c r="L1870" s="28"/>
      <c r="M1870" s="28"/>
      <c r="N1870" s="21"/>
      <c r="O1870" s="28"/>
      <c r="P1870" s="38"/>
      <c r="Q1870" s="21"/>
      <c r="R1870" s="21"/>
      <c r="S1870" s="47"/>
      <c r="T1870" s="25">
        <f t="shared" si="61"/>
        <v>0</v>
      </c>
      <c r="U1870" s="25" t="str">
        <f>IF('PART III-DEMOGRAPHICS'!Q1880="","",'PART III-DEMOGRAPHICS'!Q1880)</f>
        <v/>
      </c>
    </row>
    <row r="1871" spans="1:21">
      <c r="A1871" s="25" t="str">
        <f>IF('PART III-DEMOGRAPHICS'!A1881="","",'PART III-DEMOGRAPHICS'!A1881)</f>
        <v/>
      </c>
      <c r="B1871" s="28"/>
      <c r="C1871" s="27"/>
      <c r="D1871" s="28"/>
      <c r="E1871" s="21"/>
      <c r="F1871" s="36" t="str">
        <f t="shared" si="62"/>
        <v>Did Not</v>
      </c>
      <c r="G1871" s="28"/>
      <c r="H1871" s="28"/>
      <c r="I1871" s="28"/>
      <c r="J1871" s="28"/>
      <c r="K1871" s="28"/>
      <c r="L1871" s="28"/>
      <c r="M1871" s="28"/>
      <c r="N1871" s="21"/>
      <c r="O1871" s="28"/>
      <c r="P1871" s="38"/>
      <c r="Q1871" s="21"/>
      <c r="R1871" s="21"/>
      <c r="S1871" s="47"/>
      <c r="T1871" s="25">
        <f t="shared" si="61"/>
        <v>0</v>
      </c>
      <c r="U1871" s="25" t="str">
        <f>IF('PART III-DEMOGRAPHICS'!Q1881="","",'PART III-DEMOGRAPHICS'!Q1881)</f>
        <v/>
      </c>
    </row>
    <row r="1872" spans="1:21">
      <c r="A1872" s="25" t="str">
        <f>IF('PART III-DEMOGRAPHICS'!A1882="","",'PART III-DEMOGRAPHICS'!A1882)</f>
        <v/>
      </c>
      <c r="B1872" s="28"/>
      <c r="C1872" s="27"/>
      <c r="D1872" s="28"/>
      <c r="E1872" s="21"/>
      <c r="F1872" s="36" t="str">
        <f t="shared" si="62"/>
        <v>Did Not</v>
      </c>
      <c r="G1872" s="28"/>
      <c r="H1872" s="28"/>
      <c r="I1872" s="28"/>
      <c r="J1872" s="28"/>
      <c r="K1872" s="28"/>
      <c r="L1872" s="28"/>
      <c r="M1872" s="28"/>
      <c r="N1872" s="21"/>
      <c r="O1872" s="28"/>
      <c r="P1872" s="38"/>
      <c r="Q1872" s="21"/>
      <c r="R1872" s="21"/>
      <c r="S1872" s="47"/>
      <c r="T1872" s="25">
        <f t="shared" si="61"/>
        <v>0</v>
      </c>
      <c r="U1872" s="25" t="str">
        <f>IF('PART III-DEMOGRAPHICS'!Q1882="","",'PART III-DEMOGRAPHICS'!Q1882)</f>
        <v/>
      </c>
    </row>
    <row r="1873" spans="1:21">
      <c r="A1873" s="25" t="str">
        <f>IF('PART III-DEMOGRAPHICS'!A1883="","",'PART III-DEMOGRAPHICS'!A1883)</f>
        <v/>
      </c>
      <c r="B1873" s="28"/>
      <c r="C1873" s="27"/>
      <c r="D1873" s="28"/>
      <c r="E1873" s="21"/>
      <c r="F1873" s="36" t="str">
        <f t="shared" si="62"/>
        <v>Did Not</v>
      </c>
      <c r="G1873" s="28"/>
      <c r="H1873" s="28"/>
      <c r="I1873" s="28"/>
      <c r="J1873" s="28"/>
      <c r="K1873" s="28"/>
      <c r="L1873" s="28"/>
      <c r="M1873" s="28"/>
      <c r="N1873" s="21"/>
      <c r="O1873" s="28"/>
      <c r="P1873" s="38"/>
      <c r="Q1873" s="21"/>
      <c r="R1873" s="21"/>
      <c r="S1873" s="47"/>
      <c r="T1873" s="25">
        <f t="shared" si="61"/>
        <v>0</v>
      </c>
      <c r="U1873" s="25" t="str">
        <f>IF('PART III-DEMOGRAPHICS'!Q1883="","",'PART III-DEMOGRAPHICS'!Q1883)</f>
        <v/>
      </c>
    </row>
    <row r="1874" spans="1:21">
      <c r="A1874" s="25" t="str">
        <f>IF('PART III-DEMOGRAPHICS'!A1884="","",'PART III-DEMOGRAPHICS'!A1884)</f>
        <v/>
      </c>
      <c r="B1874" s="28"/>
      <c r="C1874" s="27"/>
      <c r="D1874" s="28"/>
      <c r="E1874" s="21"/>
      <c r="F1874" s="36" t="str">
        <f t="shared" si="62"/>
        <v>Did Not</v>
      </c>
      <c r="G1874" s="28"/>
      <c r="H1874" s="28"/>
      <c r="I1874" s="28"/>
      <c r="J1874" s="28"/>
      <c r="K1874" s="28"/>
      <c r="L1874" s="28"/>
      <c r="M1874" s="28"/>
      <c r="N1874" s="21"/>
      <c r="O1874" s="28"/>
      <c r="P1874" s="38"/>
      <c r="Q1874" s="21"/>
      <c r="R1874" s="21"/>
      <c r="S1874" s="47"/>
      <c r="T1874" s="25">
        <f t="shared" si="61"/>
        <v>0</v>
      </c>
      <c r="U1874" s="25" t="str">
        <f>IF('PART III-DEMOGRAPHICS'!Q1884="","",'PART III-DEMOGRAPHICS'!Q1884)</f>
        <v/>
      </c>
    </row>
    <row r="1875" spans="1:21">
      <c r="A1875" s="25" t="str">
        <f>IF('PART III-DEMOGRAPHICS'!A1885="","",'PART III-DEMOGRAPHICS'!A1885)</f>
        <v/>
      </c>
      <c r="B1875" s="28"/>
      <c r="C1875" s="27"/>
      <c r="D1875" s="28"/>
      <c r="E1875" s="21"/>
      <c r="F1875" s="36" t="str">
        <f t="shared" si="62"/>
        <v>Did Not</v>
      </c>
      <c r="G1875" s="28"/>
      <c r="H1875" s="28"/>
      <c r="I1875" s="28"/>
      <c r="J1875" s="28"/>
      <c r="K1875" s="28"/>
      <c r="L1875" s="28"/>
      <c r="M1875" s="28"/>
      <c r="N1875" s="21"/>
      <c r="O1875" s="28"/>
      <c r="P1875" s="38"/>
      <c r="Q1875" s="21"/>
      <c r="R1875" s="21"/>
      <c r="S1875" s="47"/>
      <c r="T1875" s="25">
        <f t="shared" si="61"/>
        <v>0</v>
      </c>
      <c r="U1875" s="25" t="str">
        <f>IF('PART III-DEMOGRAPHICS'!Q1885="","",'PART III-DEMOGRAPHICS'!Q1885)</f>
        <v/>
      </c>
    </row>
    <row r="1876" spans="1:21">
      <c r="A1876" s="25" t="str">
        <f>IF('PART III-DEMOGRAPHICS'!A1886="","",'PART III-DEMOGRAPHICS'!A1886)</f>
        <v/>
      </c>
      <c r="B1876" s="28"/>
      <c r="C1876" s="27"/>
      <c r="D1876" s="28"/>
      <c r="E1876" s="21"/>
      <c r="F1876" s="36" t="str">
        <f t="shared" si="62"/>
        <v>Did Not</v>
      </c>
      <c r="G1876" s="28"/>
      <c r="H1876" s="28"/>
      <c r="I1876" s="28"/>
      <c r="J1876" s="28"/>
      <c r="K1876" s="28"/>
      <c r="L1876" s="28"/>
      <c r="M1876" s="28"/>
      <c r="N1876" s="21"/>
      <c r="O1876" s="28"/>
      <c r="P1876" s="38"/>
      <c r="Q1876" s="21"/>
      <c r="R1876" s="21"/>
      <c r="S1876" s="47"/>
      <c r="T1876" s="25">
        <f t="shared" si="61"/>
        <v>0</v>
      </c>
      <c r="U1876" s="25" t="str">
        <f>IF('PART III-DEMOGRAPHICS'!Q1886="","",'PART III-DEMOGRAPHICS'!Q1886)</f>
        <v/>
      </c>
    </row>
    <row r="1877" spans="1:21">
      <c r="A1877" s="25" t="str">
        <f>IF('PART III-DEMOGRAPHICS'!A1887="","",'PART III-DEMOGRAPHICS'!A1887)</f>
        <v/>
      </c>
      <c r="B1877" s="28"/>
      <c r="C1877" s="27"/>
      <c r="D1877" s="28"/>
      <c r="E1877" s="21"/>
      <c r="F1877" s="36" t="str">
        <f t="shared" si="62"/>
        <v>Did Not</v>
      </c>
      <c r="G1877" s="28"/>
      <c r="H1877" s="28"/>
      <c r="I1877" s="28"/>
      <c r="J1877" s="28"/>
      <c r="K1877" s="28"/>
      <c r="L1877" s="28"/>
      <c r="M1877" s="28"/>
      <c r="N1877" s="21"/>
      <c r="O1877" s="28"/>
      <c r="P1877" s="38"/>
      <c r="Q1877" s="21"/>
      <c r="R1877" s="21"/>
      <c r="S1877" s="47"/>
      <c r="T1877" s="25">
        <f t="shared" si="61"/>
        <v>0</v>
      </c>
      <c r="U1877" s="25" t="str">
        <f>IF('PART III-DEMOGRAPHICS'!Q1887="","",'PART III-DEMOGRAPHICS'!Q1887)</f>
        <v/>
      </c>
    </row>
    <row r="1878" spans="1:21">
      <c r="A1878" s="25" t="str">
        <f>IF('PART III-DEMOGRAPHICS'!A1888="","",'PART III-DEMOGRAPHICS'!A1888)</f>
        <v/>
      </c>
      <c r="B1878" s="28"/>
      <c r="C1878" s="27"/>
      <c r="D1878" s="28"/>
      <c r="E1878" s="21"/>
      <c r="F1878" s="36" t="str">
        <f t="shared" si="62"/>
        <v>Did Not</v>
      </c>
      <c r="G1878" s="28"/>
      <c r="H1878" s="28"/>
      <c r="I1878" s="28"/>
      <c r="J1878" s="28"/>
      <c r="K1878" s="28"/>
      <c r="L1878" s="28"/>
      <c r="M1878" s="28"/>
      <c r="N1878" s="21"/>
      <c r="O1878" s="28"/>
      <c r="P1878" s="38"/>
      <c r="Q1878" s="21"/>
      <c r="R1878" s="21"/>
      <c r="S1878" s="47"/>
      <c r="T1878" s="25">
        <f t="shared" si="61"/>
        <v>0</v>
      </c>
      <c r="U1878" s="25" t="str">
        <f>IF('PART III-DEMOGRAPHICS'!Q1888="","",'PART III-DEMOGRAPHICS'!Q1888)</f>
        <v/>
      </c>
    </row>
    <row r="1879" spans="1:21">
      <c r="A1879" s="25" t="str">
        <f>IF('PART III-DEMOGRAPHICS'!A1889="","",'PART III-DEMOGRAPHICS'!A1889)</f>
        <v/>
      </c>
      <c r="B1879" s="28"/>
      <c r="C1879" s="27"/>
      <c r="D1879" s="28"/>
      <c r="E1879" s="21"/>
      <c r="F1879" s="36" t="str">
        <f t="shared" si="62"/>
        <v>Did Not</v>
      </c>
      <c r="G1879" s="28"/>
      <c r="H1879" s="28"/>
      <c r="I1879" s="28"/>
      <c r="J1879" s="28"/>
      <c r="K1879" s="28"/>
      <c r="L1879" s="28"/>
      <c r="M1879" s="28"/>
      <c r="N1879" s="21"/>
      <c r="O1879" s="28"/>
      <c r="P1879" s="38"/>
      <c r="Q1879" s="21"/>
      <c r="R1879" s="21"/>
      <c r="S1879" s="47"/>
      <c r="T1879" s="25">
        <f t="shared" si="61"/>
        <v>0</v>
      </c>
      <c r="U1879" s="25" t="str">
        <f>IF('PART III-DEMOGRAPHICS'!Q1889="","",'PART III-DEMOGRAPHICS'!Q1889)</f>
        <v/>
      </c>
    </row>
    <row r="1880" spans="1:21">
      <c r="A1880" s="25" t="str">
        <f>IF('PART III-DEMOGRAPHICS'!A1890="","",'PART III-DEMOGRAPHICS'!A1890)</f>
        <v/>
      </c>
      <c r="B1880" s="28"/>
      <c r="C1880" s="27"/>
      <c r="D1880" s="28"/>
      <c r="E1880" s="21"/>
      <c r="F1880" s="36" t="str">
        <f t="shared" si="62"/>
        <v>Did Not</v>
      </c>
      <c r="G1880" s="28"/>
      <c r="H1880" s="28"/>
      <c r="I1880" s="28"/>
      <c r="J1880" s="28"/>
      <c r="K1880" s="28"/>
      <c r="L1880" s="28"/>
      <c r="M1880" s="28"/>
      <c r="N1880" s="21"/>
      <c r="O1880" s="28"/>
      <c r="P1880" s="38"/>
      <c r="Q1880" s="21"/>
      <c r="R1880" s="21"/>
      <c r="S1880" s="47"/>
      <c r="T1880" s="25">
        <f t="shared" si="61"/>
        <v>0</v>
      </c>
      <c r="U1880" s="25" t="str">
        <f>IF('PART III-DEMOGRAPHICS'!Q1890="","",'PART III-DEMOGRAPHICS'!Q1890)</f>
        <v/>
      </c>
    </row>
    <row r="1881" spans="1:21">
      <c r="A1881" s="25" t="str">
        <f>IF('PART III-DEMOGRAPHICS'!A1891="","",'PART III-DEMOGRAPHICS'!A1891)</f>
        <v/>
      </c>
      <c r="B1881" s="28"/>
      <c r="C1881" s="27"/>
      <c r="D1881" s="28"/>
      <c r="E1881" s="21"/>
      <c r="F1881" s="36" t="str">
        <f t="shared" si="62"/>
        <v>Did Not</v>
      </c>
      <c r="G1881" s="28"/>
      <c r="H1881" s="28"/>
      <c r="I1881" s="28"/>
      <c r="J1881" s="28"/>
      <c r="K1881" s="28"/>
      <c r="L1881" s="28"/>
      <c r="M1881" s="28"/>
      <c r="N1881" s="21"/>
      <c r="O1881" s="28"/>
      <c r="P1881" s="38"/>
      <c r="Q1881" s="21"/>
      <c r="R1881" s="21"/>
      <c r="S1881" s="47"/>
      <c r="T1881" s="25">
        <f t="shared" si="61"/>
        <v>0</v>
      </c>
      <c r="U1881" s="25" t="str">
        <f>IF('PART III-DEMOGRAPHICS'!Q1891="","",'PART III-DEMOGRAPHICS'!Q1891)</f>
        <v/>
      </c>
    </row>
    <row r="1882" spans="1:21">
      <c r="A1882" s="25" t="str">
        <f>IF('PART III-DEMOGRAPHICS'!A1892="","",'PART III-DEMOGRAPHICS'!A1892)</f>
        <v/>
      </c>
      <c r="B1882" s="28"/>
      <c r="C1882" s="27"/>
      <c r="D1882" s="28"/>
      <c r="E1882" s="21"/>
      <c r="F1882" s="36" t="str">
        <f t="shared" si="62"/>
        <v>Did Not</v>
      </c>
      <c r="G1882" s="28"/>
      <c r="H1882" s="28"/>
      <c r="I1882" s="28"/>
      <c r="J1882" s="28"/>
      <c r="K1882" s="28"/>
      <c r="L1882" s="28"/>
      <c r="M1882" s="28"/>
      <c r="N1882" s="21"/>
      <c r="O1882" s="28"/>
      <c r="P1882" s="38"/>
      <c r="Q1882" s="21"/>
      <c r="R1882" s="21"/>
      <c r="S1882" s="47"/>
      <c r="T1882" s="25">
        <f t="shared" si="61"/>
        <v>0</v>
      </c>
      <c r="U1882" s="25" t="str">
        <f>IF('PART III-DEMOGRAPHICS'!Q1892="","",'PART III-DEMOGRAPHICS'!Q1892)</f>
        <v/>
      </c>
    </row>
    <row r="1883" spans="1:21">
      <c r="A1883" s="25" t="str">
        <f>IF('PART III-DEMOGRAPHICS'!A1893="","",'PART III-DEMOGRAPHICS'!A1893)</f>
        <v/>
      </c>
      <c r="B1883" s="28"/>
      <c r="C1883" s="27"/>
      <c r="D1883" s="28"/>
      <c r="E1883" s="21"/>
      <c r="F1883" s="36" t="str">
        <f t="shared" si="62"/>
        <v>Did Not</v>
      </c>
      <c r="G1883" s="28"/>
      <c r="H1883" s="28"/>
      <c r="I1883" s="28"/>
      <c r="J1883" s="28"/>
      <c r="K1883" s="28"/>
      <c r="L1883" s="28"/>
      <c r="M1883" s="28"/>
      <c r="N1883" s="21"/>
      <c r="O1883" s="28"/>
      <c r="P1883" s="38"/>
      <c r="Q1883" s="21"/>
      <c r="R1883" s="21"/>
      <c r="S1883" s="47"/>
      <c r="T1883" s="25">
        <f t="shared" si="61"/>
        <v>0</v>
      </c>
      <c r="U1883" s="25" t="str">
        <f>IF('PART III-DEMOGRAPHICS'!Q1893="","",'PART III-DEMOGRAPHICS'!Q1893)</f>
        <v/>
      </c>
    </row>
    <row r="1884" spans="1:21">
      <c r="A1884" s="25" t="str">
        <f>IF('PART III-DEMOGRAPHICS'!A1894="","",'PART III-DEMOGRAPHICS'!A1894)</f>
        <v/>
      </c>
      <c r="B1884" s="28"/>
      <c r="C1884" s="27"/>
      <c r="D1884" s="28"/>
      <c r="E1884" s="21"/>
      <c r="F1884" s="36" t="str">
        <f t="shared" si="62"/>
        <v>Did Not</v>
      </c>
      <c r="G1884" s="28"/>
      <c r="H1884" s="28"/>
      <c r="I1884" s="28"/>
      <c r="J1884" s="28"/>
      <c r="K1884" s="28"/>
      <c r="L1884" s="28"/>
      <c r="M1884" s="28"/>
      <c r="N1884" s="21"/>
      <c r="O1884" s="28"/>
      <c r="P1884" s="38"/>
      <c r="Q1884" s="21"/>
      <c r="R1884" s="21"/>
      <c r="S1884" s="47"/>
      <c r="T1884" s="25">
        <f t="shared" si="61"/>
        <v>0</v>
      </c>
      <c r="U1884" s="25" t="str">
        <f>IF('PART III-DEMOGRAPHICS'!Q1894="","",'PART III-DEMOGRAPHICS'!Q1894)</f>
        <v/>
      </c>
    </row>
    <row r="1885" spans="1:21">
      <c r="A1885" s="25" t="str">
        <f>IF('PART III-DEMOGRAPHICS'!A1895="","",'PART III-DEMOGRAPHICS'!A1895)</f>
        <v/>
      </c>
      <c r="B1885" s="28"/>
      <c r="C1885" s="27"/>
      <c r="D1885" s="28"/>
      <c r="E1885" s="21"/>
      <c r="F1885" s="36" t="str">
        <f t="shared" si="62"/>
        <v>Did Not</v>
      </c>
      <c r="G1885" s="28"/>
      <c r="H1885" s="28"/>
      <c r="I1885" s="28"/>
      <c r="J1885" s="28"/>
      <c r="K1885" s="28"/>
      <c r="L1885" s="28"/>
      <c r="M1885" s="28"/>
      <c r="N1885" s="21"/>
      <c r="O1885" s="28"/>
      <c r="P1885" s="38"/>
      <c r="Q1885" s="21"/>
      <c r="R1885" s="21"/>
      <c r="S1885" s="47"/>
      <c r="T1885" s="25">
        <f t="shared" si="61"/>
        <v>0</v>
      </c>
      <c r="U1885" s="25" t="str">
        <f>IF('PART III-DEMOGRAPHICS'!Q1895="","",'PART III-DEMOGRAPHICS'!Q1895)</f>
        <v/>
      </c>
    </row>
    <row r="1886" spans="1:21">
      <c r="A1886" s="25" t="str">
        <f>IF('PART III-DEMOGRAPHICS'!A1896="","",'PART III-DEMOGRAPHICS'!A1896)</f>
        <v/>
      </c>
      <c r="B1886" s="28"/>
      <c r="C1886" s="27"/>
      <c r="D1886" s="28"/>
      <c r="E1886" s="21"/>
      <c r="F1886" s="36" t="str">
        <f t="shared" si="62"/>
        <v>Did Not</v>
      </c>
      <c r="G1886" s="28"/>
      <c r="H1886" s="28"/>
      <c r="I1886" s="28"/>
      <c r="J1886" s="28"/>
      <c r="K1886" s="28"/>
      <c r="L1886" s="28"/>
      <c r="M1886" s="28"/>
      <c r="N1886" s="21"/>
      <c r="O1886" s="28"/>
      <c r="P1886" s="38"/>
      <c r="Q1886" s="21"/>
      <c r="R1886" s="21"/>
      <c r="S1886" s="47"/>
      <c r="T1886" s="25">
        <f t="shared" si="61"/>
        <v>0</v>
      </c>
      <c r="U1886" s="25" t="str">
        <f>IF('PART III-DEMOGRAPHICS'!Q1896="","",'PART III-DEMOGRAPHICS'!Q1896)</f>
        <v/>
      </c>
    </row>
    <row r="1887" spans="1:21">
      <c r="A1887" s="25" t="str">
        <f>IF('PART III-DEMOGRAPHICS'!A1897="","",'PART III-DEMOGRAPHICS'!A1897)</f>
        <v/>
      </c>
      <c r="B1887" s="28"/>
      <c r="C1887" s="27"/>
      <c r="D1887" s="28"/>
      <c r="E1887" s="21"/>
      <c r="F1887" s="36" t="str">
        <f t="shared" si="62"/>
        <v>Did Not</v>
      </c>
      <c r="G1887" s="28"/>
      <c r="H1887" s="28"/>
      <c r="I1887" s="28"/>
      <c r="J1887" s="28"/>
      <c r="K1887" s="28"/>
      <c r="L1887" s="28"/>
      <c r="M1887" s="28"/>
      <c r="N1887" s="21"/>
      <c r="O1887" s="28"/>
      <c r="P1887" s="38"/>
      <c r="Q1887" s="21"/>
      <c r="R1887" s="21"/>
      <c r="S1887" s="47"/>
      <c r="T1887" s="25">
        <f t="shared" si="61"/>
        <v>0</v>
      </c>
      <c r="U1887" s="25" t="str">
        <f>IF('PART III-DEMOGRAPHICS'!Q1897="","",'PART III-DEMOGRAPHICS'!Q1897)</f>
        <v/>
      </c>
    </row>
    <row r="1888" spans="1:21">
      <c r="A1888" s="25" t="str">
        <f>IF('PART III-DEMOGRAPHICS'!A1898="","",'PART III-DEMOGRAPHICS'!A1898)</f>
        <v/>
      </c>
      <c r="B1888" s="28"/>
      <c r="C1888" s="27"/>
      <c r="D1888" s="28"/>
      <c r="E1888" s="21"/>
      <c r="F1888" s="36" t="str">
        <f t="shared" si="62"/>
        <v>Did Not</v>
      </c>
      <c r="G1888" s="28"/>
      <c r="H1888" s="28"/>
      <c r="I1888" s="28"/>
      <c r="J1888" s="28"/>
      <c r="K1888" s="28"/>
      <c r="L1888" s="28"/>
      <c r="M1888" s="28"/>
      <c r="N1888" s="21"/>
      <c r="O1888" s="28"/>
      <c r="P1888" s="38"/>
      <c r="Q1888" s="21"/>
      <c r="R1888" s="21"/>
      <c r="S1888" s="47"/>
      <c r="T1888" s="25">
        <f t="shared" si="61"/>
        <v>0</v>
      </c>
      <c r="U1888" s="25" t="str">
        <f>IF('PART III-DEMOGRAPHICS'!Q1898="","",'PART III-DEMOGRAPHICS'!Q1898)</f>
        <v/>
      </c>
    </row>
    <row r="1889" spans="1:21">
      <c r="A1889" s="25" t="str">
        <f>IF('PART III-DEMOGRAPHICS'!A1899="","",'PART III-DEMOGRAPHICS'!A1899)</f>
        <v/>
      </c>
      <c r="B1889" s="28"/>
      <c r="C1889" s="27"/>
      <c r="D1889" s="28"/>
      <c r="E1889" s="21"/>
      <c r="F1889" s="36" t="str">
        <f t="shared" si="62"/>
        <v>Did Not</v>
      </c>
      <c r="G1889" s="28"/>
      <c r="H1889" s="28"/>
      <c r="I1889" s="28"/>
      <c r="J1889" s="28"/>
      <c r="K1889" s="28"/>
      <c r="L1889" s="28"/>
      <c r="M1889" s="28"/>
      <c r="N1889" s="21"/>
      <c r="O1889" s="28"/>
      <c r="P1889" s="38"/>
      <c r="Q1889" s="21"/>
      <c r="R1889" s="21"/>
      <c r="S1889" s="47"/>
      <c r="T1889" s="25">
        <f t="shared" si="61"/>
        <v>0</v>
      </c>
      <c r="U1889" s="25" t="str">
        <f>IF('PART III-DEMOGRAPHICS'!Q1899="","",'PART III-DEMOGRAPHICS'!Q1899)</f>
        <v/>
      </c>
    </row>
    <row r="1890" spans="1:21">
      <c r="A1890" s="25" t="str">
        <f>IF('PART III-DEMOGRAPHICS'!A1900="","",'PART III-DEMOGRAPHICS'!A1900)</f>
        <v/>
      </c>
      <c r="B1890" s="28"/>
      <c r="C1890" s="27"/>
      <c r="D1890" s="28"/>
      <c r="E1890" s="21"/>
      <c r="F1890" s="36" t="str">
        <f t="shared" si="62"/>
        <v>Did Not</v>
      </c>
      <c r="G1890" s="28"/>
      <c r="H1890" s="28"/>
      <c r="I1890" s="28"/>
      <c r="J1890" s="28"/>
      <c r="K1890" s="28"/>
      <c r="L1890" s="28"/>
      <c r="M1890" s="28"/>
      <c r="N1890" s="21"/>
      <c r="O1890" s="28"/>
      <c r="P1890" s="38"/>
      <c r="Q1890" s="21"/>
      <c r="R1890" s="21"/>
      <c r="S1890" s="47"/>
      <c r="T1890" s="25">
        <f t="shared" si="61"/>
        <v>0</v>
      </c>
      <c r="U1890" s="25" t="str">
        <f>IF('PART III-DEMOGRAPHICS'!Q1900="","",'PART III-DEMOGRAPHICS'!Q1900)</f>
        <v/>
      </c>
    </row>
    <row r="1891" spans="1:21">
      <c r="A1891" s="25" t="str">
        <f>IF('PART III-DEMOGRAPHICS'!A1901="","",'PART III-DEMOGRAPHICS'!A1901)</f>
        <v/>
      </c>
      <c r="B1891" s="28"/>
      <c r="C1891" s="27"/>
      <c r="D1891" s="28"/>
      <c r="E1891" s="21"/>
      <c r="F1891" s="36" t="str">
        <f t="shared" si="62"/>
        <v>Did Not</v>
      </c>
      <c r="G1891" s="28"/>
      <c r="H1891" s="28"/>
      <c r="I1891" s="28"/>
      <c r="J1891" s="28"/>
      <c r="K1891" s="28"/>
      <c r="L1891" s="28"/>
      <c r="M1891" s="28"/>
      <c r="N1891" s="21"/>
      <c r="O1891" s="28"/>
      <c r="P1891" s="38"/>
      <c r="Q1891" s="21"/>
      <c r="R1891" s="21"/>
      <c r="S1891" s="47"/>
      <c r="T1891" s="25">
        <f t="shared" si="61"/>
        <v>0</v>
      </c>
      <c r="U1891" s="25" t="str">
        <f>IF('PART III-DEMOGRAPHICS'!Q1901="","",'PART III-DEMOGRAPHICS'!Q1901)</f>
        <v/>
      </c>
    </row>
    <row r="1892" spans="1:21">
      <c r="A1892" s="25" t="str">
        <f>IF('PART III-DEMOGRAPHICS'!A1902="","",'PART III-DEMOGRAPHICS'!A1902)</f>
        <v/>
      </c>
      <c r="B1892" s="28"/>
      <c r="C1892" s="27"/>
      <c r="D1892" s="28"/>
      <c r="E1892" s="21"/>
      <c r="F1892" s="36" t="str">
        <f t="shared" si="62"/>
        <v>Did Not</v>
      </c>
      <c r="G1892" s="28"/>
      <c r="H1892" s="28"/>
      <c r="I1892" s="28"/>
      <c r="J1892" s="28"/>
      <c r="K1892" s="28"/>
      <c r="L1892" s="28"/>
      <c r="M1892" s="28"/>
      <c r="N1892" s="21"/>
      <c r="O1892" s="28"/>
      <c r="P1892" s="38"/>
      <c r="Q1892" s="21"/>
      <c r="R1892" s="21"/>
      <c r="S1892" s="47"/>
      <c r="T1892" s="25">
        <f t="shared" si="61"/>
        <v>0</v>
      </c>
      <c r="U1892" s="25" t="str">
        <f>IF('PART III-DEMOGRAPHICS'!Q1902="","",'PART III-DEMOGRAPHICS'!Q1902)</f>
        <v/>
      </c>
    </row>
    <row r="1893" spans="1:21">
      <c r="A1893" s="25" t="str">
        <f>IF('PART III-DEMOGRAPHICS'!A1903="","",'PART III-DEMOGRAPHICS'!A1903)</f>
        <v/>
      </c>
      <c r="B1893" s="28"/>
      <c r="C1893" s="27"/>
      <c r="D1893" s="28"/>
      <c r="E1893" s="21"/>
      <c r="F1893" s="36" t="str">
        <f t="shared" si="62"/>
        <v>Did Not</v>
      </c>
      <c r="G1893" s="28"/>
      <c r="H1893" s="28"/>
      <c r="I1893" s="28"/>
      <c r="J1893" s="28"/>
      <c r="K1893" s="28"/>
      <c r="L1893" s="28"/>
      <c r="M1893" s="28"/>
      <c r="N1893" s="21"/>
      <c r="O1893" s="28"/>
      <c r="P1893" s="38"/>
      <c r="Q1893" s="21"/>
      <c r="R1893" s="21"/>
      <c r="S1893" s="47"/>
      <c r="T1893" s="25">
        <f t="shared" si="61"/>
        <v>0</v>
      </c>
      <c r="U1893" s="25" t="str">
        <f>IF('PART III-DEMOGRAPHICS'!Q1903="","",'PART III-DEMOGRAPHICS'!Q1903)</f>
        <v/>
      </c>
    </row>
    <row r="1894" spans="1:21">
      <c r="A1894" s="25" t="str">
        <f>IF('PART III-DEMOGRAPHICS'!A1904="","",'PART III-DEMOGRAPHICS'!A1904)</f>
        <v/>
      </c>
      <c r="B1894" s="28"/>
      <c r="C1894" s="27"/>
      <c r="D1894" s="28"/>
      <c r="E1894" s="21"/>
      <c r="F1894" s="36" t="str">
        <f t="shared" si="62"/>
        <v>Did Not</v>
      </c>
      <c r="G1894" s="28"/>
      <c r="H1894" s="28"/>
      <c r="I1894" s="28"/>
      <c r="J1894" s="28"/>
      <c r="K1894" s="28"/>
      <c r="L1894" s="28"/>
      <c r="M1894" s="28"/>
      <c r="N1894" s="21"/>
      <c r="O1894" s="28"/>
      <c r="P1894" s="38"/>
      <c r="Q1894" s="21"/>
      <c r="R1894" s="21"/>
      <c r="S1894" s="47"/>
      <c r="T1894" s="25">
        <f t="shared" si="61"/>
        <v>0</v>
      </c>
      <c r="U1894" s="25" t="str">
        <f>IF('PART III-DEMOGRAPHICS'!Q1904="","",'PART III-DEMOGRAPHICS'!Q1904)</f>
        <v/>
      </c>
    </row>
    <row r="1895" spans="1:21">
      <c r="A1895" s="25" t="str">
        <f>IF('PART III-DEMOGRAPHICS'!A1905="","",'PART III-DEMOGRAPHICS'!A1905)</f>
        <v/>
      </c>
      <c r="B1895" s="28"/>
      <c r="C1895" s="27"/>
      <c r="D1895" s="28"/>
      <c r="E1895" s="21"/>
      <c r="F1895" s="36" t="str">
        <f t="shared" si="62"/>
        <v>Did Not</v>
      </c>
      <c r="G1895" s="28"/>
      <c r="H1895" s="28"/>
      <c r="I1895" s="28"/>
      <c r="J1895" s="28"/>
      <c r="K1895" s="28"/>
      <c r="L1895" s="28"/>
      <c r="M1895" s="28"/>
      <c r="N1895" s="21"/>
      <c r="O1895" s="28"/>
      <c r="P1895" s="38"/>
      <c r="Q1895" s="21"/>
      <c r="R1895" s="21"/>
      <c r="S1895" s="47"/>
      <c r="T1895" s="25">
        <f t="shared" si="61"/>
        <v>0</v>
      </c>
      <c r="U1895" s="25" t="str">
        <f>IF('PART III-DEMOGRAPHICS'!Q1905="","",'PART III-DEMOGRAPHICS'!Q1905)</f>
        <v/>
      </c>
    </row>
    <row r="1896" spans="1:21">
      <c r="A1896" s="25" t="str">
        <f>IF('PART III-DEMOGRAPHICS'!A1906="","",'PART III-DEMOGRAPHICS'!A1906)</f>
        <v/>
      </c>
      <c r="B1896" s="28"/>
      <c r="C1896" s="27"/>
      <c r="D1896" s="28"/>
      <c r="E1896" s="21"/>
      <c r="F1896" s="36" t="str">
        <f t="shared" si="62"/>
        <v>Did Not</v>
      </c>
      <c r="G1896" s="28"/>
      <c r="H1896" s="28"/>
      <c r="I1896" s="28"/>
      <c r="J1896" s="28"/>
      <c r="K1896" s="28"/>
      <c r="L1896" s="28"/>
      <c r="M1896" s="28"/>
      <c r="N1896" s="21"/>
      <c r="O1896" s="28"/>
      <c r="P1896" s="38"/>
      <c r="Q1896" s="21"/>
      <c r="R1896" s="21"/>
      <c r="S1896" s="47"/>
      <c r="T1896" s="25">
        <f t="shared" si="61"/>
        <v>0</v>
      </c>
      <c r="U1896" s="25" t="str">
        <f>IF('PART III-DEMOGRAPHICS'!Q1906="","",'PART III-DEMOGRAPHICS'!Q1906)</f>
        <v/>
      </c>
    </row>
    <row r="1897" spans="1:21">
      <c r="A1897" s="25" t="str">
        <f>IF('PART III-DEMOGRAPHICS'!A1907="","",'PART III-DEMOGRAPHICS'!A1907)</f>
        <v/>
      </c>
      <c r="B1897" s="28"/>
      <c r="C1897" s="27"/>
      <c r="D1897" s="28"/>
      <c r="E1897" s="21"/>
      <c r="F1897" s="36" t="str">
        <f t="shared" si="62"/>
        <v>Did Not</v>
      </c>
      <c r="G1897" s="28"/>
      <c r="H1897" s="28"/>
      <c r="I1897" s="28"/>
      <c r="J1897" s="28"/>
      <c r="K1897" s="28"/>
      <c r="L1897" s="28"/>
      <c r="M1897" s="28"/>
      <c r="N1897" s="21"/>
      <c r="O1897" s="28"/>
      <c r="P1897" s="38"/>
      <c r="Q1897" s="21"/>
      <c r="R1897" s="21"/>
      <c r="S1897" s="47"/>
      <c r="T1897" s="25">
        <f t="shared" si="61"/>
        <v>0</v>
      </c>
      <c r="U1897" s="25" t="str">
        <f>IF('PART III-DEMOGRAPHICS'!Q1907="","",'PART III-DEMOGRAPHICS'!Q1907)</f>
        <v/>
      </c>
    </row>
    <row r="1898" spans="1:21">
      <c r="A1898" s="25" t="str">
        <f>IF('PART III-DEMOGRAPHICS'!A1908="","",'PART III-DEMOGRAPHICS'!A1908)</f>
        <v/>
      </c>
      <c r="B1898" s="28"/>
      <c r="C1898" s="27"/>
      <c r="D1898" s="28"/>
      <c r="E1898" s="21"/>
      <c r="F1898" s="36" t="str">
        <f t="shared" si="62"/>
        <v>Did Not</v>
      </c>
      <c r="G1898" s="28"/>
      <c r="H1898" s="28"/>
      <c r="I1898" s="28"/>
      <c r="J1898" s="28"/>
      <c r="K1898" s="28"/>
      <c r="L1898" s="28"/>
      <c r="M1898" s="28"/>
      <c r="N1898" s="21"/>
      <c r="O1898" s="28"/>
      <c r="P1898" s="38"/>
      <c r="Q1898" s="21"/>
      <c r="R1898" s="21"/>
      <c r="S1898" s="47"/>
      <c r="T1898" s="25">
        <f t="shared" si="61"/>
        <v>0</v>
      </c>
      <c r="U1898" s="25" t="str">
        <f>IF('PART III-DEMOGRAPHICS'!Q1908="","",'PART III-DEMOGRAPHICS'!Q1908)</f>
        <v/>
      </c>
    </row>
    <row r="1899" spans="1:21">
      <c r="A1899" s="25" t="str">
        <f>IF('PART III-DEMOGRAPHICS'!A1909="","",'PART III-DEMOGRAPHICS'!A1909)</f>
        <v/>
      </c>
      <c r="B1899" s="28"/>
      <c r="C1899" s="27"/>
      <c r="D1899" s="28"/>
      <c r="E1899" s="21"/>
      <c r="F1899" s="36" t="str">
        <f t="shared" si="62"/>
        <v>Did Not</v>
      </c>
      <c r="G1899" s="28"/>
      <c r="H1899" s="28"/>
      <c r="I1899" s="28"/>
      <c r="J1899" s="28"/>
      <c r="K1899" s="28"/>
      <c r="L1899" s="28"/>
      <c r="M1899" s="28"/>
      <c r="N1899" s="21"/>
      <c r="O1899" s="28"/>
      <c r="P1899" s="38"/>
      <c r="Q1899" s="21"/>
      <c r="R1899" s="21"/>
      <c r="S1899" s="47"/>
      <c r="T1899" s="25">
        <f t="shared" si="61"/>
        <v>0</v>
      </c>
      <c r="U1899" s="25" t="str">
        <f>IF('PART III-DEMOGRAPHICS'!Q1909="","",'PART III-DEMOGRAPHICS'!Q1909)</f>
        <v/>
      </c>
    </row>
    <row r="1900" spans="1:21">
      <c r="A1900" s="25" t="str">
        <f>IF('PART III-DEMOGRAPHICS'!A1910="","",'PART III-DEMOGRAPHICS'!A1910)</f>
        <v/>
      </c>
      <c r="B1900" s="28"/>
      <c r="C1900" s="27"/>
      <c r="D1900" s="28"/>
      <c r="E1900" s="21"/>
      <c r="F1900" s="36" t="str">
        <f t="shared" si="62"/>
        <v>Did Not</v>
      </c>
      <c r="G1900" s="28"/>
      <c r="H1900" s="28"/>
      <c r="I1900" s="28"/>
      <c r="J1900" s="28"/>
      <c r="K1900" s="28"/>
      <c r="L1900" s="28"/>
      <c r="M1900" s="28"/>
      <c r="N1900" s="21"/>
      <c r="O1900" s="28"/>
      <c r="P1900" s="38"/>
      <c r="Q1900" s="21"/>
      <c r="R1900" s="21"/>
      <c r="S1900" s="47"/>
      <c r="T1900" s="25">
        <f t="shared" si="61"/>
        <v>0</v>
      </c>
      <c r="U1900" s="25" t="str">
        <f>IF('PART III-DEMOGRAPHICS'!Q1910="","",'PART III-DEMOGRAPHICS'!Q1910)</f>
        <v/>
      </c>
    </row>
    <row r="1901" spans="1:21">
      <c r="A1901" s="25" t="str">
        <f>IF('PART III-DEMOGRAPHICS'!A1911="","",'PART III-DEMOGRAPHICS'!A1911)</f>
        <v/>
      </c>
      <c r="B1901" s="28"/>
      <c r="C1901" s="27"/>
      <c r="D1901" s="28"/>
      <c r="E1901" s="21"/>
      <c r="F1901" s="36" t="str">
        <f t="shared" si="62"/>
        <v>Did Not</v>
      </c>
      <c r="G1901" s="28"/>
      <c r="H1901" s="28"/>
      <c r="I1901" s="28"/>
      <c r="J1901" s="28"/>
      <c r="K1901" s="28"/>
      <c r="L1901" s="28"/>
      <c r="M1901" s="28"/>
      <c r="N1901" s="21"/>
      <c r="O1901" s="28"/>
      <c r="P1901" s="38"/>
      <c r="Q1901" s="21"/>
      <c r="R1901" s="21"/>
      <c r="S1901" s="47"/>
      <c r="T1901" s="25">
        <f t="shared" si="61"/>
        <v>0</v>
      </c>
      <c r="U1901" s="25" t="str">
        <f>IF('PART III-DEMOGRAPHICS'!Q1911="","",'PART III-DEMOGRAPHICS'!Q1911)</f>
        <v/>
      </c>
    </row>
    <row r="1902" spans="1:21">
      <c r="A1902" s="25" t="str">
        <f>IF('PART III-DEMOGRAPHICS'!A1912="","",'PART III-DEMOGRAPHICS'!A1912)</f>
        <v/>
      </c>
      <c r="B1902" s="28"/>
      <c r="C1902" s="27"/>
      <c r="D1902" s="28"/>
      <c r="E1902" s="21"/>
      <c r="F1902" s="36" t="str">
        <f t="shared" si="62"/>
        <v>Did Not</v>
      </c>
      <c r="G1902" s="28"/>
      <c r="H1902" s="28"/>
      <c r="I1902" s="28"/>
      <c r="J1902" s="28"/>
      <c r="K1902" s="28"/>
      <c r="L1902" s="28"/>
      <c r="M1902" s="28"/>
      <c r="N1902" s="21"/>
      <c r="O1902" s="28"/>
      <c r="P1902" s="38"/>
      <c r="Q1902" s="21"/>
      <c r="R1902" s="21"/>
      <c r="S1902" s="47"/>
      <c r="T1902" s="25">
        <f t="shared" si="61"/>
        <v>0</v>
      </c>
      <c r="U1902" s="25" t="str">
        <f>IF('PART III-DEMOGRAPHICS'!Q1912="","",'PART III-DEMOGRAPHICS'!Q1912)</f>
        <v/>
      </c>
    </row>
    <row r="1903" spans="1:21">
      <c r="A1903" s="25" t="str">
        <f>IF('PART III-DEMOGRAPHICS'!A1913="","",'PART III-DEMOGRAPHICS'!A1913)</f>
        <v/>
      </c>
      <c r="B1903" s="28"/>
      <c r="C1903" s="27"/>
      <c r="D1903" s="28"/>
      <c r="E1903" s="21"/>
      <c r="F1903" s="36" t="str">
        <f t="shared" si="62"/>
        <v>Did Not</v>
      </c>
      <c r="G1903" s="28"/>
      <c r="H1903" s="28"/>
      <c r="I1903" s="28"/>
      <c r="J1903" s="28"/>
      <c r="K1903" s="28"/>
      <c r="L1903" s="28"/>
      <c r="M1903" s="28"/>
      <c r="N1903" s="21"/>
      <c r="O1903" s="28"/>
      <c r="P1903" s="38"/>
      <c r="Q1903" s="21"/>
      <c r="R1903" s="21"/>
      <c r="S1903" s="47"/>
      <c r="T1903" s="25">
        <f t="shared" si="61"/>
        <v>0</v>
      </c>
      <c r="U1903" s="25" t="str">
        <f>IF('PART III-DEMOGRAPHICS'!Q1913="","",'PART III-DEMOGRAPHICS'!Q1913)</f>
        <v/>
      </c>
    </row>
    <row r="1904" spans="1:21">
      <c r="A1904" s="25" t="str">
        <f>IF('PART III-DEMOGRAPHICS'!A1914="","",'PART III-DEMOGRAPHICS'!A1914)</f>
        <v/>
      </c>
      <c r="B1904" s="28"/>
      <c r="C1904" s="27"/>
      <c r="D1904" s="28"/>
      <c r="E1904" s="21"/>
      <c r="F1904" s="36" t="str">
        <f t="shared" si="62"/>
        <v>Did Not</v>
      </c>
      <c r="G1904" s="28"/>
      <c r="H1904" s="28"/>
      <c r="I1904" s="28"/>
      <c r="J1904" s="28"/>
      <c r="K1904" s="28"/>
      <c r="L1904" s="28"/>
      <c r="M1904" s="28"/>
      <c r="N1904" s="21"/>
      <c r="O1904" s="28"/>
      <c r="P1904" s="38"/>
      <c r="Q1904" s="21"/>
      <c r="R1904" s="21"/>
      <c r="S1904" s="47"/>
      <c r="T1904" s="25">
        <f t="shared" si="61"/>
        <v>0</v>
      </c>
      <c r="U1904" s="25" t="str">
        <f>IF('PART III-DEMOGRAPHICS'!Q1914="","",'PART III-DEMOGRAPHICS'!Q1914)</f>
        <v/>
      </c>
    </row>
    <row r="1905" spans="1:21">
      <c r="A1905" s="25" t="str">
        <f>IF('PART III-DEMOGRAPHICS'!A1915="","",'PART III-DEMOGRAPHICS'!A1915)</f>
        <v/>
      </c>
      <c r="B1905" s="28"/>
      <c r="C1905" s="27"/>
      <c r="D1905" s="28"/>
      <c r="E1905" s="21"/>
      <c r="F1905" s="36" t="str">
        <f t="shared" si="62"/>
        <v>Did Not</v>
      </c>
      <c r="G1905" s="28"/>
      <c r="H1905" s="28"/>
      <c r="I1905" s="28"/>
      <c r="J1905" s="28"/>
      <c r="K1905" s="28"/>
      <c r="L1905" s="28"/>
      <c r="M1905" s="28"/>
      <c r="N1905" s="21"/>
      <c r="O1905" s="28"/>
      <c r="P1905" s="38"/>
      <c r="Q1905" s="21"/>
      <c r="R1905" s="21"/>
      <c r="S1905" s="47"/>
      <c r="T1905" s="25">
        <f t="shared" si="61"/>
        <v>0</v>
      </c>
      <c r="U1905" s="25" t="str">
        <f>IF('PART III-DEMOGRAPHICS'!Q1915="","",'PART III-DEMOGRAPHICS'!Q1915)</f>
        <v/>
      </c>
    </row>
    <row r="1906" spans="1:21">
      <c r="A1906" s="25" t="str">
        <f>IF('PART III-DEMOGRAPHICS'!A1916="","",'PART III-DEMOGRAPHICS'!A1916)</f>
        <v/>
      </c>
      <c r="B1906" s="28"/>
      <c r="C1906" s="27"/>
      <c r="D1906" s="28"/>
      <c r="E1906" s="21"/>
      <c r="F1906" s="36" t="str">
        <f t="shared" si="62"/>
        <v>Did Not</v>
      </c>
      <c r="G1906" s="28"/>
      <c r="H1906" s="28"/>
      <c r="I1906" s="28"/>
      <c r="J1906" s="28"/>
      <c r="K1906" s="28"/>
      <c r="L1906" s="28"/>
      <c r="M1906" s="28"/>
      <c r="N1906" s="21"/>
      <c r="O1906" s="28"/>
      <c r="P1906" s="38"/>
      <c r="Q1906" s="21"/>
      <c r="R1906" s="21"/>
      <c r="S1906" s="47"/>
      <c r="T1906" s="25">
        <f t="shared" si="61"/>
        <v>0</v>
      </c>
      <c r="U1906" s="25" t="str">
        <f>IF('PART III-DEMOGRAPHICS'!Q1916="","",'PART III-DEMOGRAPHICS'!Q1916)</f>
        <v/>
      </c>
    </row>
    <row r="1907" spans="1:21">
      <c r="A1907" s="25" t="str">
        <f>IF('PART III-DEMOGRAPHICS'!A1917="","",'PART III-DEMOGRAPHICS'!A1917)</f>
        <v/>
      </c>
      <c r="B1907" s="28"/>
      <c r="C1907" s="27"/>
      <c r="D1907" s="28"/>
      <c r="E1907" s="21"/>
      <c r="F1907" s="36" t="str">
        <f t="shared" si="62"/>
        <v>Did Not</v>
      </c>
      <c r="G1907" s="28"/>
      <c r="H1907" s="28"/>
      <c r="I1907" s="28"/>
      <c r="J1907" s="28"/>
      <c r="K1907" s="28"/>
      <c r="L1907" s="28"/>
      <c r="M1907" s="28"/>
      <c r="N1907" s="21"/>
      <c r="O1907" s="28"/>
      <c r="P1907" s="38"/>
      <c r="Q1907" s="21"/>
      <c r="R1907" s="21"/>
      <c r="S1907" s="47"/>
      <c r="T1907" s="25">
        <f t="shared" si="61"/>
        <v>0</v>
      </c>
      <c r="U1907" s="25" t="str">
        <f>IF('PART III-DEMOGRAPHICS'!Q1917="","",'PART III-DEMOGRAPHICS'!Q1917)</f>
        <v/>
      </c>
    </row>
    <row r="1908" spans="1:21">
      <c r="A1908" s="25" t="str">
        <f>IF('PART III-DEMOGRAPHICS'!A1918="","",'PART III-DEMOGRAPHICS'!A1918)</f>
        <v/>
      </c>
      <c r="B1908" s="28"/>
      <c r="C1908" s="27"/>
      <c r="D1908" s="28"/>
      <c r="E1908" s="21"/>
      <c r="F1908" s="36" t="str">
        <f t="shared" si="62"/>
        <v>Did Not</v>
      </c>
      <c r="G1908" s="28"/>
      <c r="H1908" s="28"/>
      <c r="I1908" s="28"/>
      <c r="J1908" s="28"/>
      <c r="K1908" s="28"/>
      <c r="L1908" s="28"/>
      <c r="M1908" s="28"/>
      <c r="N1908" s="21"/>
      <c r="O1908" s="28"/>
      <c r="P1908" s="38"/>
      <c r="Q1908" s="21"/>
      <c r="R1908" s="21"/>
      <c r="S1908" s="47"/>
      <c r="T1908" s="25">
        <f t="shared" si="61"/>
        <v>0</v>
      </c>
      <c r="U1908" s="25" t="str">
        <f>IF('PART III-DEMOGRAPHICS'!Q1918="","",'PART III-DEMOGRAPHICS'!Q1918)</f>
        <v/>
      </c>
    </row>
    <row r="1909" spans="1:21">
      <c r="A1909" s="25" t="str">
        <f>IF('PART III-DEMOGRAPHICS'!A1919="","",'PART III-DEMOGRAPHICS'!A1919)</f>
        <v/>
      </c>
      <c r="B1909" s="28"/>
      <c r="C1909" s="27"/>
      <c r="D1909" s="28"/>
      <c r="E1909" s="21"/>
      <c r="F1909" s="36" t="str">
        <f t="shared" si="62"/>
        <v>Did Not</v>
      </c>
      <c r="G1909" s="28"/>
      <c r="H1909" s="28"/>
      <c r="I1909" s="28"/>
      <c r="J1909" s="28"/>
      <c r="K1909" s="28"/>
      <c r="L1909" s="28"/>
      <c r="M1909" s="28"/>
      <c r="N1909" s="21"/>
      <c r="O1909" s="28"/>
      <c r="P1909" s="38"/>
      <c r="Q1909" s="21"/>
      <c r="R1909" s="21"/>
      <c r="S1909" s="47"/>
      <c r="T1909" s="25">
        <f t="shared" si="61"/>
        <v>0</v>
      </c>
      <c r="U1909" s="25" t="str">
        <f>IF('PART III-DEMOGRAPHICS'!Q1919="","",'PART III-DEMOGRAPHICS'!Q1919)</f>
        <v/>
      </c>
    </row>
    <row r="1910" spans="1:21">
      <c r="A1910" s="25" t="str">
        <f>IF('PART III-DEMOGRAPHICS'!A1920="","",'PART III-DEMOGRAPHICS'!A1920)</f>
        <v/>
      </c>
      <c r="B1910" s="28"/>
      <c r="C1910" s="27"/>
      <c r="D1910" s="28"/>
      <c r="E1910" s="21"/>
      <c r="F1910" s="36" t="str">
        <f t="shared" si="62"/>
        <v>Did Not</v>
      </c>
      <c r="G1910" s="28"/>
      <c r="H1910" s="28"/>
      <c r="I1910" s="28"/>
      <c r="J1910" s="28"/>
      <c r="K1910" s="28"/>
      <c r="L1910" s="28"/>
      <c r="M1910" s="28"/>
      <c r="N1910" s="21"/>
      <c r="O1910" s="28"/>
      <c r="P1910" s="38"/>
      <c r="Q1910" s="21"/>
      <c r="R1910" s="21"/>
      <c r="S1910" s="47"/>
      <c r="T1910" s="25">
        <f t="shared" si="61"/>
        <v>0</v>
      </c>
      <c r="U1910" s="25" t="str">
        <f>IF('PART III-DEMOGRAPHICS'!Q1920="","",'PART III-DEMOGRAPHICS'!Q1920)</f>
        <v/>
      </c>
    </row>
    <row r="1911" spans="1:21">
      <c r="A1911" s="25" t="str">
        <f>IF('PART III-DEMOGRAPHICS'!A1921="","",'PART III-DEMOGRAPHICS'!A1921)</f>
        <v/>
      </c>
      <c r="B1911" s="28"/>
      <c r="C1911" s="27"/>
      <c r="D1911" s="28"/>
      <c r="E1911" s="21"/>
      <c r="F1911" s="36" t="str">
        <f t="shared" si="62"/>
        <v>Did Not</v>
      </c>
      <c r="G1911" s="28"/>
      <c r="H1911" s="28"/>
      <c r="I1911" s="28"/>
      <c r="J1911" s="28"/>
      <c r="K1911" s="28"/>
      <c r="L1911" s="28"/>
      <c r="M1911" s="28"/>
      <c r="N1911" s="21"/>
      <c r="O1911" s="28"/>
      <c r="P1911" s="38"/>
      <c r="Q1911" s="21"/>
      <c r="R1911" s="21"/>
      <c r="S1911" s="47"/>
      <c r="T1911" s="25">
        <f t="shared" si="61"/>
        <v>0</v>
      </c>
      <c r="U1911" s="25" t="str">
        <f>IF('PART III-DEMOGRAPHICS'!Q1921="","",'PART III-DEMOGRAPHICS'!Q1921)</f>
        <v/>
      </c>
    </row>
    <row r="1912" spans="1:21">
      <c r="A1912" s="25" t="str">
        <f>IF('PART III-DEMOGRAPHICS'!A1922="","",'PART III-DEMOGRAPHICS'!A1922)</f>
        <v/>
      </c>
      <c r="B1912" s="28"/>
      <c r="C1912" s="27"/>
      <c r="D1912" s="28"/>
      <c r="E1912" s="21"/>
      <c r="F1912" s="36" t="str">
        <f t="shared" si="62"/>
        <v>Did Not</v>
      </c>
      <c r="G1912" s="28"/>
      <c r="H1912" s="28"/>
      <c r="I1912" s="28"/>
      <c r="J1912" s="28"/>
      <c r="K1912" s="28"/>
      <c r="L1912" s="28"/>
      <c r="M1912" s="28"/>
      <c r="N1912" s="21"/>
      <c r="O1912" s="28"/>
      <c r="P1912" s="38"/>
      <c r="Q1912" s="21"/>
      <c r="R1912" s="21"/>
      <c r="S1912" s="47"/>
      <c r="T1912" s="25">
        <f t="shared" si="61"/>
        <v>0</v>
      </c>
      <c r="U1912" s="25" t="str">
        <f>IF('PART III-DEMOGRAPHICS'!Q1922="","",'PART III-DEMOGRAPHICS'!Q1922)</f>
        <v/>
      </c>
    </row>
    <row r="1913" spans="1:21">
      <c r="A1913" s="25" t="str">
        <f>IF('PART III-DEMOGRAPHICS'!A1923="","",'PART III-DEMOGRAPHICS'!A1923)</f>
        <v/>
      </c>
      <c r="B1913" s="28"/>
      <c r="C1913" s="27"/>
      <c r="D1913" s="28"/>
      <c r="E1913" s="21"/>
      <c r="F1913" s="36" t="str">
        <f t="shared" si="62"/>
        <v>Did Not</v>
      </c>
      <c r="G1913" s="28"/>
      <c r="H1913" s="28"/>
      <c r="I1913" s="28"/>
      <c r="J1913" s="28"/>
      <c r="K1913" s="28"/>
      <c r="L1913" s="28"/>
      <c r="M1913" s="28"/>
      <c r="N1913" s="21"/>
      <c r="O1913" s="28"/>
      <c r="P1913" s="38"/>
      <c r="Q1913" s="21"/>
      <c r="R1913" s="21"/>
      <c r="S1913" s="47"/>
      <c r="T1913" s="25">
        <f t="shared" si="61"/>
        <v>0</v>
      </c>
      <c r="U1913" s="25" t="str">
        <f>IF('PART III-DEMOGRAPHICS'!Q1923="","",'PART III-DEMOGRAPHICS'!Q1923)</f>
        <v/>
      </c>
    </row>
    <row r="1914" spans="1:21">
      <c r="A1914" s="25" t="str">
        <f>IF('PART III-DEMOGRAPHICS'!A1924="","",'PART III-DEMOGRAPHICS'!A1924)</f>
        <v/>
      </c>
      <c r="B1914" s="28"/>
      <c r="C1914" s="27"/>
      <c r="D1914" s="28"/>
      <c r="E1914" s="21"/>
      <c r="F1914" s="36" t="str">
        <f t="shared" si="62"/>
        <v>Did Not</v>
      </c>
      <c r="G1914" s="28"/>
      <c r="H1914" s="28"/>
      <c r="I1914" s="28"/>
      <c r="J1914" s="28"/>
      <c r="K1914" s="28"/>
      <c r="L1914" s="28"/>
      <c r="M1914" s="28"/>
      <c r="N1914" s="21"/>
      <c r="O1914" s="28"/>
      <c r="P1914" s="38"/>
      <c r="Q1914" s="21"/>
      <c r="R1914" s="21"/>
      <c r="S1914" s="47"/>
      <c r="T1914" s="25">
        <f t="shared" si="61"/>
        <v>0</v>
      </c>
      <c r="U1914" s="25" t="str">
        <f>IF('PART III-DEMOGRAPHICS'!Q1924="","",'PART III-DEMOGRAPHICS'!Q1924)</f>
        <v/>
      </c>
    </row>
    <row r="1915" spans="1:21">
      <c r="A1915" s="25" t="str">
        <f>IF('PART III-DEMOGRAPHICS'!A1925="","",'PART III-DEMOGRAPHICS'!A1925)</f>
        <v/>
      </c>
      <c r="B1915" s="28"/>
      <c r="C1915" s="27"/>
      <c r="D1915" s="28"/>
      <c r="E1915" s="21"/>
      <c r="F1915" s="36" t="str">
        <f t="shared" si="62"/>
        <v>Did Not</v>
      </c>
      <c r="G1915" s="28"/>
      <c r="H1915" s="28"/>
      <c r="I1915" s="28"/>
      <c r="J1915" s="28"/>
      <c r="K1915" s="28"/>
      <c r="L1915" s="28"/>
      <c r="M1915" s="28"/>
      <c r="N1915" s="21"/>
      <c r="O1915" s="28"/>
      <c r="P1915" s="38"/>
      <c r="Q1915" s="21"/>
      <c r="R1915" s="21"/>
      <c r="S1915" s="47"/>
      <c r="T1915" s="25">
        <f t="shared" si="61"/>
        <v>0</v>
      </c>
      <c r="U1915" s="25" t="str">
        <f>IF('PART III-DEMOGRAPHICS'!Q1925="","",'PART III-DEMOGRAPHICS'!Q1925)</f>
        <v/>
      </c>
    </row>
    <row r="1916" spans="1:21">
      <c r="A1916" s="25" t="str">
        <f>IF('PART III-DEMOGRAPHICS'!A1926="","",'PART III-DEMOGRAPHICS'!A1926)</f>
        <v/>
      </c>
      <c r="B1916" s="28"/>
      <c r="C1916" s="27"/>
      <c r="D1916" s="28"/>
      <c r="E1916" s="21"/>
      <c r="F1916" s="36" t="str">
        <f t="shared" si="62"/>
        <v>Did Not</v>
      </c>
      <c r="G1916" s="28"/>
      <c r="H1916" s="28"/>
      <c r="I1916" s="28"/>
      <c r="J1916" s="28"/>
      <c r="K1916" s="28"/>
      <c r="L1916" s="28"/>
      <c r="M1916" s="28"/>
      <c r="N1916" s="21"/>
      <c r="O1916" s="28"/>
      <c r="P1916" s="38"/>
      <c r="Q1916" s="21"/>
      <c r="R1916" s="21"/>
      <c r="S1916" s="47"/>
      <c r="T1916" s="25">
        <f t="shared" si="61"/>
        <v>0</v>
      </c>
      <c r="U1916" s="25" t="str">
        <f>IF('PART III-DEMOGRAPHICS'!Q1926="","",'PART III-DEMOGRAPHICS'!Q1926)</f>
        <v/>
      </c>
    </row>
    <row r="1917" spans="1:21">
      <c r="A1917" s="25" t="str">
        <f>IF('PART III-DEMOGRAPHICS'!A1927="","",'PART III-DEMOGRAPHICS'!A1927)</f>
        <v/>
      </c>
      <c r="B1917" s="28"/>
      <c r="C1917" s="27"/>
      <c r="D1917" s="28"/>
      <c r="E1917" s="21"/>
      <c r="F1917" s="36" t="str">
        <f t="shared" si="62"/>
        <v>Did Not</v>
      </c>
      <c r="G1917" s="28"/>
      <c r="H1917" s="28"/>
      <c r="I1917" s="28"/>
      <c r="J1917" s="28"/>
      <c r="K1917" s="28"/>
      <c r="L1917" s="28"/>
      <c r="M1917" s="28"/>
      <c r="N1917" s="21"/>
      <c r="O1917" s="28"/>
      <c r="P1917" s="38"/>
      <c r="Q1917" s="21"/>
      <c r="R1917" s="21"/>
      <c r="S1917" s="47"/>
      <c r="T1917" s="25">
        <f t="shared" si="61"/>
        <v>0</v>
      </c>
      <c r="U1917" s="25" t="str">
        <f>IF('PART III-DEMOGRAPHICS'!Q1927="","",'PART III-DEMOGRAPHICS'!Q1927)</f>
        <v/>
      </c>
    </row>
    <row r="1918" spans="1:21">
      <c r="A1918" s="25" t="str">
        <f>IF('PART III-DEMOGRAPHICS'!A1928="","",'PART III-DEMOGRAPHICS'!A1928)</f>
        <v/>
      </c>
      <c r="B1918" s="28"/>
      <c r="C1918" s="27"/>
      <c r="D1918" s="28"/>
      <c r="E1918" s="21"/>
      <c r="F1918" s="36" t="str">
        <f t="shared" si="62"/>
        <v>Did Not</v>
      </c>
      <c r="G1918" s="28"/>
      <c r="H1918" s="28"/>
      <c r="I1918" s="28"/>
      <c r="J1918" s="28"/>
      <c r="K1918" s="28"/>
      <c r="L1918" s="28"/>
      <c r="M1918" s="28"/>
      <c r="N1918" s="21"/>
      <c r="O1918" s="28"/>
      <c r="P1918" s="38"/>
      <c r="Q1918" s="21"/>
      <c r="R1918" s="21"/>
      <c r="S1918" s="47"/>
      <c r="T1918" s="25">
        <f t="shared" si="61"/>
        <v>0</v>
      </c>
      <c r="U1918" s="25" t="str">
        <f>IF('PART III-DEMOGRAPHICS'!Q1928="","",'PART III-DEMOGRAPHICS'!Q1928)</f>
        <v/>
      </c>
    </row>
    <row r="1919" spans="1:21">
      <c r="A1919" s="25" t="str">
        <f>IF('PART III-DEMOGRAPHICS'!A1929="","",'PART III-DEMOGRAPHICS'!A1929)</f>
        <v/>
      </c>
      <c r="B1919" s="28"/>
      <c r="C1919" s="27"/>
      <c r="D1919" s="28"/>
      <c r="E1919" s="21"/>
      <c r="F1919" s="36" t="str">
        <f t="shared" si="62"/>
        <v>Did Not</v>
      </c>
      <c r="G1919" s="28"/>
      <c r="H1919" s="28"/>
      <c r="I1919" s="28"/>
      <c r="J1919" s="28"/>
      <c r="K1919" s="28"/>
      <c r="L1919" s="28"/>
      <c r="M1919" s="28"/>
      <c r="N1919" s="21"/>
      <c r="O1919" s="28"/>
      <c r="P1919" s="38"/>
      <c r="Q1919" s="21"/>
      <c r="R1919" s="21"/>
      <c r="S1919" s="47"/>
      <c r="T1919" s="25">
        <f t="shared" si="61"/>
        <v>0</v>
      </c>
      <c r="U1919" s="25" t="str">
        <f>IF('PART III-DEMOGRAPHICS'!Q1929="","",'PART III-DEMOGRAPHICS'!Q1929)</f>
        <v/>
      </c>
    </row>
    <row r="1920" spans="1:21">
      <c r="A1920" s="25" t="str">
        <f>IF('PART III-DEMOGRAPHICS'!A1930="","",'PART III-DEMOGRAPHICS'!A1930)</f>
        <v/>
      </c>
      <c r="B1920" s="28"/>
      <c r="C1920" s="27"/>
      <c r="D1920" s="28"/>
      <c r="E1920" s="21"/>
      <c r="F1920" s="36" t="str">
        <f t="shared" si="62"/>
        <v>Did Not</v>
      </c>
      <c r="G1920" s="28"/>
      <c r="H1920" s="28"/>
      <c r="I1920" s="28"/>
      <c r="J1920" s="28"/>
      <c r="K1920" s="28"/>
      <c r="L1920" s="28"/>
      <c r="M1920" s="28"/>
      <c r="N1920" s="21"/>
      <c r="O1920" s="28"/>
      <c r="P1920" s="38"/>
      <c r="Q1920" s="21"/>
      <c r="R1920" s="21"/>
      <c r="S1920" s="47"/>
      <c r="T1920" s="25">
        <f t="shared" si="61"/>
        <v>0</v>
      </c>
      <c r="U1920" s="25" t="str">
        <f>IF('PART III-DEMOGRAPHICS'!Q1930="","",'PART III-DEMOGRAPHICS'!Q1930)</f>
        <v/>
      </c>
    </row>
    <row r="1921" spans="1:21">
      <c r="A1921" s="25" t="str">
        <f>IF('PART III-DEMOGRAPHICS'!A1931="","",'PART III-DEMOGRAPHICS'!A1931)</f>
        <v/>
      </c>
      <c r="B1921" s="28"/>
      <c r="C1921" s="27"/>
      <c r="D1921" s="28"/>
      <c r="E1921" s="21"/>
      <c r="F1921" s="36" t="str">
        <f t="shared" si="62"/>
        <v>Did Not</v>
      </c>
      <c r="G1921" s="28"/>
      <c r="H1921" s="28"/>
      <c r="I1921" s="28"/>
      <c r="J1921" s="28"/>
      <c r="K1921" s="28"/>
      <c r="L1921" s="28"/>
      <c r="M1921" s="28"/>
      <c r="N1921" s="21"/>
      <c r="O1921" s="28"/>
      <c r="P1921" s="38"/>
      <c r="Q1921" s="21"/>
      <c r="R1921" s="21"/>
      <c r="S1921" s="47"/>
      <c r="T1921" s="25">
        <f t="shared" si="61"/>
        <v>0</v>
      </c>
      <c r="U1921" s="25" t="str">
        <f>IF('PART III-DEMOGRAPHICS'!Q1931="","",'PART III-DEMOGRAPHICS'!Q1931)</f>
        <v/>
      </c>
    </row>
    <row r="1922" spans="1:21">
      <c r="A1922" s="25" t="str">
        <f>IF('PART III-DEMOGRAPHICS'!A1932="","",'PART III-DEMOGRAPHICS'!A1932)</f>
        <v/>
      </c>
      <c r="B1922" s="28"/>
      <c r="C1922" s="27"/>
      <c r="D1922" s="28"/>
      <c r="E1922" s="21"/>
      <c r="F1922" s="36" t="str">
        <f t="shared" si="62"/>
        <v>Did Not</v>
      </c>
      <c r="G1922" s="28"/>
      <c r="H1922" s="28"/>
      <c r="I1922" s="28"/>
      <c r="J1922" s="28"/>
      <c r="K1922" s="28"/>
      <c r="L1922" s="28"/>
      <c r="M1922" s="28"/>
      <c r="N1922" s="21"/>
      <c r="O1922" s="28"/>
      <c r="P1922" s="38"/>
      <c r="Q1922" s="21"/>
      <c r="R1922" s="21"/>
      <c r="S1922" s="47"/>
      <c r="T1922" s="25">
        <f t="shared" si="61"/>
        <v>0</v>
      </c>
      <c r="U1922" s="25" t="str">
        <f>IF('PART III-DEMOGRAPHICS'!Q1932="","",'PART III-DEMOGRAPHICS'!Q1932)</f>
        <v/>
      </c>
    </row>
    <row r="1923" spans="1:21">
      <c r="A1923" s="25" t="str">
        <f>IF('PART III-DEMOGRAPHICS'!A1933="","",'PART III-DEMOGRAPHICS'!A1933)</f>
        <v/>
      </c>
      <c r="B1923" s="28"/>
      <c r="C1923" s="27"/>
      <c r="D1923" s="28"/>
      <c r="E1923" s="21"/>
      <c r="F1923" s="36" t="str">
        <f t="shared" si="62"/>
        <v>Did Not</v>
      </c>
      <c r="G1923" s="28"/>
      <c r="H1923" s="28"/>
      <c r="I1923" s="28"/>
      <c r="J1923" s="28"/>
      <c r="K1923" s="28"/>
      <c r="L1923" s="28"/>
      <c r="M1923" s="28"/>
      <c r="N1923" s="21"/>
      <c r="O1923" s="28"/>
      <c r="P1923" s="38"/>
      <c r="Q1923" s="21"/>
      <c r="R1923" s="21"/>
      <c r="S1923" s="47"/>
      <c r="T1923" s="25">
        <f t="shared" si="61"/>
        <v>0</v>
      </c>
      <c r="U1923" s="25" t="str">
        <f>IF('PART III-DEMOGRAPHICS'!Q1933="","",'PART III-DEMOGRAPHICS'!Q1933)</f>
        <v/>
      </c>
    </row>
    <row r="1924" spans="1:21">
      <c r="A1924" s="25" t="str">
        <f>IF('PART III-DEMOGRAPHICS'!A1934="","",'PART III-DEMOGRAPHICS'!A1934)</f>
        <v/>
      </c>
      <c r="B1924" s="28"/>
      <c r="C1924" s="27"/>
      <c r="D1924" s="28"/>
      <c r="E1924" s="21"/>
      <c r="F1924" s="36" t="str">
        <f t="shared" si="62"/>
        <v>Did Not</v>
      </c>
      <c r="G1924" s="28"/>
      <c r="H1924" s="28"/>
      <c r="I1924" s="28"/>
      <c r="J1924" s="28"/>
      <c r="K1924" s="28"/>
      <c r="L1924" s="28"/>
      <c r="M1924" s="28"/>
      <c r="N1924" s="21"/>
      <c r="O1924" s="28"/>
      <c r="P1924" s="38"/>
      <c r="Q1924" s="21"/>
      <c r="R1924" s="21"/>
      <c r="S1924" s="47"/>
      <c r="T1924" s="25">
        <f t="shared" si="61"/>
        <v>0</v>
      </c>
      <c r="U1924" s="25" t="str">
        <f>IF('PART III-DEMOGRAPHICS'!Q1934="","",'PART III-DEMOGRAPHICS'!Q1934)</f>
        <v/>
      </c>
    </row>
    <row r="1925" spans="1:21">
      <c r="A1925" s="25" t="str">
        <f>IF('PART III-DEMOGRAPHICS'!A1935="","",'PART III-DEMOGRAPHICS'!A1935)</f>
        <v/>
      </c>
      <c r="B1925" s="28"/>
      <c r="C1925" s="27"/>
      <c r="D1925" s="28"/>
      <c r="E1925" s="21"/>
      <c r="F1925" s="36" t="str">
        <f t="shared" si="62"/>
        <v>Did Not</v>
      </c>
      <c r="G1925" s="28"/>
      <c r="H1925" s="28"/>
      <c r="I1925" s="28"/>
      <c r="J1925" s="28"/>
      <c r="K1925" s="28"/>
      <c r="L1925" s="28"/>
      <c r="M1925" s="28"/>
      <c r="N1925" s="21"/>
      <c r="O1925" s="28"/>
      <c r="P1925" s="38"/>
      <c r="Q1925" s="21"/>
      <c r="R1925" s="21"/>
      <c r="S1925" s="47"/>
      <c r="T1925" s="25">
        <f t="shared" si="61"/>
        <v>0</v>
      </c>
      <c r="U1925" s="25" t="str">
        <f>IF('PART III-DEMOGRAPHICS'!Q1935="","",'PART III-DEMOGRAPHICS'!Q1935)</f>
        <v/>
      </c>
    </row>
    <row r="1926" spans="1:21">
      <c r="A1926" s="25" t="str">
        <f>IF('PART III-DEMOGRAPHICS'!A1936="","",'PART III-DEMOGRAPHICS'!A1936)</f>
        <v/>
      </c>
      <c r="B1926" s="28"/>
      <c r="C1926" s="27"/>
      <c r="D1926" s="28"/>
      <c r="E1926" s="21"/>
      <c r="F1926" s="36" t="str">
        <f t="shared" si="62"/>
        <v>Did Not</v>
      </c>
      <c r="G1926" s="28"/>
      <c r="H1926" s="28"/>
      <c r="I1926" s="28"/>
      <c r="J1926" s="28"/>
      <c r="K1926" s="28"/>
      <c r="L1926" s="28"/>
      <c r="M1926" s="28"/>
      <c r="N1926" s="21"/>
      <c r="O1926" s="28"/>
      <c r="P1926" s="38"/>
      <c r="Q1926" s="21"/>
      <c r="R1926" s="21"/>
      <c r="S1926" s="47"/>
      <c r="T1926" s="25">
        <f t="shared" si="61"/>
        <v>0</v>
      </c>
      <c r="U1926" s="25" t="str">
        <f>IF('PART III-DEMOGRAPHICS'!Q1936="","",'PART III-DEMOGRAPHICS'!Q1936)</f>
        <v/>
      </c>
    </row>
    <row r="1927" spans="1:21">
      <c r="A1927" s="25" t="str">
        <f>IF('PART III-DEMOGRAPHICS'!A1937="","",'PART III-DEMOGRAPHICS'!A1937)</f>
        <v/>
      </c>
      <c r="B1927" s="28"/>
      <c r="C1927" s="27"/>
      <c r="D1927" s="28"/>
      <c r="E1927" s="21"/>
      <c r="F1927" s="36" t="str">
        <f t="shared" si="62"/>
        <v>Did Not</v>
      </c>
      <c r="G1927" s="28"/>
      <c r="H1927" s="28"/>
      <c r="I1927" s="28"/>
      <c r="J1927" s="28"/>
      <c r="K1927" s="28"/>
      <c r="L1927" s="28"/>
      <c r="M1927" s="28"/>
      <c r="N1927" s="21"/>
      <c r="O1927" s="28"/>
      <c r="P1927" s="38"/>
      <c r="Q1927" s="21"/>
      <c r="R1927" s="21"/>
      <c r="S1927" s="47"/>
      <c r="T1927" s="25">
        <f t="shared" ref="T1927:T1990" si="63">COUNTIF(A1927:R1927,"Yes")</f>
        <v>0</v>
      </c>
      <c r="U1927" s="25" t="str">
        <f>IF('PART III-DEMOGRAPHICS'!Q1937="","",'PART III-DEMOGRAPHICS'!Q1937)</f>
        <v/>
      </c>
    </row>
    <row r="1928" spans="1:21">
      <c r="A1928" s="25" t="str">
        <f>IF('PART III-DEMOGRAPHICS'!A1938="","",'PART III-DEMOGRAPHICS'!A1938)</f>
        <v/>
      </c>
      <c r="B1928" s="28"/>
      <c r="C1928" s="27"/>
      <c r="D1928" s="28"/>
      <c r="E1928" s="21"/>
      <c r="F1928" s="36" t="str">
        <f t="shared" si="62"/>
        <v>Did Not</v>
      </c>
      <c r="G1928" s="28"/>
      <c r="H1928" s="28"/>
      <c r="I1928" s="28"/>
      <c r="J1928" s="28"/>
      <c r="K1928" s="28"/>
      <c r="L1928" s="28"/>
      <c r="M1928" s="28"/>
      <c r="N1928" s="21"/>
      <c r="O1928" s="28"/>
      <c r="P1928" s="38"/>
      <c r="Q1928" s="21"/>
      <c r="R1928" s="21"/>
      <c r="S1928" s="47"/>
      <c r="T1928" s="25">
        <f t="shared" si="63"/>
        <v>0</v>
      </c>
      <c r="U1928" s="25" t="str">
        <f>IF('PART III-DEMOGRAPHICS'!Q1938="","",'PART III-DEMOGRAPHICS'!Q1938)</f>
        <v/>
      </c>
    </row>
    <row r="1929" spans="1:21">
      <c r="A1929" s="25" t="str">
        <f>IF('PART III-DEMOGRAPHICS'!A1939="","",'PART III-DEMOGRAPHICS'!A1939)</f>
        <v/>
      </c>
      <c r="B1929" s="28"/>
      <c r="C1929" s="27"/>
      <c r="D1929" s="28"/>
      <c r="E1929" s="21"/>
      <c r="F1929" s="36" t="str">
        <f t="shared" si="62"/>
        <v>Did Not</v>
      </c>
      <c r="G1929" s="28"/>
      <c r="H1929" s="28"/>
      <c r="I1929" s="28"/>
      <c r="J1929" s="28"/>
      <c r="K1929" s="28"/>
      <c r="L1929" s="28"/>
      <c r="M1929" s="28"/>
      <c r="N1929" s="21"/>
      <c r="O1929" s="28"/>
      <c r="P1929" s="38"/>
      <c r="Q1929" s="21"/>
      <c r="R1929" s="21"/>
      <c r="S1929" s="47"/>
      <c r="T1929" s="25">
        <f t="shared" si="63"/>
        <v>0</v>
      </c>
      <c r="U1929" s="25" t="str">
        <f>IF('PART III-DEMOGRAPHICS'!Q1939="","",'PART III-DEMOGRAPHICS'!Q1939)</f>
        <v/>
      </c>
    </row>
    <row r="1930" spans="1:21">
      <c r="A1930" s="25" t="str">
        <f>IF('PART III-DEMOGRAPHICS'!A1940="","",'PART III-DEMOGRAPHICS'!A1940)</f>
        <v/>
      </c>
      <c r="B1930" s="28"/>
      <c r="C1930" s="27"/>
      <c r="D1930" s="28"/>
      <c r="E1930" s="21"/>
      <c r="F1930" s="36" t="str">
        <f t="shared" si="62"/>
        <v>Did Not</v>
      </c>
      <c r="G1930" s="28"/>
      <c r="H1930" s="28"/>
      <c r="I1930" s="28"/>
      <c r="J1930" s="28"/>
      <c r="K1930" s="28"/>
      <c r="L1930" s="28"/>
      <c r="M1930" s="28"/>
      <c r="N1930" s="21"/>
      <c r="O1930" s="28"/>
      <c r="P1930" s="38"/>
      <c r="Q1930" s="21"/>
      <c r="R1930" s="21"/>
      <c r="S1930" s="47"/>
      <c r="T1930" s="25">
        <f t="shared" si="63"/>
        <v>0</v>
      </c>
      <c r="U1930" s="25" t="str">
        <f>IF('PART III-DEMOGRAPHICS'!Q1940="","",'PART III-DEMOGRAPHICS'!Q1940)</f>
        <v/>
      </c>
    </row>
    <row r="1931" spans="1:21">
      <c r="A1931" s="25" t="str">
        <f>IF('PART III-DEMOGRAPHICS'!A1941="","",'PART III-DEMOGRAPHICS'!A1941)</f>
        <v/>
      </c>
      <c r="B1931" s="28"/>
      <c r="C1931" s="27"/>
      <c r="D1931" s="28"/>
      <c r="E1931" s="21"/>
      <c r="F1931" s="36" t="str">
        <f t="shared" si="62"/>
        <v>Did Not</v>
      </c>
      <c r="G1931" s="28"/>
      <c r="H1931" s="28"/>
      <c r="I1931" s="28"/>
      <c r="J1931" s="28"/>
      <c r="K1931" s="28"/>
      <c r="L1931" s="28"/>
      <c r="M1931" s="28"/>
      <c r="N1931" s="21"/>
      <c r="O1931" s="28"/>
      <c r="P1931" s="38"/>
      <c r="Q1931" s="21"/>
      <c r="R1931" s="21"/>
      <c r="S1931" s="47"/>
      <c r="T1931" s="25">
        <f t="shared" si="63"/>
        <v>0</v>
      </c>
      <c r="U1931" s="25" t="str">
        <f>IF('PART III-DEMOGRAPHICS'!Q1941="","",'PART III-DEMOGRAPHICS'!Q1941)</f>
        <v/>
      </c>
    </row>
    <row r="1932" spans="1:21">
      <c r="A1932" s="25" t="str">
        <f>IF('PART III-DEMOGRAPHICS'!A1942="","",'PART III-DEMOGRAPHICS'!A1942)</f>
        <v/>
      </c>
      <c r="B1932" s="28"/>
      <c r="C1932" s="27"/>
      <c r="D1932" s="28"/>
      <c r="E1932" s="21"/>
      <c r="F1932" s="36" t="str">
        <f t="shared" si="62"/>
        <v>Did Not</v>
      </c>
      <c r="G1932" s="28"/>
      <c r="H1932" s="28"/>
      <c r="I1932" s="28"/>
      <c r="J1932" s="28"/>
      <c r="K1932" s="28"/>
      <c r="L1932" s="28"/>
      <c r="M1932" s="28"/>
      <c r="N1932" s="21"/>
      <c r="O1932" s="28"/>
      <c r="P1932" s="38"/>
      <c r="Q1932" s="21"/>
      <c r="R1932" s="21"/>
      <c r="S1932" s="47"/>
      <c r="T1932" s="25">
        <f t="shared" si="63"/>
        <v>0</v>
      </c>
      <c r="U1932" s="25" t="str">
        <f>IF('PART III-DEMOGRAPHICS'!Q1942="","",'PART III-DEMOGRAPHICS'!Q1942)</f>
        <v/>
      </c>
    </row>
    <row r="1933" spans="1:21">
      <c r="A1933" s="25" t="str">
        <f>IF('PART III-DEMOGRAPHICS'!A1943="","",'PART III-DEMOGRAPHICS'!A1943)</f>
        <v/>
      </c>
      <c r="B1933" s="28"/>
      <c r="C1933" s="27"/>
      <c r="D1933" s="28"/>
      <c r="E1933" s="21"/>
      <c r="F1933" s="36" t="str">
        <f t="shared" si="62"/>
        <v>Did Not</v>
      </c>
      <c r="G1933" s="28"/>
      <c r="H1933" s="28"/>
      <c r="I1933" s="28"/>
      <c r="J1933" s="28"/>
      <c r="K1933" s="28"/>
      <c r="L1933" s="28"/>
      <c r="M1933" s="28"/>
      <c r="N1933" s="21"/>
      <c r="O1933" s="28"/>
      <c r="P1933" s="38"/>
      <c r="Q1933" s="21"/>
      <c r="R1933" s="21"/>
      <c r="S1933" s="47"/>
      <c r="T1933" s="25">
        <f t="shared" si="63"/>
        <v>0</v>
      </c>
      <c r="U1933" s="25" t="str">
        <f>IF('PART III-DEMOGRAPHICS'!Q1943="","",'PART III-DEMOGRAPHICS'!Q1943)</f>
        <v/>
      </c>
    </row>
    <row r="1934" spans="1:21">
      <c r="A1934" s="25" t="str">
        <f>IF('PART III-DEMOGRAPHICS'!A1944="","",'PART III-DEMOGRAPHICS'!A1944)</f>
        <v/>
      </c>
      <c r="B1934" s="28"/>
      <c r="C1934" s="27"/>
      <c r="D1934" s="28"/>
      <c r="E1934" s="21"/>
      <c r="F1934" s="36" t="str">
        <f t="shared" ref="F1934:F1997" si="64">IF(OR(G1934="Yes",H1934="Yes",I1934="Yes",J1934="Yes",K1934="Yes",L1934="Yes",M1934="Yes"),"Did","Did Not")</f>
        <v>Did Not</v>
      </c>
      <c r="G1934" s="28"/>
      <c r="H1934" s="28"/>
      <c r="I1934" s="28"/>
      <c r="J1934" s="28"/>
      <c r="K1934" s="28"/>
      <c r="L1934" s="28"/>
      <c r="M1934" s="28"/>
      <c r="N1934" s="21"/>
      <c r="O1934" s="28"/>
      <c r="P1934" s="38"/>
      <c r="Q1934" s="21"/>
      <c r="R1934" s="21"/>
      <c r="S1934" s="47"/>
      <c r="T1934" s="25">
        <f t="shared" si="63"/>
        <v>0</v>
      </c>
      <c r="U1934" s="25" t="str">
        <f>IF('PART III-DEMOGRAPHICS'!Q1944="","",'PART III-DEMOGRAPHICS'!Q1944)</f>
        <v/>
      </c>
    </row>
    <row r="1935" spans="1:21">
      <c r="A1935" s="25" t="str">
        <f>IF('PART III-DEMOGRAPHICS'!A1945="","",'PART III-DEMOGRAPHICS'!A1945)</f>
        <v/>
      </c>
      <c r="B1935" s="28"/>
      <c r="C1935" s="27"/>
      <c r="D1935" s="28"/>
      <c r="E1935" s="21"/>
      <c r="F1935" s="36" t="str">
        <f t="shared" si="64"/>
        <v>Did Not</v>
      </c>
      <c r="G1935" s="28"/>
      <c r="H1935" s="28"/>
      <c r="I1935" s="28"/>
      <c r="J1935" s="28"/>
      <c r="K1935" s="28"/>
      <c r="L1935" s="28"/>
      <c r="M1935" s="28"/>
      <c r="N1935" s="21"/>
      <c r="O1935" s="28"/>
      <c r="P1935" s="38"/>
      <c r="Q1935" s="21"/>
      <c r="R1935" s="21"/>
      <c r="S1935" s="47"/>
      <c r="T1935" s="25">
        <f t="shared" si="63"/>
        <v>0</v>
      </c>
      <c r="U1935" s="25" t="str">
        <f>IF('PART III-DEMOGRAPHICS'!Q1945="","",'PART III-DEMOGRAPHICS'!Q1945)</f>
        <v/>
      </c>
    </row>
    <row r="1936" spans="1:21">
      <c r="A1936" s="25" t="str">
        <f>IF('PART III-DEMOGRAPHICS'!A1946="","",'PART III-DEMOGRAPHICS'!A1946)</f>
        <v/>
      </c>
      <c r="B1936" s="28"/>
      <c r="C1936" s="27"/>
      <c r="D1936" s="28"/>
      <c r="E1936" s="21"/>
      <c r="F1936" s="36" t="str">
        <f t="shared" si="64"/>
        <v>Did Not</v>
      </c>
      <c r="G1936" s="28"/>
      <c r="H1936" s="28"/>
      <c r="I1936" s="28"/>
      <c r="J1936" s="28"/>
      <c r="K1936" s="28"/>
      <c r="L1936" s="28"/>
      <c r="M1936" s="28"/>
      <c r="N1936" s="21"/>
      <c r="O1936" s="28"/>
      <c r="P1936" s="38"/>
      <c r="Q1936" s="21"/>
      <c r="R1936" s="21"/>
      <c r="S1936" s="47"/>
      <c r="T1936" s="25">
        <f t="shared" si="63"/>
        <v>0</v>
      </c>
      <c r="U1936" s="25" t="str">
        <f>IF('PART III-DEMOGRAPHICS'!Q1946="","",'PART III-DEMOGRAPHICS'!Q1946)</f>
        <v/>
      </c>
    </row>
    <row r="1937" spans="1:21">
      <c r="A1937" s="25" t="str">
        <f>IF('PART III-DEMOGRAPHICS'!A1947="","",'PART III-DEMOGRAPHICS'!A1947)</f>
        <v/>
      </c>
      <c r="B1937" s="28"/>
      <c r="C1937" s="27"/>
      <c r="D1937" s="28"/>
      <c r="E1937" s="21"/>
      <c r="F1937" s="36" t="str">
        <f t="shared" si="64"/>
        <v>Did Not</v>
      </c>
      <c r="G1937" s="28"/>
      <c r="H1937" s="28"/>
      <c r="I1937" s="28"/>
      <c r="J1937" s="28"/>
      <c r="K1937" s="28"/>
      <c r="L1937" s="28"/>
      <c r="M1937" s="28"/>
      <c r="N1937" s="21"/>
      <c r="O1937" s="28"/>
      <c r="P1937" s="38"/>
      <c r="Q1937" s="21"/>
      <c r="R1937" s="21"/>
      <c r="S1937" s="47"/>
      <c r="T1937" s="25">
        <f t="shared" si="63"/>
        <v>0</v>
      </c>
      <c r="U1937" s="25" t="str">
        <f>IF('PART III-DEMOGRAPHICS'!Q1947="","",'PART III-DEMOGRAPHICS'!Q1947)</f>
        <v/>
      </c>
    </row>
    <row r="1938" spans="1:21">
      <c r="A1938" s="25" t="str">
        <f>IF('PART III-DEMOGRAPHICS'!A1948="","",'PART III-DEMOGRAPHICS'!A1948)</f>
        <v/>
      </c>
      <c r="B1938" s="28"/>
      <c r="C1938" s="27"/>
      <c r="D1938" s="28"/>
      <c r="E1938" s="21"/>
      <c r="F1938" s="36" t="str">
        <f t="shared" si="64"/>
        <v>Did Not</v>
      </c>
      <c r="G1938" s="28"/>
      <c r="H1938" s="28"/>
      <c r="I1938" s="28"/>
      <c r="J1938" s="28"/>
      <c r="K1938" s="28"/>
      <c r="L1938" s="28"/>
      <c r="M1938" s="28"/>
      <c r="N1938" s="21"/>
      <c r="O1938" s="28"/>
      <c r="P1938" s="38"/>
      <c r="Q1938" s="21"/>
      <c r="R1938" s="21"/>
      <c r="S1938" s="47"/>
      <c r="T1938" s="25">
        <f t="shared" si="63"/>
        <v>0</v>
      </c>
      <c r="U1938" s="25" t="str">
        <f>IF('PART III-DEMOGRAPHICS'!Q1948="","",'PART III-DEMOGRAPHICS'!Q1948)</f>
        <v/>
      </c>
    </row>
    <row r="1939" spans="1:21">
      <c r="A1939" s="25" t="str">
        <f>IF('PART III-DEMOGRAPHICS'!A1949="","",'PART III-DEMOGRAPHICS'!A1949)</f>
        <v/>
      </c>
      <c r="B1939" s="28"/>
      <c r="C1939" s="27"/>
      <c r="D1939" s="28"/>
      <c r="E1939" s="21"/>
      <c r="F1939" s="36" t="str">
        <f t="shared" si="64"/>
        <v>Did Not</v>
      </c>
      <c r="G1939" s="28"/>
      <c r="H1939" s="28"/>
      <c r="I1939" s="28"/>
      <c r="J1939" s="28"/>
      <c r="K1939" s="28"/>
      <c r="L1939" s="28"/>
      <c r="M1939" s="28"/>
      <c r="N1939" s="21"/>
      <c r="O1939" s="28"/>
      <c r="P1939" s="38"/>
      <c r="Q1939" s="21"/>
      <c r="R1939" s="21"/>
      <c r="S1939" s="47"/>
      <c r="T1939" s="25">
        <f t="shared" si="63"/>
        <v>0</v>
      </c>
      <c r="U1939" s="25" t="str">
        <f>IF('PART III-DEMOGRAPHICS'!Q1949="","",'PART III-DEMOGRAPHICS'!Q1949)</f>
        <v/>
      </c>
    </row>
    <row r="1940" spans="1:21">
      <c r="A1940" s="25" t="str">
        <f>IF('PART III-DEMOGRAPHICS'!A1950="","",'PART III-DEMOGRAPHICS'!A1950)</f>
        <v/>
      </c>
      <c r="B1940" s="28"/>
      <c r="C1940" s="27"/>
      <c r="D1940" s="28"/>
      <c r="E1940" s="21"/>
      <c r="F1940" s="36" t="str">
        <f t="shared" si="64"/>
        <v>Did Not</v>
      </c>
      <c r="G1940" s="28"/>
      <c r="H1940" s="28"/>
      <c r="I1940" s="28"/>
      <c r="J1940" s="28"/>
      <c r="K1940" s="28"/>
      <c r="L1940" s="28"/>
      <c r="M1940" s="28"/>
      <c r="N1940" s="21"/>
      <c r="O1940" s="28"/>
      <c r="P1940" s="38"/>
      <c r="Q1940" s="21"/>
      <c r="R1940" s="21"/>
      <c r="S1940" s="47"/>
      <c r="T1940" s="25">
        <f t="shared" si="63"/>
        <v>0</v>
      </c>
      <c r="U1940" s="25" t="str">
        <f>IF('PART III-DEMOGRAPHICS'!Q1950="","",'PART III-DEMOGRAPHICS'!Q1950)</f>
        <v/>
      </c>
    </row>
    <row r="1941" spans="1:21">
      <c r="A1941" s="25" t="str">
        <f>IF('PART III-DEMOGRAPHICS'!A1951="","",'PART III-DEMOGRAPHICS'!A1951)</f>
        <v/>
      </c>
      <c r="B1941" s="28"/>
      <c r="C1941" s="27"/>
      <c r="D1941" s="28"/>
      <c r="E1941" s="21"/>
      <c r="F1941" s="36" t="str">
        <f t="shared" si="64"/>
        <v>Did Not</v>
      </c>
      <c r="G1941" s="28"/>
      <c r="H1941" s="28"/>
      <c r="I1941" s="28"/>
      <c r="J1941" s="28"/>
      <c r="K1941" s="28"/>
      <c r="L1941" s="28"/>
      <c r="M1941" s="28"/>
      <c r="N1941" s="21"/>
      <c r="O1941" s="28"/>
      <c r="P1941" s="38"/>
      <c r="Q1941" s="21"/>
      <c r="R1941" s="21"/>
      <c r="S1941" s="47"/>
      <c r="T1941" s="25">
        <f t="shared" si="63"/>
        <v>0</v>
      </c>
      <c r="U1941" s="25" t="str">
        <f>IF('PART III-DEMOGRAPHICS'!Q1951="","",'PART III-DEMOGRAPHICS'!Q1951)</f>
        <v/>
      </c>
    </row>
    <row r="1942" spans="1:21">
      <c r="A1942" s="25" t="str">
        <f>IF('PART III-DEMOGRAPHICS'!A1952="","",'PART III-DEMOGRAPHICS'!A1952)</f>
        <v/>
      </c>
      <c r="B1942" s="28"/>
      <c r="C1942" s="27"/>
      <c r="D1942" s="28"/>
      <c r="E1942" s="21"/>
      <c r="F1942" s="36" t="str">
        <f t="shared" si="64"/>
        <v>Did Not</v>
      </c>
      <c r="G1942" s="28"/>
      <c r="H1942" s="28"/>
      <c r="I1942" s="28"/>
      <c r="J1942" s="28"/>
      <c r="K1942" s="28"/>
      <c r="L1942" s="28"/>
      <c r="M1942" s="28"/>
      <c r="N1942" s="21"/>
      <c r="O1942" s="28"/>
      <c r="P1942" s="38"/>
      <c r="Q1942" s="21"/>
      <c r="R1942" s="21"/>
      <c r="S1942" s="47"/>
      <c r="T1942" s="25">
        <f t="shared" si="63"/>
        <v>0</v>
      </c>
      <c r="U1942" s="25" t="str">
        <f>IF('PART III-DEMOGRAPHICS'!Q1952="","",'PART III-DEMOGRAPHICS'!Q1952)</f>
        <v/>
      </c>
    </row>
    <row r="1943" spans="1:21">
      <c r="A1943" s="25" t="str">
        <f>IF('PART III-DEMOGRAPHICS'!A1953="","",'PART III-DEMOGRAPHICS'!A1953)</f>
        <v/>
      </c>
      <c r="B1943" s="28"/>
      <c r="C1943" s="27"/>
      <c r="D1943" s="28"/>
      <c r="E1943" s="21"/>
      <c r="F1943" s="36" t="str">
        <f t="shared" si="64"/>
        <v>Did Not</v>
      </c>
      <c r="G1943" s="28"/>
      <c r="H1943" s="28"/>
      <c r="I1943" s="28"/>
      <c r="J1943" s="28"/>
      <c r="K1943" s="28"/>
      <c r="L1943" s="28"/>
      <c r="M1943" s="28"/>
      <c r="N1943" s="21"/>
      <c r="O1943" s="28"/>
      <c r="P1943" s="38"/>
      <c r="Q1943" s="21"/>
      <c r="R1943" s="21"/>
      <c r="S1943" s="47"/>
      <c r="T1943" s="25">
        <f t="shared" si="63"/>
        <v>0</v>
      </c>
      <c r="U1943" s="25" t="str">
        <f>IF('PART III-DEMOGRAPHICS'!Q1953="","",'PART III-DEMOGRAPHICS'!Q1953)</f>
        <v/>
      </c>
    </row>
    <row r="1944" spans="1:21">
      <c r="A1944" s="25" t="str">
        <f>IF('PART III-DEMOGRAPHICS'!A1954="","",'PART III-DEMOGRAPHICS'!A1954)</f>
        <v/>
      </c>
      <c r="B1944" s="28"/>
      <c r="C1944" s="27"/>
      <c r="D1944" s="28"/>
      <c r="E1944" s="21"/>
      <c r="F1944" s="36" t="str">
        <f t="shared" si="64"/>
        <v>Did Not</v>
      </c>
      <c r="G1944" s="28"/>
      <c r="H1944" s="28"/>
      <c r="I1944" s="28"/>
      <c r="J1944" s="28"/>
      <c r="K1944" s="28"/>
      <c r="L1944" s="28"/>
      <c r="M1944" s="28"/>
      <c r="N1944" s="21"/>
      <c r="O1944" s="28"/>
      <c r="P1944" s="38"/>
      <c r="Q1944" s="21"/>
      <c r="R1944" s="21"/>
      <c r="S1944" s="47"/>
      <c r="T1944" s="25">
        <f t="shared" si="63"/>
        <v>0</v>
      </c>
      <c r="U1944" s="25" t="str">
        <f>IF('PART III-DEMOGRAPHICS'!Q1954="","",'PART III-DEMOGRAPHICS'!Q1954)</f>
        <v/>
      </c>
    </row>
    <row r="1945" spans="1:21">
      <c r="A1945" s="25" t="str">
        <f>IF('PART III-DEMOGRAPHICS'!A1955="","",'PART III-DEMOGRAPHICS'!A1955)</f>
        <v/>
      </c>
      <c r="B1945" s="28"/>
      <c r="C1945" s="27"/>
      <c r="D1945" s="28"/>
      <c r="E1945" s="21"/>
      <c r="F1945" s="36" t="str">
        <f t="shared" si="64"/>
        <v>Did Not</v>
      </c>
      <c r="G1945" s="28"/>
      <c r="H1945" s="28"/>
      <c r="I1945" s="28"/>
      <c r="J1945" s="28"/>
      <c r="K1945" s="28"/>
      <c r="L1945" s="28"/>
      <c r="M1945" s="28"/>
      <c r="N1945" s="21"/>
      <c r="O1945" s="28"/>
      <c r="P1945" s="38"/>
      <c r="Q1945" s="21"/>
      <c r="R1945" s="21"/>
      <c r="S1945" s="47"/>
      <c r="T1945" s="25">
        <f t="shared" si="63"/>
        <v>0</v>
      </c>
      <c r="U1945" s="25" t="str">
        <f>IF('PART III-DEMOGRAPHICS'!Q1955="","",'PART III-DEMOGRAPHICS'!Q1955)</f>
        <v/>
      </c>
    </row>
    <row r="1946" spans="1:21">
      <c r="A1946" s="25" t="str">
        <f>IF('PART III-DEMOGRAPHICS'!A1956="","",'PART III-DEMOGRAPHICS'!A1956)</f>
        <v/>
      </c>
      <c r="B1946" s="28"/>
      <c r="C1946" s="27"/>
      <c r="D1946" s="28"/>
      <c r="E1946" s="21"/>
      <c r="F1946" s="36" t="str">
        <f t="shared" si="64"/>
        <v>Did Not</v>
      </c>
      <c r="G1946" s="28"/>
      <c r="H1946" s="28"/>
      <c r="I1946" s="28"/>
      <c r="J1946" s="28"/>
      <c r="K1946" s="28"/>
      <c r="L1946" s="28"/>
      <c r="M1946" s="28"/>
      <c r="N1946" s="21"/>
      <c r="O1946" s="28"/>
      <c r="P1946" s="38"/>
      <c r="Q1946" s="21"/>
      <c r="R1946" s="21"/>
      <c r="S1946" s="47"/>
      <c r="T1946" s="25">
        <f t="shared" si="63"/>
        <v>0</v>
      </c>
      <c r="U1946" s="25" t="str">
        <f>IF('PART III-DEMOGRAPHICS'!Q1956="","",'PART III-DEMOGRAPHICS'!Q1956)</f>
        <v/>
      </c>
    </row>
    <row r="1947" spans="1:21">
      <c r="A1947" s="25" t="str">
        <f>IF('PART III-DEMOGRAPHICS'!A1957="","",'PART III-DEMOGRAPHICS'!A1957)</f>
        <v/>
      </c>
      <c r="B1947" s="28"/>
      <c r="C1947" s="27"/>
      <c r="D1947" s="28"/>
      <c r="E1947" s="21"/>
      <c r="F1947" s="36" t="str">
        <f t="shared" si="64"/>
        <v>Did Not</v>
      </c>
      <c r="G1947" s="28"/>
      <c r="H1947" s="28"/>
      <c r="I1947" s="28"/>
      <c r="J1947" s="28"/>
      <c r="K1947" s="28"/>
      <c r="L1947" s="28"/>
      <c r="M1947" s="28"/>
      <c r="N1947" s="21"/>
      <c r="O1947" s="28"/>
      <c r="P1947" s="38"/>
      <c r="Q1947" s="21"/>
      <c r="R1947" s="21"/>
      <c r="S1947" s="47"/>
      <c r="T1947" s="25">
        <f t="shared" si="63"/>
        <v>0</v>
      </c>
      <c r="U1947" s="25" t="str">
        <f>IF('PART III-DEMOGRAPHICS'!Q1957="","",'PART III-DEMOGRAPHICS'!Q1957)</f>
        <v/>
      </c>
    </row>
    <row r="1948" spans="1:21">
      <c r="A1948" s="25" t="str">
        <f>IF('PART III-DEMOGRAPHICS'!A1958="","",'PART III-DEMOGRAPHICS'!A1958)</f>
        <v/>
      </c>
      <c r="B1948" s="28"/>
      <c r="C1948" s="27"/>
      <c r="D1948" s="28"/>
      <c r="E1948" s="21"/>
      <c r="F1948" s="36" t="str">
        <f t="shared" si="64"/>
        <v>Did Not</v>
      </c>
      <c r="G1948" s="28"/>
      <c r="H1948" s="28"/>
      <c r="I1948" s="28"/>
      <c r="J1948" s="28"/>
      <c r="K1948" s="28"/>
      <c r="L1948" s="28"/>
      <c r="M1948" s="28"/>
      <c r="N1948" s="21"/>
      <c r="O1948" s="28"/>
      <c r="P1948" s="38"/>
      <c r="Q1948" s="21"/>
      <c r="R1948" s="21"/>
      <c r="S1948" s="47"/>
      <c r="T1948" s="25">
        <f t="shared" si="63"/>
        <v>0</v>
      </c>
      <c r="U1948" s="25" t="str">
        <f>IF('PART III-DEMOGRAPHICS'!Q1958="","",'PART III-DEMOGRAPHICS'!Q1958)</f>
        <v/>
      </c>
    </row>
    <row r="1949" spans="1:21">
      <c r="A1949" s="25" t="str">
        <f>IF('PART III-DEMOGRAPHICS'!A1959="","",'PART III-DEMOGRAPHICS'!A1959)</f>
        <v/>
      </c>
      <c r="B1949" s="28"/>
      <c r="C1949" s="27"/>
      <c r="D1949" s="28"/>
      <c r="E1949" s="21"/>
      <c r="F1949" s="36" t="str">
        <f t="shared" si="64"/>
        <v>Did Not</v>
      </c>
      <c r="G1949" s="28"/>
      <c r="H1949" s="28"/>
      <c r="I1949" s="28"/>
      <c r="J1949" s="28"/>
      <c r="K1949" s="28"/>
      <c r="L1949" s="28"/>
      <c r="M1949" s="28"/>
      <c r="N1949" s="21"/>
      <c r="O1949" s="28"/>
      <c r="P1949" s="38"/>
      <c r="Q1949" s="21"/>
      <c r="R1949" s="21"/>
      <c r="S1949" s="47"/>
      <c r="T1949" s="25">
        <f t="shared" si="63"/>
        <v>0</v>
      </c>
      <c r="U1949" s="25" t="str">
        <f>IF('PART III-DEMOGRAPHICS'!Q1959="","",'PART III-DEMOGRAPHICS'!Q1959)</f>
        <v/>
      </c>
    </row>
    <row r="1950" spans="1:21">
      <c r="A1950" s="25" t="str">
        <f>IF('PART III-DEMOGRAPHICS'!A1960="","",'PART III-DEMOGRAPHICS'!A1960)</f>
        <v/>
      </c>
      <c r="B1950" s="28"/>
      <c r="C1950" s="27"/>
      <c r="D1950" s="28"/>
      <c r="E1950" s="21"/>
      <c r="F1950" s="36" t="str">
        <f t="shared" si="64"/>
        <v>Did Not</v>
      </c>
      <c r="G1950" s="28"/>
      <c r="H1950" s="28"/>
      <c r="I1950" s="28"/>
      <c r="J1950" s="28"/>
      <c r="K1950" s="28"/>
      <c r="L1950" s="28"/>
      <c r="M1950" s="28"/>
      <c r="N1950" s="21"/>
      <c r="O1950" s="28"/>
      <c r="P1950" s="38"/>
      <c r="Q1950" s="21"/>
      <c r="R1950" s="21"/>
      <c r="S1950" s="47"/>
      <c r="T1950" s="25">
        <f t="shared" si="63"/>
        <v>0</v>
      </c>
      <c r="U1950" s="25" t="str">
        <f>IF('PART III-DEMOGRAPHICS'!Q1960="","",'PART III-DEMOGRAPHICS'!Q1960)</f>
        <v/>
      </c>
    </row>
    <row r="1951" spans="1:21">
      <c r="A1951" s="25" t="str">
        <f>IF('PART III-DEMOGRAPHICS'!A1961="","",'PART III-DEMOGRAPHICS'!A1961)</f>
        <v/>
      </c>
      <c r="B1951" s="28"/>
      <c r="C1951" s="27"/>
      <c r="D1951" s="28"/>
      <c r="E1951" s="21"/>
      <c r="F1951" s="36" t="str">
        <f t="shared" si="64"/>
        <v>Did Not</v>
      </c>
      <c r="G1951" s="28"/>
      <c r="H1951" s="28"/>
      <c r="I1951" s="28"/>
      <c r="J1951" s="28"/>
      <c r="K1951" s="28"/>
      <c r="L1951" s="28"/>
      <c r="M1951" s="28"/>
      <c r="N1951" s="21"/>
      <c r="O1951" s="28"/>
      <c r="P1951" s="38"/>
      <c r="Q1951" s="21"/>
      <c r="R1951" s="21"/>
      <c r="S1951" s="47"/>
      <c r="T1951" s="25">
        <f t="shared" si="63"/>
        <v>0</v>
      </c>
      <c r="U1951" s="25" t="str">
        <f>IF('PART III-DEMOGRAPHICS'!Q1961="","",'PART III-DEMOGRAPHICS'!Q1961)</f>
        <v/>
      </c>
    </row>
    <row r="1952" spans="1:21">
      <c r="A1952" s="25" t="str">
        <f>IF('PART III-DEMOGRAPHICS'!A1962="","",'PART III-DEMOGRAPHICS'!A1962)</f>
        <v/>
      </c>
      <c r="B1952" s="28"/>
      <c r="C1952" s="27"/>
      <c r="D1952" s="28"/>
      <c r="E1952" s="21"/>
      <c r="F1952" s="36" t="str">
        <f t="shared" si="64"/>
        <v>Did Not</v>
      </c>
      <c r="G1952" s="28"/>
      <c r="H1952" s="28"/>
      <c r="I1952" s="28"/>
      <c r="J1952" s="28"/>
      <c r="K1952" s="28"/>
      <c r="L1952" s="28"/>
      <c r="M1952" s="28"/>
      <c r="N1952" s="21"/>
      <c r="O1952" s="28"/>
      <c r="P1952" s="38"/>
      <c r="Q1952" s="21"/>
      <c r="R1952" s="21"/>
      <c r="S1952" s="47"/>
      <c r="T1952" s="25">
        <f t="shared" si="63"/>
        <v>0</v>
      </c>
      <c r="U1952" s="25" t="str">
        <f>IF('PART III-DEMOGRAPHICS'!Q1962="","",'PART III-DEMOGRAPHICS'!Q1962)</f>
        <v/>
      </c>
    </row>
    <row r="1953" spans="1:21">
      <c r="A1953" s="25" t="str">
        <f>IF('PART III-DEMOGRAPHICS'!A1963="","",'PART III-DEMOGRAPHICS'!A1963)</f>
        <v/>
      </c>
      <c r="B1953" s="28"/>
      <c r="C1953" s="27"/>
      <c r="D1953" s="28"/>
      <c r="E1953" s="21"/>
      <c r="F1953" s="36" t="str">
        <f t="shared" si="64"/>
        <v>Did Not</v>
      </c>
      <c r="G1953" s="28"/>
      <c r="H1953" s="28"/>
      <c r="I1953" s="28"/>
      <c r="J1953" s="28"/>
      <c r="K1953" s="28"/>
      <c r="L1953" s="28"/>
      <c r="M1953" s="28"/>
      <c r="N1953" s="21"/>
      <c r="O1953" s="28"/>
      <c r="P1953" s="38"/>
      <c r="Q1953" s="21"/>
      <c r="R1953" s="21"/>
      <c r="S1953" s="47"/>
      <c r="T1953" s="25">
        <f t="shared" si="63"/>
        <v>0</v>
      </c>
      <c r="U1953" s="25" t="str">
        <f>IF('PART III-DEMOGRAPHICS'!Q1963="","",'PART III-DEMOGRAPHICS'!Q1963)</f>
        <v/>
      </c>
    </row>
    <row r="1954" spans="1:21">
      <c r="A1954" s="25" t="str">
        <f>IF('PART III-DEMOGRAPHICS'!A1964="","",'PART III-DEMOGRAPHICS'!A1964)</f>
        <v/>
      </c>
      <c r="B1954" s="28"/>
      <c r="C1954" s="27"/>
      <c r="D1954" s="28"/>
      <c r="E1954" s="21"/>
      <c r="F1954" s="36" t="str">
        <f t="shared" si="64"/>
        <v>Did Not</v>
      </c>
      <c r="G1954" s="28"/>
      <c r="H1954" s="28"/>
      <c r="I1954" s="28"/>
      <c r="J1954" s="28"/>
      <c r="K1954" s="28"/>
      <c r="L1954" s="28"/>
      <c r="M1954" s="28"/>
      <c r="N1954" s="21"/>
      <c r="O1954" s="28"/>
      <c r="P1954" s="38"/>
      <c r="Q1954" s="21"/>
      <c r="R1954" s="21"/>
      <c r="S1954" s="47"/>
      <c r="T1954" s="25">
        <f t="shared" si="63"/>
        <v>0</v>
      </c>
      <c r="U1954" s="25" t="str">
        <f>IF('PART III-DEMOGRAPHICS'!Q1964="","",'PART III-DEMOGRAPHICS'!Q1964)</f>
        <v/>
      </c>
    </row>
    <row r="1955" spans="1:21">
      <c r="A1955" s="25" t="str">
        <f>IF('PART III-DEMOGRAPHICS'!A1965="","",'PART III-DEMOGRAPHICS'!A1965)</f>
        <v/>
      </c>
      <c r="B1955" s="28"/>
      <c r="C1955" s="27"/>
      <c r="D1955" s="28"/>
      <c r="E1955" s="21"/>
      <c r="F1955" s="36" t="str">
        <f t="shared" si="64"/>
        <v>Did Not</v>
      </c>
      <c r="G1955" s="28"/>
      <c r="H1955" s="28"/>
      <c r="I1955" s="28"/>
      <c r="J1955" s="28"/>
      <c r="K1955" s="28"/>
      <c r="L1955" s="28"/>
      <c r="M1955" s="28"/>
      <c r="N1955" s="21"/>
      <c r="O1955" s="28"/>
      <c r="P1955" s="38"/>
      <c r="Q1955" s="21"/>
      <c r="R1955" s="21"/>
      <c r="S1955" s="47"/>
      <c r="T1955" s="25">
        <f t="shared" si="63"/>
        <v>0</v>
      </c>
      <c r="U1955" s="25" t="str">
        <f>IF('PART III-DEMOGRAPHICS'!Q1965="","",'PART III-DEMOGRAPHICS'!Q1965)</f>
        <v/>
      </c>
    </row>
    <row r="1956" spans="1:21">
      <c r="A1956" s="25" t="str">
        <f>IF('PART III-DEMOGRAPHICS'!A1966="","",'PART III-DEMOGRAPHICS'!A1966)</f>
        <v/>
      </c>
      <c r="B1956" s="28"/>
      <c r="C1956" s="27"/>
      <c r="D1956" s="28"/>
      <c r="E1956" s="21"/>
      <c r="F1956" s="36" t="str">
        <f t="shared" si="64"/>
        <v>Did Not</v>
      </c>
      <c r="G1956" s="28"/>
      <c r="H1956" s="28"/>
      <c r="I1956" s="28"/>
      <c r="J1956" s="28"/>
      <c r="K1956" s="28"/>
      <c r="L1956" s="28"/>
      <c r="M1956" s="28"/>
      <c r="N1956" s="21"/>
      <c r="O1956" s="28"/>
      <c r="P1956" s="38"/>
      <c r="Q1956" s="21"/>
      <c r="R1956" s="21"/>
      <c r="S1956" s="47"/>
      <c r="T1956" s="25">
        <f t="shared" si="63"/>
        <v>0</v>
      </c>
      <c r="U1956" s="25" t="str">
        <f>IF('PART III-DEMOGRAPHICS'!Q1966="","",'PART III-DEMOGRAPHICS'!Q1966)</f>
        <v/>
      </c>
    </row>
    <row r="1957" spans="1:21">
      <c r="A1957" s="25" t="str">
        <f>IF('PART III-DEMOGRAPHICS'!A1967="","",'PART III-DEMOGRAPHICS'!A1967)</f>
        <v/>
      </c>
      <c r="B1957" s="28"/>
      <c r="C1957" s="27"/>
      <c r="D1957" s="28"/>
      <c r="E1957" s="21"/>
      <c r="F1957" s="36" t="str">
        <f t="shared" si="64"/>
        <v>Did Not</v>
      </c>
      <c r="G1957" s="28"/>
      <c r="H1957" s="28"/>
      <c r="I1957" s="28"/>
      <c r="J1957" s="28"/>
      <c r="K1957" s="28"/>
      <c r="L1957" s="28"/>
      <c r="M1957" s="28"/>
      <c r="N1957" s="21"/>
      <c r="O1957" s="28"/>
      <c r="P1957" s="38"/>
      <c r="Q1957" s="21"/>
      <c r="R1957" s="21"/>
      <c r="S1957" s="47"/>
      <c r="T1957" s="25">
        <f t="shared" si="63"/>
        <v>0</v>
      </c>
      <c r="U1957" s="25" t="str">
        <f>IF('PART III-DEMOGRAPHICS'!Q1967="","",'PART III-DEMOGRAPHICS'!Q1967)</f>
        <v/>
      </c>
    </row>
    <row r="1958" spans="1:21">
      <c r="A1958" s="25" t="str">
        <f>IF('PART III-DEMOGRAPHICS'!A1968="","",'PART III-DEMOGRAPHICS'!A1968)</f>
        <v/>
      </c>
      <c r="B1958" s="28"/>
      <c r="C1958" s="27"/>
      <c r="D1958" s="28"/>
      <c r="E1958" s="21"/>
      <c r="F1958" s="36" t="str">
        <f t="shared" si="64"/>
        <v>Did Not</v>
      </c>
      <c r="G1958" s="28"/>
      <c r="H1958" s="28"/>
      <c r="I1958" s="28"/>
      <c r="J1958" s="28"/>
      <c r="K1958" s="28"/>
      <c r="L1958" s="28"/>
      <c r="M1958" s="28"/>
      <c r="N1958" s="21"/>
      <c r="O1958" s="28"/>
      <c r="P1958" s="38"/>
      <c r="Q1958" s="21"/>
      <c r="R1958" s="21"/>
      <c r="S1958" s="47"/>
      <c r="T1958" s="25">
        <f t="shared" si="63"/>
        <v>0</v>
      </c>
      <c r="U1958" s="25" t="str">
        <f>IF('PART III-DEMOGRAPHICS'!Q1968="","",'PART III-DEMOGRAPHICS'!Q1968)</f>
        <v/>
      </c>
    </row>
    <row r="1959" spans="1:21">
      <c r="A1959" s="25" t="str">
        <f>IF('PART III-DEMOGRAPHICS'!A1969="","",'PART III-DEMOGRAPHICS'!A1969)</f>
        <v/>
      </c>
      <c r="B1959" s="28"/>
      <c r="C1959" s="27"/>
      <c r="D1959" s="28"/>
      <c r="E1959" s="21"/>
      <c r="F1959" s="36" t="str">
        <f t="shared" si="64"/>
        <v>Did Not</v>
      </c>
      <c r="G1959" s="28"/>
      <c r="H1959" s="28"/>
      <c r="I1959" s="28"/>
      <c r="J1959" s="28"/>
      <c r="K1959" s="28"/>
      <c r="L1959" s="28"/>
      <c r="M1959" s="28"/>
      <c r="N1959" s="21"/>
      <c r="O1959" s="28"/>
      <c r="P1959" s="38"/>
      <c r="Q1959" s="21"/>
      <c r="R1959" s="21"/>
      <c r="S1959" s="47"/>
      <c r="T1959" s="25">
        <f t="shared" si="63"/>
        <v>0</v>
      </c>
      <c r="U1959" s="25" t="str">
        <f>IF('PART III-DEMOGRAPHICS'!Q1969="","",'PART III-DEMOGRAPHICS'!Q1969)</f>
        <v/>
      </c>
    </row>
    <row r="1960" spans="1:21">
      <c r="A1960" s="25" t="str">
        <f>IF('PART III-DEMOGRAPHICS'!A1970="","",'PART III-DEMOGRAPHICS'!A1970)</f>
        <v/>
      </c>
      <c r="B1960" s="28"/>
      <c r="C1960" s="27"/>
      <c r="D1960" s="28"/>
      <c r="E1960" s="21"/>
      <c r="F1960" s="36" t="str">
        <f t="shared" si="64"/>
        <v>Did Not</v>
      </c>
      <c r="G1960" s="28"/>
      <c r="H1960" s="28"/>
      <c r="I1960" s="28"/>
      <c r="J1960" s="28"/>
      <c r="K1960" s="28"/>
      <c r="L1960" s="28"/>
      <c r="M1960" s="28"/>
      <c r="N1960" s="21"/>
      <c r="O1960" s="28"/>
      <c r="P1960" s="38"/>
      <c r="Q1960" s="21"/>
      <c r="R1960" s="21"/>
      <c r="S1960" s="47"/>
      <c r="T1960" s="25">
        <f t="shared" si="63"/>
        <v>0</v>
      </c>
      <c r="U1960" s="25" t="str">
        <f>IF('PART III-DEMOGRAPHICS'!Q1970="","",'PART III-DEMOGRAPHICS'!Q1970)</f>
        <v/>
      </c>
    </row>
    <row r="1961" spans="1:21">
      <c r="A1961" s="25" t="str">
        <f>IF('PART III-DEMOGRAPHICS'!A1971="","",'PART III-DEMOGRAPHICS'!A1971)</f>
        <v/>
      </c>
      <c r="B1961" s="28"/>
      <c r="C1961" s="27"/>
      <c r="D1961" s="28"/>
      <c r="E1961" s="21"/>
      <c r="F1961" s="36" t="str">
        <f t="shared" si="64"/>
        <v>Did Not</v>
      </c>
      <c r="G1961" s="28"/>
      <c r="H1961" s="28"/>
      <c r="I1961" s="28"/>
      <c r="J1961" s="28"/>
      <c r="K1961" s="28"/>
      <c r="L1961" s="28"/>
      <c r="M1961" s="28"/>
      <c r="N1961" s="21"/>
      <c r="O1961" s="28"/>
      <c r="P1961" s="38"/>
      <c r="Q1961" s="21"/>
      <c r="R1961" s="21"/>
      <c r="S1961" s="47"/>
      <c r="T1961" s="25">
        <f t="shared" si="63"/>
        <v>0</v>
      </c>
      <c r="U1961" s="25" t="str">
        <f>IF('PART III-DEMOGRAPHICS'!Q1971="","",'PART III-DEMOGRAPHICS'!Q1971)</f>
        <v/>
      </c>
    </row>
    <row r="1962" spans="1:21">
      <c r="A1962" s="25" t="str">
        <f>IF('PART III-DEMOGRAPHICS'!A1972="","",'PART III-DEMOGRAPHICS'!A1972)</f>
        <v/>
      </c>
      <c r="B1962" s="28"/>
      <c r="C1962" s="27"/>
      <c r="D1962" s="28"/>
      <c r="E1962" s="21"/>
      <c r="F1962" s="36" t="str">
        <f t="shared" si="64"/>
        <v>Did Not</v>
      </c>
      <c r="G1962" s="28"/>
      <c r="H1962" s="28"/>
      <c r="I1962" s="28"/>
      <c r="J1962" s="28"/>
      <c r="K1962" s="28"/>
      <c r="L1962" s="28"/>
      <c r="M1962" s="28"/>
      <c r="N1962" s="21"/>
      <c r="O1962" s="28"/>
      <c r="P1962" s="38"/>
      <c r="Q1962" s="21"/>
      <c r="R1962" s="21"/>
      <c r="S1962" s="47"/>
      <c r="T1962" s="25">
        <f t="shared" si="63"/>
        <v>0</v>
      </c>
      <c r="U1962" s="25" t="str">
        <f>IF('PART III-DEMOGRAPHICS'!Q1972="","",'PART III-DEMOGRAPHICS'!Q1972)</f>
        <v/>
      </c>
    </row>
    <row r="1963" spans="1:21">
      <c r="A1963" s="25" t="str">
        <f>IF('PART III-DEMOGRAPHICS'!A1973="","",'PART III-DEMOGRAPHICS'!A1973)</f>
        <v/>
      </c>
      <c r="B1963" s="28"/>
      <c r="C1963" s="27"/>
      <c r="D1963" s="28"/>
      <c r="E1963" s="21"/>
      <c r="F1963" s="36" t="str">
        <f t="shared" si="64"/>
        <v>Did Not</v>
      </c>
      <c r="G1963" s="28"/>
      <c r="H1963" s="28"/>
      <c r="I1963" s="28"/>
      <c r="J1963" s="28"/>
      <c r="K1963" s="28"/>
      <c r="L1963" s="28"/>
      <c r="M1963" s="28"/>
      <c r="N1963" s="21"/>
      <c r="O1963" s="28"/>
      <c r="P1963" s="38"/>
      <c r="Q1963" s="21"/>
      <c r="R1963" s="21"/>
      <c r="S1963" s="47"/>
      <c r="T1963" s="25">
        <f t="shared" si="63"/>
        <v>0</v>
      </c>
      <c r="U1963" s="25" t="str">
        <f>IF('PART III-DEMOGRAPHICS'!Q1973="","",'PART III-DEMOGRAPHICS'!Q1973)</f>
        <v/>
      </c>
    </row>
    <row r="1964" spans="1:21">
      <c r="A1964" s="25" t="str">
        <f>IF('PART III-DEMOGRAPHICS'!A1974="","",'PART III-DEMOGRAPHICS'!A1974)</f>
        <v/>
      </c>
      <c r="B1964" s="28"/>
      <c r="C1964" s="27"/>
      <c r="D1964" s="28"/>
      <c r="E1964" s="21"/>
      <c r="F1964" s="36" t="str">
        <f t="shared" si="64"/>
        <v>Did Not</v>
      </c>
      <c r="G1964" s="28"/>
      <c r="H1964" s="28"/>
      <c r="I1964" s="28"/>
      <c r="J1964" s="28"/>
      <c r="K1964" s="28"/>
      <c r="L1964" s="28"/>
      <c r="M1964" s="28"/>
      <c r="N1964" s="21"/>
      <c r="O1964" s="28"/>
      <c r="P1964" s="38"/>
      <c r="Q1964" s="21"/>
      <c r="R1964" s="21"/>
      <c r="S1964" s="47"/>
      <c r="T1964" s="25">
        <f t="shared" si="63"/>
        <v>0</v>
      </c>
      <c r="U1964" s="25" t="str">
        <f>IF('PART III-DEMOGRAPHICS'!Q1974="","",'PART III-DEMOGRAPHICS'!Q1974)</f>
        <v/>
      </c>
    </row>
    <row r="1965" spans="1:21">
      <c r="A1965" s="25" t="str">
        <f>IF('PART III-DEMOGRAPHICS'!A1975="","",'PART III-DEMOGRAPHICS'!A1975)</f>
        <v/>
      </c>
      <c r="B1965" s="28"/>
      <c r="C1965" s="27"/>
      <c r="D1965" s="28"/>
      <c r="E1965" s="21"/>
      <c r="F1965" s="36" t="str">
        <f t="shared" si="64"/>
        <v>Did Not</v>
      </c>
      <c r="G1965" s="28"/>
      <c r="H1965" s="28"/>
      <c r="I1965" s="28"/>
      <c r="J1965" s="28"/>
      <c r="K1965" s="28"/>
      <c r="L1965" s="28"/>
      <c r="M1965" s="28"/>
      <c r="N1965" s="21"/>
      <c r="O1965" s="28"/>
      <c r="P1965" s="38"/>
      <c r="Q1965" s="21"/>
      <c r="R1965" s="21"/>
      <c r="S1965" s="47"/>
      <c r="T1965" s="25">
        <f t="shared" si="63"/>
        <v>0</v>
      </c>
      <c r="U1965" s="25" t="str">
        <f>IF('PART III-DEMOGRAPHICS'!Q1975="","",'PART III-DEMOGRAPHICS'!Q1975)</f>
        <v/>
      </c>
    </row>
    <row r="1966" spans="1:21">
      <c r="A1966" s="25" t="str">
        <f>IF('PART III-DEMOGRAPHICS'!A1976="","",'PART III-DEMOGRAPHICS'!A1976)</f>
        <v/>
      </c>
      <c r="B1966" s="28"/>
      <c r="C1966" s="27"/>
      <c r="D1966" s="28"/>
      <c r="E1966" s="21"/>
      <c r="F1966" s="36" t="str">
        <f t="shared" si="64"/>
        <v>Did Not</v>
      </c>
      <c r="G1966" s="28"/>
      <c r="H1966" s="28"/>
      <c r="I1966" s="28"/>
      <c r="J1966" s="28"/>
      <c r="K1966" s="28"/>
      <c r="L1966" s="28"/>
      <c r="M1966" s="28"/>
      <c r="N1966" s="21"/>
      <c r="O1966" s="28"/>
      <c r="P1966" s="38"/>
      <c r="Q1966" s="21"/>
      <c r="R1966" s="21"/>
      <c r="S1966" s="47"/>
      <c r="T1966" s="25">
        <f t="shared" si="63"/>
        <v>0</v>
      </c>
      <c r="U1966" s="25" t="str">
        <f>IF('PART III-DEMOGRAPHICS'!Q1976="","",'PART III-DEMOGRAPHICS'!Q1976)</f>
        <v/>
      </c>
    </row>
    <row r="1967" spans="1:21">
      <c r="A1967" s="25" t="str">
        <f>IF('PART III-DEMOGRAPHICS'!A1977="","",'PART III-DEMOGRAPHICS'!A1977)</f>
        <v/>
      </c>
      <c r="B1967" s="28"/>
      <c r="C1967" s="27"/>
      <c r="D1967" s="28"/>
      <c r="E1967" s="21"/>
      <c r="F1967" s="36" t="str">
        <f t="shared" si="64"/>
        <v>Did Not</v>
      </c>
      <c r="G1967" s="28"/>
      <c r="H1967" s="28"/>
      <c r="I1967" s="28"/>
      <c r="J1967" s="28"/>
      <c r="K1967" s="28"/>
      <c r="L1967" s="28"/>
      <c r="M1967" s="28"/>
      <c r="N1967" s="21"/>
      <c r="O1967" s="28"/>
      <c r="P1967" s="38"/>
      <c r="Q1967" s="21"/>
      <c r="R1967" s="21"/>
      <c r="S1967" s="47"/>
      <c r="T1967" s="25">
        <f t="shared" si="63"/>
        <v>0</v>
      </c>
      <c r="U1967" s="25" t="str">
        <f>IF('PART III-DEMOGRAPHICS'!Q1977="","",'PART III-DEMOGRAPHICS'!Q1977)</f>
        <v/>
      </c>
    </row>
    <row r="1968" spans="1:21">
      <c r="A1968" s="25" t="str">
        <f>IF('PART III-DEMOGRAPHICS'!A1978="","",'PART III-DEMOGRAPHICS'!A1978)</f>
        <v/>
      </c>
      <c r="B1968" s="28"/>
      <c r="C1968" s="27"/>
      <c r="D1968" s="28"/>
      <c r="E1968" s="21"/>
      <c r="F1968" s="36" t="str">
        <f t="shared" si="64"/>
        <v>Did Not</v>
      </c>
      <c r="G1968" s="28"/>
      <c r="H1968" s="28"/>
      <c r="I1968" s="28"/>
      <c r="J1968" s="28"/>
      <c r="K1968" s="28"/>
      <c r="L1968" s="28"/>
      <c r="M1968" s="28"/>
      <c r="N1968" s="21"/>
      <c r="O1968" s="28"/>
      <c r="P1968" s="38"/>
      <c r="Q1968" s="21"/>
      <c r="R1968" s="21"/>
      <c r="S1968" s="47"/>
      <c r="T1968" s="25">
        <f t="shared" si="63"/>
        <v>0</v>
      </c>
      <c r="U1968" s="25" t="str">
        <f>IF('PART III-DEMOGRAPHICS'!Q1978="","",'PART III-DEMOGRAPHICS'!Q1978)</f>
        <v/>
      </c>
    </row>
    <row r="1969" spans="1:21">
      <c r="A1969" s="25" t="str">
        <f>IF('PART III-DEMOGRAPHICS'!A1979="","",'PART III-DEMOGRAPHICS'!A1979)</f>
        <v/>
      </c>
      <c r="B1969" s="28"/>
      <c r="C1969" s="27"/>
      <c r="D1969" s="28"/>
      <c r="E1969" s="21"/>
      <c r="F1969" s="36" t="str">
        <f t="shared" si="64"/>
        <v>Did Not</v>
      </c>
      <c r="G1969" s="28"/>
      <c r="H1969" s="28"/>
      <c r="I1969" s="28"/>
      <c r="J1969" s="28"/>
      <c r="K1969" s="28"/>
      <c r="L1969" s="28"/>
      <c r="M1969" s="28"/>
      <c r="N1969" s="21"/>
      <c r="O1969" s="28"/>
      <c r="P1969" s="38"/>
      <c r="Q1969" s="21"/>
      <c r="R1969" s="21"/>
      <c r="S1969" s="47"/>
      <c r="T1969" s="25">
        <f t="shared" si="63"/>
        <v>0</v>
      </c>
      <c r="U1969" s="25" t="str">
        <f>IF('PART III-DEMOGRAPHICS'!Q1979="","",'PART III-DEMOGRAPHICS'!Q1979)</f>
        <v/>
      </c>
    </row>
    <row r="1970" spans="1:21">
      <c r="A1970" s="25" t="str">
        <f>IF('PART III-DEMOGRAPHICS'!A1980="","",'PART III-DEMOGRAPHICS'!A1980)</f>
        <v/>
      </c>
      <c r="B1970" s="28"/>
      <c r="C1970" s="27"/>
      <c r="D1970" s="28"/>
      <c r="E1970" s="21"/>
      <c r="F1970" s="36" t="str">
        <f t="shared" si="64"/>
        <v>Did Not</v>
      </c>
      <c r="G1970" s="28"/>
      <c r="H1970" s="28"/>
      <c r="I1970" s="28"/>
      <c r="J1970" s="28"/>
      <c r="K1970" s="28"/>
      <c r="L1970" s="28"/>
      <c r="M1970" s="28"/>
      <c r="N1970" s="21"/>
      <c r="O1970" s="28"/>
      <c r="P1970" s="38"/>
      <c r="Q1970" s="21"/>
      <c r="R1970" s="21"/>
      <c r="S1970" s="47"/>
      <c r="T1970" s="25">
        <f t="shared" si="63"/>
        <v>0</v>
      </c>
      <c r="U1970" s="25" t="str">
        <f>IF('PART III-DEMOGRAPHICS'!Q1980="","",'PART III-DEMOGRAPHICS'!Q1980)</f>
        <v/>
      </c>
    </row>
    <row r="1971" spans="1:21">
      <c r="A1971" s="25" t="str">
        <f>IF('PART III-DEMOGRAPHICS'!A1981="","",'PART III-DEMOGRAPHICS'!A1981)</f>
        <v/>
      </c>
      <c r="B1971" s="28"/>
      <c r="C1971" s="27"/>
      <c r="D1971" s="28"/>
      <c r="E1971" s="21"/>
      <c r="F1971" s="36" t="str">
        <f t="shared" si="64"/>
        <v>Did Not</v>
      </c>
      <c r="G1971" s="28"/>
      <c r="H1971" s="28"/>
      <c r="I1971" s="28"/>
      <c r="J1971" s="28"/>
      <c r="K1971" s="28"/>
      <c r="L1971" s="28"/>
      <c r="M1971" s="28"/>
      <c r="N1971" s="21"/>
      <c r="O1971" s="28"/>
      <c r="P1971" s="38"/>
      <c r="Q1971" s="21"/>
      <c r="R1971" s="21"/>
      <c r="S1971" s="47"/>
      <c r="T1971" s="25">
        <f t="shared" si="63"/>
        <v>0</v>
      </c>
      <c r="U1971" s="25" t="str">
        <f>IF('PART III-DEMOGRAPHICS'!Q1981="","",'PART III-DEMOGRAPHICS'!Q1981)</f>
        <v/>
      </c>
    </row>
    <row r="1972" spans="1:21">
      <c r="A1972" s="25" t="str">
        <f>IF('PART III-DEMOGRAPHICS'!A1982="","",'PART III-DEMOGRAPHICS'!A1982)</f>
        <v/>
      </c>
      <c r="B1972" s="28"/>
      <c r="C1972" s="27"/>
      <c r="D1972" s="28"/>
      <c r="E1972" s="21"/>
      <c r="F1972" s="36" t="str">
        <f t="shared" si="64"/>
        <v>Did Not</v>
      </c>
      <c r="G1972" s="28"/>
      <c r="H1972" s="28"/>
      <c r="I1972" s="28"/>
      <c r="J1972" s="28"/>
      <c r="K1972" s="28"/>
      <c r="L1972" s="28"/>
      <c r="M1972" s="28"/>
      <c r="N1972" s="21"/>
      <c r="O1972" s="28"/>
      <c r="P1972" s="38"/>
      <c r="Q1972" s="21"/>
      <c r="R1972" s="21"/>
      <c r="S1972" s="47"/>
      <c r="T1972" s="25">
        <f t="shared" si="63"/>
        <v>0</v>
      </c>
      <c r="U1972" s="25" t="str">
        <f>IF('PART III-DEMOGRAPHICS'!Q1982="","",'PART III-DEMOGRAPHICS'!Q1982)</f>
        <v/>
      </c>
    </row>
    <row r="1973" spans="1:21">
      <c r="A1973" s="25" t="str">
        <f>IF('PART III-DEMOGRAPHICS'!A1983="","",'PART III-DEMOGRAPHICS'!A1983)</f>
        <v/>
      </c>
      <c r="B1973" s="28"/>
      <c r="C1973" s="27"/>
      <c r="D1973" s="28"/>
      <c r="E1973" s="21"/>
      <c r="F1973" s="36" t="str">
        <f t="shared" si="64"/>
        <v>Did Not</v>
      </c>
      <c r="G1973" s="28"/>
      <c r="H1973" s="28"/>
      <c r="I1973" s="28"/>
      <c r="J1973" s="28"/>
      <c r="K1973" s="28"/>
      <c r="L1973" s="28"/>
      <c r="M1973" s="28"/>
      <c r="N1973" s="21"/>
      <c r="O1973" s="28"/>
      <c r="P1973" s="38"/>
      <c r="Q1973" s="21"/>
      <c r="R1973" s="21"/>
      <c r="S1973" s="47"/>
      <c r="T1973" s="25">
        <f t="shared" si="63"/>
        <v>0</v>
      </c>
      <c r="U1973" s="25" t="str">
        <f>IF('PART III-DEMOGRAPHICS'!Q1983="","",'PART III-DEMOGRAPHICS'!Q1983)</f>
        <v/>
      </c>
    </row>
    <row r="1974" spans="1:21">
      <c r="A1974" s="25" t="str">
        <f>IF('PART III-DEMOGRAPHICS'!A1984="","",'PART III-DEMOGRAPHICS'!A1984)</f>
        <v/>
      </c>
      <c r="B1974" s="28"/>
      <c r="C1974" s="27"/>
      <c r="D1974" s="28"/>
      <c r="E1974" s="21"/>
      <c r="F1974" s="36" t="str">
        <f t="shared" si="64"/>
        <v>Did Not</v>
      </c>
      <c r="G1974" s="28"/>
      <c r="H1974" s="28"/>
      <c r="I1974" s="28"/>
      <c r="J1974" s="28"/>
      <c r="K1974" s="28"/>
      <c r="L1974" s="28"/>
      <c r="M1974" s="28"/>
      <c r="N1974" s="21"/>
      <c r="O1974" s="28"/>
      <c r="P1974" s="38"/>
      <c r="Q1974" s="21"/>
      <c r="R1974" s="21"/>
      <c r="S1974" s="47"/>
      <c r="T1974" s="25">
        <f t="shared" si="63"/>
        <v>0</v>
      </c>
      <c r="U1974" s="25" t="str">
        <f>IF('PART III-DEMOGRAPHICS'!Q1984="","",'PART III-DEMOGRAPHICS'!Q1984)</f>
        <v/>
      </c>
    </row>
    <row r="1975" spans="1:21">
      <c r="A1975" s="25" t="str">
        <f>IF('PART III-DEMOGRAPHICS'!A1985="","",'PART III-DEMOGRAPHICS'!A1985)</f>
        <v/>
      </c>
      <c r="B1975" s="28"/>
      <c r="C1975" s="27"/>
      <c r="D1975" s="28"/>
      <c r="E1975" s="21"/>
      <c r="F1975" s="36" t="str">
        <f t="shared" si="64"/>
        <v>Did Not</v>
      </c>
      <c r="G1975" s="28"/>
      <c r="H1975" s="28"/>
      <c r="I1975" s="28"/>
      <c r="J1975" s="28"/>
      <c r="K1975" s="28"/>
      <c r="L1975" s="28"/>
      <c r="M1975" s="28"/>
      <c r="N1975" s="21"/>
      <c r="O1975" s="28"/>
      <c r="P1975" s="38"/>
      <c r="Q1975" s="21"/>
      <c r="R1975" s="21"/>
      <c r="S1975" s="47"/>
      <c r="T1975" s="25">
        <f t="shared" si="63"/>
        <v>0</v>
      </c>
      <c r="U1975" s="25" t="str">
        <f>IF('PART III-DEMOGRAPHICS'!Q1985="","",'PART III-DEMOGRAPHICS'!Q1985)</f>
        <v/>
      </c>
    </row>
    <row r="1976" spans="1:21">
      <c r="A1976" s="25" t="str">
        <f>IF('PART III-DEMOGRAPHICS'!A1986="","",'PART III-DEMOGRAPHICS'!A1986)</f>
        <v/>
      </c>
      <c r="B1976" s="28"/>
      <c r="C1976" s="27"/>
      <c r="D1976" s="28"/>
      <c r="E1976" s="21"/>
      <c r="F1976" s="36" t="str">
        <f t="shared" si="64"/>
        <v>Did Not</v>
      </c>
      <c r="G1976" s="28"/>
      <c r="H1976" s="28"/>
      <c r="I1976" s="28"/>
      <c r="J1976" s="28"/>
      <c r="K1976" s="28"/>
      <c r="L1976" s="28"/>
      <c r="M1976" s="28"/>
      <c r="N1976" s="21"/>
      <c r="O1976" s="28"/>
      <c r="P1976" s="38"/>
      <c r="Q1976" s="21"/>
      <c r="R1976" s="21"/>
      <c r="S1976" s="47"/>
      <c r="T1976" s="25">
        <f t="shared" si="63"/>
        <v>0</v>
      </c>
      <c r="U1976" s="25" t="str">
        <f>IF('PART III-DEMOGRAPHICS'!Q1986="","",'PART III-DEMOGRAPHICS'!Q1986)</f>
        <v/>
      </c>
    </row>
    <row r="1977" spans="1:21">
      <c r="A1977" s="25" t="str">
        <f>IF('PART III-DEMOGRAPHICS'!A1987="","",'PART III-DEMOGRAPHICS'!A1987)</f>
        <v/>
      </c>
      <c r="B1977" s="28"/>
      <c r="C1977" s="27"/>
      <c r="D1977" s="28"/>
      <c r="E1977" s="21"/>
      <c r="F1977" s="36" t="str">
        <f t="shared" si="64"/>
        <v>Did Not</v>
      </c>
      <c r="G1977" s="28"/>
      <c r="H1977" s="28"/>
      <c r="I1977" s="28"/>
      <c r="J1977" s="28"/>
      <c r="K1977" s="28"/>
      <c r="L1977" s="28"/>
      <c r="M1977" s="28"/>
      <c r="N1977" s="21"/>
      <c r="O1977" s="28"/>
      <c r="P1977" s="38"/>
      <c r="Q1977" s="21"/>
      <c r="R1977" s="21"/>
      <c r="S1977" s="47"/>
      <c r="T1977" s="25">
        <f t="shared" si="63"/>
        <v>0</v>
      </c>
      <c r="U1977" s="25" t="str">
        <f>IF('PART III-DEMOGRAPHICS'!Q1987="","",'PART III-DEMOGRAPHICS'!Q1987)</f>
        <v/>
      </c>
    </row>
    <row r="1978" spans="1:21">
      <c r="A1978" s="25" t="str">
        <f>IF('PART III-DEMOGRAPHICS'!A1988="","",'PART III-DEMOGRAPHICS'!A1988)</f>
        <v/>
      </c>
      <c r="B1978" s="28"/>
      <c r="C1978" s="27"/>
      <c r="D1978" s="28"/>
      <c r="E1978" s="21"/>
      <c r="F1978" s="36" t="str">
        <f t="shared" si="64"/>
        <v>Did Not</v>
      </c>
      <c r="G1978" s="28"/>
      <c r="H1978" s="28"/>
      <c r="I1978" s="28"/>
      <c r="J1978" s="28"/>
      <c r="K1978" s="28"/>
      <c r="L1978" s="28"/>
      <c r="M1978" s="28"/>
      <c r="N1978" s="21"/>
      <c r="O1978" s="28"/>
      <c r="P1978" s="38"/>
      <c r="Q1978" s="21"/>
      <c r="R1978" s="21"/>
      <c r="S1978" s="47"/>
      <c r="T1978" s="25">
        <f t="shared" si="63"/>
        <v>0</v>
      </c>
      <c r="U1978" s="25" t="str">
        <f>IF('PART III-DEMOGRAPHICS'!Q1988="","",'PART III-DEMOGRAPHICS'!Q1988)</f>
        <v/>
      </c>
    </row>
    <row r="1979" spans="1:21">
      <c r="A1979" s="25" t="str">
        <f>IF('PART III-DEMOGRAPHICS'!A1989="","",'PART III-DEMOGRAPHICS'!A1989)</f>
        <v/>
      </c>
      <c r="B1979" s="28"/>
      <c r="C1979" s="27"/>
      <c r="D1979" s="28"/>
      <c r="E1979" s="21"/>
      <c r="F1979" s="36" t="str">
        <f t="shared" si="64"/>
        <v>Did Not</v>
      </c>
      <c r="G1979" s="28"/>
      <c r="H1979" s="28"/>
      <c r="I1979" s="28"/>
      <c r="J1979" s="28"/>
      <c r="K1979" s="28"/>
      <c r="L1979" s="28"/>
      <c r="M1979" s="28"/>
      <c r="N1979" s="21"/>
      <c r="O1979" s="28"/>
      <c r="P1979" s="38"/>
      <c r="Q1979" s="21"/>
      <c r="R1979" s="21"/>
      <c r="S1979" s="47"/>
      <c r="T1979" s="25">
        <f t="shared" si="63"/>
        <v>0</v>
      </c>
      <c r="U1979" s="25" t="str">
        <f>IF('PART III-DEMOGRAPHICS'!Q1989="","",'PART III-DEMOGRAPHICS'!Q1989)</f>
        <v/>
      </c>
    </row>
    <row r="1980" spans="1:21">
      <c r="A1980" s="25" t="str">
        <f>IF('PART III-DEMOGRAPHICS'!A1990="","",'PART III-DEMOGRAPHICS'!A1990)</f>
        <v/>
      </c>
      <c r="B1980" s="28"/>
      <c r="C1980" s="27"/>
      <c r="D1980" s="28"/>
      <c r="E1980" s="21"/>
      <c r="F1980" s="36" t="str">
        <f t="shared" si="64"/>
        <v>Did Not</v>
      </c>
      <c r="G1980" s="28"/>
      <c r="H1980" s="28"/>
      <c r="I1980" s="28"/>
      <c r="J1980" s="28"/>
      <c r="K1980" s="28"/>
      <c r="L1980" s="28"/>
      <c r="M1980" s="28"/>
      <c r="N1980" s="21"/>
      <c r="O1980" s="28"/>
      <c r="P1980" s="38"/>
      <c r="Q1980" s="21"/>
      <c r="R1980" s="21"/>
      <c r="S1980" s="47"/>
      <c r="T1980" s="25">
        <f t="shared" si="63"/>
        <v>0</v>
      </c>
      <c r="U1980" s="25" t="str">
        <f>IF('PART III-DEMOGRAPHICS'!Q1990="","",'PART III-DEMOGRAPHICS'!Q1990)</f>
        <v/>
      </c>
    </row>
    <row r="1981" spans="1:21">
      <c r="A1981" s="25" t="str">
        <f>IF('PART III-DEMOGRAPHICS'!A1991="","",'PART III-DEMOGRAPHICS'!A1991)</f>
        <v/>
      </c>
      <c r="B1981" s="28"/>
      <c r="C1981" s="27"/>
      <c r="D1981" s="28"/>
      <c r="E1981" s="21"/>
      <c r="F1981" s="36" t="str">
        <f t="shared" si="64"/>
        <v>Did Not</v>
      </c>
      <c r="G1981" s="28"/>
      <c r="H1981" s="28"/>
      <c r="I1981" s="28"/>
      <c r="J1981" s="28"/>
      <c r="K1981" s="28"/>
      <c r="L1981" s="28"/>
      <c r="M1981" s="28"/>
      <c r="N1981" s="21"/>
      <c r="O1981" s="28"/>
      <c r="P1981" s="38"/>
      <c r="Q1981" s="21"/>
      <c r="R1981" s="21"/>
      <c r="S1981" s="47"/>
      <c r="T1981" s="25">
        <f t="shared" si="63"/>
        <v>0</v>
      </c>
      <c r="U1981" s="25" t="str">
        <f>IF('PART III-DEMOGRAPHICS'!Q1991="","",'PART III-DEMOGRAPHICS'!Q1991)</f>
        <v/>
      </c>
    </row>
    <row r="1982" spans="1:21">
      <c r="A1982" s="25" t="str">
        <f>IF('PART III-DEMOGRAPHICS'!A1992="","",'PART III-DEMOGRAPHICS'!A1992)</f>
        <v/>
      </c>
      <c r="B1982" s="28"/>
      <c r="C1982" s="27"/>
      <c r="D1982" s="28"/>
      <c r="E1982" s="21"/>
      <c r="F1982" s="36" t="str">
        <f t="shared" si="64"/>
        <v>Did Not</v>
      </c>
      <c r="G1982" s="28"/>
      <c r="H1982" s="28"/>
      <c r="I1982" s="28"/>
      <c r="J1982" s="28"/>
      <c r="K1982" s="28"/>
      <c r="L1982" s="28"/>
      <c r="M1982" s="28"/>
      <c r="N1982" s="21"/>
      <c r="O1982" s="28"/>
      <c r="P1982" s="38"/>
      <c r="Q1982" s="21"/>
      <c r="R1982" s="21"/>
      <c r="S1982" s="47"/>
      <c r="T1982" s="25">
        <f t="shared" si="63"/>
        <v>0</v>
      </c>
      <c r="U1982" s="25" t="str">
        <f>IF('PART III-DEMOGRAPHICS'!Q1992="","",'PART III-DEMOGRAPHICS'!Q1992)</f>
        <v/>
      </c>
    </row>
    <row r="1983" spans="1:21">
      <c r="A1983" s="25" t="str">
        <f>IF('PART III-DEMOGRAPHICS'!A1993="","",'PART III-DEMOGRAPHICS'!A1993)</f>
        <v/>
      </c>
      <c r="B1983" s="28"/>
      <c r="C1983" s="27"/>
      <c r="D1983" s="28"/>
      <c r="E1983" s="21"/>
      <c r="F1983" s="36" t="str">
        <f t="shared" si="64"/>
        <v>Did Not</v>
      </c>
      <c r="G1983" s="28"/>
      <c r="H1983" s="28"/>
      <c r="I1983" s="28"/>
      <c r="J1983" s="28"/>
      <c r="K1983" s="28"/>
      <c r="L1983" s="28"/>
      <c r="M1983" s="28"/>
      <c r="N1983" s="21"/>
      <c r="O1983" s="28"/>
      <c r="P1983" s="38"/>
      <c r="Q1983" s="21"/>
      <c r="R1983" s="21"/>
      <c r="S1983" s="47"/>
      <c r="T1983" s="25">
        <f t="shared" si="63"/>
        <v>0</v>
      </c>
      <c r="U1983" s="25" t="str">
        <f>IF('PART III-DEMOGRAPHICS'!Q1993="","",'PART III-DEMOGRAPHICS'!Q1993)</f>
        <v/>
      </c>
    </row>
    <row r="1984" spans="1:21">
      <c r="A1984" s="25" t="str">
        <f>IF('PART III-DEMOGRAPHICS'!A1994="","",'PART III-DEMOGRAPHICS'!A1994)</f>
        <v/>
      </c>
      <c r="B1984" s="28"/>
      <c r="C1984" s="27"/>
      <c r="D1984" s="28"/>
      <c r="E1984" s="21"/>
      <c r="F1984" s="36" t="str">
        <f t="shared" si="64"/>
        <v>Did Not</v>
      </c>
      <c r="G1984" s="28"/>
      <c r="H1984" s="28"/>
      <c r="I1984" s="28"/>
      <c r="J1984" s="28"/>
      <c r="K1984" s="28"/>
      <c r="L1984" s="28"/>
      <c r="M1984" s="28"/>
      <c r="N1984" s="21"/>
      <c r="O1984" s="28"/>
      <c r="P1984" s="38"/>
      <c r="Q1984" s="21"/>
      <c r="R1984" s="21"/>
      <c r="S1984" s="47"/>
      <c r="T1984" s="25">
        <f t="shared" si="63"/>
        <v>0</v>
      </c>
      <c r="U1984" s="25" t="str">
        <f>IF('PART III-DEMOGRAPHICS'!Q1994="","",'PART III-DEMOGRAPHICS'!Q1994)</f>
        <v/>
      </c>
    </row>
    <row r="1985" spans="1:21">
      <c r="A1985" s="25" t="str">
        <f>IF('PART III-DEMOGRAPHICS'!A1995="","",'PART III-DEMOGRAPHICS'!A1995)</f>
        <v/>
      </c>
      <c r="B1985" s="28"/>
      <c r="C1985" s="27"/>
      <c r="D1985" s="28"/>
      <c r="E1985" s="21"/>
      <c r="F1985" s="36" t="str">
        <f t="shared" si="64"/>
        <v>Did Not</v>
      </c>
      <c r="G1985" s="28"/>
      <c r="H1985" s="28"/>
      <c r="I1985" s="28"/>
      <c r="J1985" s="28"/>
      <c r="K1985" s="28"/>
      <c r="L1985" s="28"/>
      <c r="M1985" s="28"/>
      <c r="N1985" s="21"/>
      <c r="O1985" s="28"/>
      <c r="P1985" s="38"/>
      <c r="Q1985" s="21"/>
      <c r="R1985" s="21"/>
      <c r="S1985" s="47"/>
      <c r="T1985" s="25">
        <f t="shared" si="63"/>
        <v>0</v>
      </c>
      <c r="U1985" s="25" t="str">
        <f>IF('PART III-DEMOGRAPHICS'!Q1995="","",'PART III-DEMOGRAPHICS'!Q1995)</f>
        <v/>
      </c>
    </row>
    <row r="1986" spans="1:21">
      <c r="A1986" s="25" t="str">
        <f>IF('PART III-DEMOGRAPHICS'!A1996="","",'PART III-DEMOGRAPHICS'!A1996)</f>
        <v/>
      </c>
      <c r="B1986" s="28"/>
      <c r="C1986" s="27"/>
      <c r="D1986" s="28"/>
      <c r="E1986" s="21"/>
      <c r="F1986" s="36" t="str">
        <f t="shared" si="64"/>
        <v>Did Not</v>
      </c>
      <c r="G1986" s="28"/>
      <c r="H1986" s="28"/>
      <c r="I1986" s="28"/>
      <c r="J1986" s="28"/>
      <c r="K1986" s="28"/>
      <c r="L1986" s="28"/>
      <c r="M1986" s="28"/>
      <c r="N1986" s="21"/>
      <c r="O1986" s="28"/>
      <c r="P1986" s="38"/>
      <c r="Q1986" s="21"/>
      <c r="R1986" s="21"/>
      <c r="S1986" s="47"/>
      <c r="T1986" s="25">
        <f t="shared" si="63"/>
        <v>0</v>
      </c>
      <c r="U1986" s="25" t="str">
        <f>IF('PART III-DEMOGRAPHICS'!Q1996="","",'PART III-DEMOGRAPHICS'!Q1996)</f>
        <v/>
      </c>
    </row>
    <row r="1987" spans="1:21">
      <c r="A1987" s="25" t="str">
        <f>IF('PART III-DEMOGRAPHICS'!A1997="","",'PART III-DEMOGRAPHICS'!A1997)</f>
        <v/>
      </c>
      <c r="B1987" s="28"/>
      <c r="C1987" s="27"/>
      <c r="D1987" s="28"/>
      <c r="E1987" s="21"/>
      <c r="F1987" s="36" t="str">
        <f t="shared" si="64"/>
        <v>Did Not</v>
      </c>
      <c r="G1987" s="28"/>
      <c r="H1987" s="28"/>
      <c r="I1987" s="28"/>
      <c r="J1987" s="28"/>
      <c r="K1987" s="28"/>
      <c r="L1987" s="28"/>
      <c r="M1987" s="28"/>
      <c r="N1987" s="21"/>
      <c r="O1987" s="28"/>
      <c r="P1987" s="38"/>
      <c r="Q1987" s="21"/>
      <c r="R1987" s="21"/>
      <c r="S1987" s="47"/>
      <c r="T1987" s="25">
        <f t="shared" si="63"/>
        <v>0</v>
      </c>
      <c r="U1987" s="25" t="str">
        <f>IF('PART III-DEMOGRAPHICS'!Q1997="","",'PART III-DEMOGRAPHICS'!Q1997)</f>
        <v/>
      </c>
    </row>
    <row r="1988" spans="1:21">
      <c r="A1988" s="25" t="str">
        <f>IF('PART III-DEMOGRAPHICS'!A1998="","",'PART III-DEMOGRAPHICS'!A1998)</f>
        <v/>
      </c>
      <c r="B1988" s="28"/>
      <c r="C1988" s="27"/>
      <c r="D1988" s="28"/>
      <c r="E1988" s="21"/>
      <c r="F1988" s="36" t="str">
        <f t="shared" si="64"/>
        <v>Did Not</v>
      </c>
      <c r="G1988" s="28"/>
      <c r="H1988" s="28"/>
      <c r="I1988" s="28"/>
      <c r="J1988" s="28"/>
      <c r="K1988" s="28"/>
      <c r="L1988" s="28"/>
      <c r="M1988" s="28"/>
      <c r="N1988" s="21"/>
      <c r="O1988" s="28"/>
      <c r="P1988" s="38"/>
      <c r="Q1988" s="21"/>
      <c r="R1988" s="21"/>
      <c r="S1988" s="47"/>
      <c r="T1988" s="25">
        <f t="shared" si="63"/>
        <v>0</v>
      </c>
      <c r="U1988" s="25" t="str">
        <f>IF('PART III-DEMOGRAPHICS'!Q1998="","",'PART III-DEMOGRAPHICS'!Q1998)</f>
        <v/>
      </c>
    </row>
    <row r="1989" spans="1:21">
      <c r="A1989" s="25" t="str">
        <f>IF('PART III-DEMOGRAPHICS'!A1999="","",'PART III-DEMOGRAPHICS'!A1999)</f>
        <v/>
      </c>
      <c r="B1989" s="28"/>
      <c r="C1989" s="27"/>
      <c r="D1989" s="28"/>
      <c r="E1989" s="21"/>
      <c r="F1989" s="36" t="str">
        <f t="shared" si="64"/>
        <v>Did Not</v>
      </c>
      <c r="G1989" s="28"/>
      <c r="H1989" s="28"/>
      <c r="I1989" s="28"/>
      <c r="J1989" s="28"/>
      <c r="K1989" s="28"/>
      <c r="L1989" s="28"/>
      <c r="M1989" s="28"/>
      <c r="N1989" s="21"/>
      <c r="O1989" s="28"/>
      <c r="P1989" s="38"/>
      <c r="Q1989" s="21"/>
      <c r="R1989" s="21"/>
      <c r="S1989" s="47"/>
      <c r="T1989" s="25">
        <f t="shared" si="63"/>
        <v>0</v>
      </c>
      <c r="U1989" s="25" t="str">
        <f>IF('PART III-DEMOGRAPHICS'!Q1999="","",'PART III-DEMOGRAPHICS'!Q1999)</f>
        <v/>
      </c>
    </row>
    <row r="1990" spans="1:21">
      <c r="A1990" s="25" t="str">
        <f>IF('PART III-DEMOGRAPHICS'!A2000="","",'PART III-DEMOGRAPHICS'!A2000)</f>
        <v/>
      </c>
      <c r="B1990" s="28"/>
      <c r="C1990" s="27"/>
      <c r="D1990" s="28"/>
      <c r="E1990" s="21"/>
      <c r="F1990" s="36" t="str">
        <f t="shared" si="64"/>
        <v>Did Not</v>
      </c>
      <c r="G1990" s="28"/>
      <c r="H1990" s="28"/>
      <c r="I1990" s="28"/>
      <c r="J1990" s="28"/>
      <c r="K1990" s="28"/>
      <c r="L1990" s="28"/>
      <c r="M1990" s="28"/>
      <c r="N1990" s="21"/>
      <c r="O1990" s="28"/>
      <c r="P1990" s="38"/>
      <c r="Q1990" s="21"/>
      <c r="R1990" s="21"/>
      <c r="S1990" s="47"/>
      <c r="T1990" s="25">
        <f t="shared" si="63"/>
        <v>0</v>
      </c>
      <c r="U1990" s="25" t="str">
        <f>IF('PART III-DEMOGRAPHICS'!Q2000="","",'PART III-DEMOGRAPHICS'!Q2000)</f>
        <v/>
      </c>
    </row>
    <row r="1991" spans="1:21">
      <c r="A1991" s="25" t="str">
        <f>IF('PART III-DEMOGRAPHICS'!A2001="","",'PART III-DEMOGRAPHICS'!A2001)</f>
        <v/>
      </c>
      <c r="B1991" s="28"/>
      <c r="C1991" s="27"/>
      <c r="D1991" s="28"/>
      <c r="E1991" s="21"/>
      <c r="F1991" s="36" t="str">
        <f t="shared" si="64"/>
        <v>Did Not</v>
      </c>
      <c r="G1991" s="28"/>
      <c r="H1991" s="28"/>
      <c r="I1991" s="28"/>
      <c r="J1991" s="28"/>
      <c r="K1991" s="28"/>
      <c r="L1991" s="28"/>
      <c r="M1991" s="28"/>
      <c r="N1991" s="21"/>
      <c r="O1991" s="28"/>
      <c r="P1991" s="38"/>
      <c r="Q1991" s="21"/>
      <c r="R1991" s="21"/>
      <c r="S1991" s="47"/>
      <c r="T1991" s="25">
        <f t="shared" ref="T1991:T2000" si="65">COUNTIF(A1991:R1991,"Yes")</f>
        <v>0</v>
      </c>
      <c r="U1991" s="25" t="str">
        <f>IF('PART III-DEMOGRAPHICS'!Q2001="","",'PART III-DEMOGRAPHICS'!Q2001)</f>
        <v/>
      </c>
    </row>
    <row r="1992" spans="1:21">
      <c r="A1992" s="25" t="str">
        <f>IF('PART III-DEMOGRAPHICS'!A2002="","",'PART III-DEMOGRAPHICS'!A2002)</f>
        <v/>
      </c>
      <c r="B1992" s="28"/>
      <c r="C1992" s="27"/>
      <c r="D1992" s="28"/>
      <c r="E1992" s="21"/>
      <c r="F1992" s="36" t="str">
        <f t="shared" si="64"/>
        <v>Did Not</v>
      </c>
      <c r="G1992" s="28"/>
      <c r="H1992" s="28"/>
      <c r="I1992" s="28"/>
      <c r="J1992" s="28"/>
      <c r="K1992" s="28"/>
      <c r="L1992" s="28"/>
      <c r="M1992" s="28"/>
      <c r="N1992" s="21"/>
      <c r="O1992" s="28"/>
      <c r="P1992" s="38"/>
      <c r="Q1992" s="21"/>
      <c r="R1992" s="21"/>
      <c r="S1992" s="47"/>
      <c r="T1992" s="25">
        <f t="shared" si="65"/>
        <v>0</v>
      </c>
      <c r="U1992" s="25" t="str">
        <f>IF('PART III-DEMOGRAPHICS'!Q2002="","",'PART III-DEMOGRAPHICS'!Q2002)</f>
        <v/>
      </c>
    </row>
    <row r="1993" spans="1:21">
      <c r="A1993" s="25" t="str">
        <f>IF('PART III-DEMOGRAPHICS'!A2003="","",'PART III-DEMOGRAPHICS'!A2003)</f>
        <v/>
      </c>
      <c r="B1993" s="28"/>
      <c r="C1993" s="27"/>
      <c r="D1993" s="28"/>
      <c r="E1993" s="21"/>
      <c r="F1993" s="36" t="str">
        <f t="shared" si="64"/>
        <v>Did Not</v>
      </c>
      <c r="G1993" s="28"/>
      <c r="H1993" s="28"/>
      <c r="I1993" s="28"/>
      <c r="J1993" s="28"/>
      <c r="K1993" s="28"/>
      <c r="L1993" s="28"/>
      <c r="M1993" s="28"/>
      <c r="N1993" s="21"/>
      <c r="O1993" s="28"/>
      <c r="P1993" s="38"/>
      <c r="Q1993" s="21"/>
      <c r="R1993" s="21"/>
      <c r="S1993" s="47"/>
      <c r="T1993" s="25">
        <f t="shared" si="65"/>
        <v>0</v>
      </c>
      <c r="U1993" s="25" t="str">
        <f>IF('PART III-DEMOGRAPHICS'!Q2003="","",'PART III-DEMOGRAPHICS'!Q2003)</f>
        <v/>
      </c>
    </row>
    <row r="1994" spans="1:21">
      <c r="A1994" s="25" t="str">
        <f>IF('PART III-DEMOGRAPHICS'!A2004="","",'PART III-DEMOGRAPHICS'!A2004)</f>
        <v/>
      </c>
      <c r="B1994" s="28"/>
      <c r="C1994" s="27"/>
      <c r="D1994" s="28"/>
      <c r="E1994" s="21"/>
      <c r="F1994" s="36" t="str">
        <f t="shared" si="64"/>
        <v>Did Not</v>
      </c>
      <c r="G1994" s="28"/>
      <c r="H1994" s="28"/>
      <c r="I1994" s="28"/>
      <c r="J1994" s="28"/>
      <c r="K1994" s="28"/>
      <c r="L1994" s="28"/>
      <c r="M1994" s="28"/>
      <c r="N1994" s="21"/>
      <c r="O1994" s="28"/>
      <c r="P1994" s="38"/>
      <c r="Q1994" s="21"/>
      <c r="R1994" s="21"/>
      <c r="S1994" s="47"/>
      <c r="T1994" s="25">
        <f t="shared" si="65"/>
        <v>0</v>
      </c>
      <c r="U1994" s="25" t="str">
        <f>IF('PART III-DEMOGRAPHICS'!Q2004="","",'PART III-DEMOGRAPHICS'!Q2004)</f>
        <v/>
      </c>
    </row>
    <row r="1995" spans="1:21">
      <c r="A1995" s="25" t="str">
        <f>IF('PART III-DEMOGRAPHICS'!A2005="","",'PART III-DEMOGRAPHICS'!A2005)</f>
        <v/>
      </c>
      <c r="B1995" s="28"/>
      <c r="C1995" s="27"/>
      <c r="D1995" s="28"/>
      <c r="E1995" s="21"/>
      <c r="F1995" s="36" t="str">
        <f t="shared" si="64"/>
        <v>Did Not</v>
      </c>
      <c r="G1995" s="28"/>
      <c r="H1995" s="28"/>
      <c r="I1995" s="28"/>
      <c r="J1995" s="28"/>
      <c r="K1995" s="28"/>
      <c r="L1995" s="28"/>
      <c r="M1995" s="28"/>
      <c r="N1995" s="21"/>
      <c r="O1995" s="28"/>
      <c r="P1995" s="38"/>
      <c r="Q1995" s="21"/>
      <c r="R1995" s="21"/>
      <c r="S1995" s="47"/>
      <c r="T1995" s="25">
        <f t="shared" si="65"/>
        <v>0</v>
      </c>
      <c r="U1995" s="25" t="str">
        <f>IF('PART III-DEMOGRAPHICS'!Q2005="","",'PART III-DEMOGRAPHICS'!Q2005)</f>
        <v/>
      </c>
    </row>
    <row r="1996" spans="1:21">
      <c r="A1996" s="25" t="str">
        <f>IF('PART III-DEMOGRAPHICS'!A2006="","",'PART III-DEMOGRAPHICS'!A2006)</f>
        <v/>
      </c>
      <c r="B1996" s="28"/>
      <c r="C1996" s="27"/>
      <c r="D1996" s="28"/>
      <c r="E1996" s="21"/>
      <c r="F1996" s="36" t="str">
        <f t="shared" si="64"/>
        <v>Did Not</v>
      </c>
      <c r="G1996" s="28"/>
      <c r="H1996" s="28"/>
      <c r="I1996" s="28"/>
      <c r="J1996" s="28"/>
      <c r="K1996" s="28"/>
      <c r="L1996" s="28"/>
      <c r="M1996" s="28"/>
      <c r="N1996" s="21"/>
      <c r="O1996" s="28"/>
      <c r="P1996" s="38"/>
      <c r="Q1996" s="21"/>
      <c r="R1996" s="21"/>
      <c r="S1996" s="47"/>
      <c r="T1996" s="25">
        <f t="shared" si="65"/>
        <v>0</v>
      </c>
      <c r="U1996" s="25" t="str">
        <f>IF('PART III-DEMOGRAPHICS'!Q2006="","",'PART III-DEMOGRAPHICS'!Q2006)</f>
        <v/>
      </c>
    </row>
    <row r="1997" spans="1:21">
      <c r="A1997" s="25" t="str">
        <f>IF('PART III-DEMOGRAPHICS'!A2007="","",'PART III-DEMOGRAPHICS'!A2007)</f>
        <v/>
      </c>
      <c r="B1997" s="28"/>
      <c r="C1997" s="27"/>
      <c r="D1997" s="28"/>
      <c r="E1997" s="21"/>
      <c r="F1997" s="36" t="str">
        <f t="shared" si="64"/>
        <v>Did Not</v>
      </c>
      <c r="G1997" s="28"/>
      <c r="H1997" s="28"/>
      <c r="I1997" s="28"/>
      <c r="J1997" s="28"/>
      <c r="K1997" s="28"/>
      <c r="L1997" s="28"/>
      <c r="M1997" s="28"/>
      <c r="N1997" s="21"/>
      <c r="O1997" s="28"/>
      <c r="P1997" s="38"/>
      <c r="Q1997" s="21"/>
      <c r="R1997" s="21"/>
      <c r="S1997" s="47"/>
      <c r="T1997" s="25">
        <f t="shared" si="65"/>
        <v>0</v>
      </c>
      <c r="U1997" s="25" t="str">
        <f>IF('PART III-DEMOGRAPHICS'!Q2007="","",'PART III-DEMOGRAPHICS'!Q2007)</f>
        <v/>
      </c>
    </row>
    <row r="1998" spans="1:21">
      <c r="A1998" s="25" t="str">
        <f>IF('PART III-DEMOGRAPHICS'!A2008="","",'PART III-DEMOGRAPHICS'!A2008)</f>
        <v/>
      </c>
      <c r="B1998" s="28"/>
      <c r="C1998" s="27"/>
      <c r="D1998" s="28"/>
      <c r="E1998" s="21"/>
      <c r="F1998" s="36" t="str">
        <f t="shared" ref="F1998:F2000" si="66">IF(OR(G1998="Yes",H1998="Yes",I1998="Yes",J1998="Yes",K1998="Yes",L1998="Yes",M1998="Yes"),"Did","Did Not")</f>
        <v>Did Not</v>
      </c>
      <c r="G1998" s="28"/>
      <c r="H1998" s="28"/>
      <c r="I1998" s="28"/>
      <c r="J1998" s="28"/>
      <c r="K1998" s="28"/>
      <c r="L1998" s="28"/>
      <c r="M1998" s="28"/>
      <c r="N1998" s="21"/>
      <c r="O1998" s="28"/>
      <c r="P1998" s="38"/>
      <c r="Q1998" s="21"/>
      <c r="R1998" s="21"/>
      <c r="S1998" s="47"/>
      <c r="T1998" s="25">
        <f t="shared" si="65"/>
        <v>0</v>
      </c>
      <c r="U1998" s="25" t="str">
        <f>IF('PART III-DEMOGRAPHICS'!Q2008="","",'PART III-DEMOGRAPHICS'!Q2008)</f>
        <v/>
      </c>
    </row>
    <row r="1999" spans="1:21">
      <c r="A1999" s="25" t="str">
        <f>IF('PART III-DEMOGRAPHICS'!A2009="","",'PART III-DEMOGRAPHICS'!A2009)</f>
        <v/>
      </c>
      <c r="B1999" s="28"/>
      <c r="C1999" s="27"/>
      <c r="D1999" s="28"/>
      <c r="E1999" s="21"/>
      <c r="F1999" s="36" t="str">
        <f t="shared" si="66"/>
        <v>Did Not</v>
      </c>
      <c r="G1999" s="28"/>
      <c r="H1999" s="28"/>
      <c r="I1999" s="28"/>
      <c r="J1999" s="28"/>
      <c r="K1999" s="28"/>
      <c r="L1999" s="28"/>
      <c r="M1999" s="28"/>
      <c r="N1999" s="21"/>
      <c r="O1999" s="28"/>
      <c r="P1999" s="38"/>
      <c r="Q1999" s="21"/>
      <c r="R1999" s="21"/>
      <c r="S1999" s="47"/>
      <c r="T1999" s="25">
        <f t="shared" si="65"/>
        <v>0</v>
      </c>
      <c r="U1999" s="25" t="str">
        <f>IF('PART III-DEMOGRAPHICS'!Q2009="","",'PART III-DEMOGRAPHICS'!Q2009)</f>
        <v/>
      </c>
    </row>
    <row r="2000" spans="1:21">
      <c r="A2000" s="25" t="str">
        <f>IF('PART III-DEMOGRAPHICS'!A2010="","",'PART III-DEMOGRAPHICS'!A2010)</f>
        <v/>
      </c>
      <c r="B2000" s="28"/>
      <c r="C2000" s="28"/>
      <c r="D2000" s="28"/>
      <c r="E2000" s="21"/>
      <c r="F2000" s="36" t="str">
        <f t="shared" si="66"/>
        <v>Did Not</v>
      </c>
      <c r="G2000" s="28"/>
      <c r="H2000" s="28"/>
      <c r="I2000" s="28"/>
      <c r="J2000" s="28"/>
      <c r="K2000" s="28"/>
      <c r="L2000" s="28"/>
      <c r="M2000" s="28"/>
      <c r="N2000" s="21"/>
      <c r="O2000" s="28"/>
      <c r="P2000" s="38"/>
      <c r="Q2000" s="21"/>
      <c r="R2000" s="21"/>
      <c r="S2000" s="47"/>
      <c r="T2000" s="25">
        <f t="shared" si="65"/>
        <v>0</v>
      </c>
      <c r="U2000" s="25" t="str">
        <f>IF('PART III-DEMOGRAPHICS'!Q2010="","",'PART III-DEMOGRAPHICS'!Q2010)</f>
        <v/>
      </c>
    </row>
    <row r="2001" spans="2:19">
      <c r="B2001" s="28"/>
      <c r="C2001" s="28"/>
      <c r="D2001" s="28"/>
      <c r="E2001" s="21"/>
      <c r="G2001" s="28"/>
      <c r="H2001" s="28"/>
      <c r="I2001" s="28"/>
      <c r="J2001" s="28"/>
      <c r="K2001" s="28"/>
      <c r="L2001" s="28"/>
      <c r="M2001" s="28"/>
      <c r="N2001" s="21"/>
      <c r="O2001" s="28"/>
      <c r="P2001" s="28"/>
      <c r="Q2001" s="21"/>
      <c r="R2001" s="21"/>
      <c r="S2001" s="21"/>
    </row>
    <row r="2002" spans="2:19">
      <c r="B2002" s="28"/>
      <c r="C2002" s="28"/>
      <c r="D2002" s="28"/>
      <c r="E2002" s="21"/>
      <c r="G2002" s="28"/>
      <c r="H2002" s="28"/>
      <c r="I2002" s="28"/>
      <c r="J2002" s="28"/>
      <c r="K2002" s="28"/>
      <c r="L2002" s="28"/>
      <c r="M2002" s="28"/>
      <c r="N2002" s="21"/>
      <c r="O2002" s="28"/>
      <c r="P2002" s="28"/>
      <c r="Q2002" s="21"/>
      <c r="R2002" s="21"/>
      <c r="S2002" s="21"/>
    </row>
    <row r="2003" spans="2:19">
      <c r="B2003" s="28"/>
      <c r="C2003" s="28"/>
      <c r="D2003" s="28"/>
      <c r="E2003" s="21"/>
      <c r="G2003" s="28"/>
      <c r="H2003" s="28"/>
      <c r="I2003" s="28"/>
      <c r="J2003" s="28"/>
      <c r="K2003" s="28"/>
      <c r="L2003" s="28"/>
      <c r="M2003" s="28"/>
      <c r="N2003" s="21"/>
      <c r="O2003" s="28"/>
      <c r="P2003" s="28"/>
      <c r="Q2003" s="21"/>
      <c r="R2003" s="21"/>
      <c r="S2003" s="21"/>
    </row>
    <row r="2004" spans="2:19">
      <c r="K2004" s="28"/>
    </row>
    <row r="2005" spans="2:19">
      <c r="K2005" s="28"/>
    </row>
    <row r="2006" spans="2:19">
      <c r="K2006" s="28"/>
    </row>
    <row r="2007" spans="2:19">
      <c r="K2007" s="28"/>
    </row>
    <row r="2008" spans="2:19">
      <c r="K2008" s="28"/>
    </row>
    <row r="2009" spans="2:19">
      <c r="K2009" s="28"/>
    </row>
    <row r="2010" spans="2:19">
      <c r="K2010" s="28"/>
    </row>
  </sheetData>
  <sheetProtection algorithmName="SHA-512" hashValue="HkwYUKhDrjWOmBZ2+82JrI0Hv3dXHvRUzf2/pRMWILK2y6Qp7tbBPiPOnSOaZXW4KcDuUKLd+ULPO/tyVIV3Gg==" saltValue="Jii5MGov5qQ4Spwc7peR1g==" spinCount="100000" sheet="1" objects="1" scenarios="1"/>
  <mergeCells count="2">
    <mergeCell ref="F1:M1"/>
    <mergeCell ref="B1:C1"/>
  </mergeCells>
  <conditionalFormatting sqref="A1:B1">
    <cfRule type="expression" dxfId="192" priority="2458">
      <formula>CELL("protect",A2:U501)</formula>
    </cfRule>
  </conditionalFormatting>
  <conditionalFormatting sqref="A1048075:C1048569">
    <cfRule type="expression" dxfId="191" priority="4982">
      <formula>CELL("protect",A1:U1048075)</formula>
    </cfRule>
  </conditionalFormatting>
  <conditionalFormatting sqref="A1048570:C1048576">
    <cfRule type="expression" dxfId="190" priority="2905">
      <formula>CELL("protect",A493:U1048570)</formula>
    </cfRule>
  </conditionalFormatting>
  <conditionalFormatting sqref="B1">
    <cfRule type="expression" dxfId="189" priority="2930">
      <formula>CELL("protect",B1:V500)</formula>
    </cfRule>
  </conditionalFormatting>
  <conditionalFormatting sqref="B3">
    <cfRule type="expression" dxfId="188" priority="15">
      <formula>CELL("protect",B3:V502)</formula>
    </cfRule>
  </conditionalFormatting>
  <conditionalFormatting sqref="B2:M2 B4:C6">
    <cfRule type="expression" dxfId="187" priority="4955">
      <formula>CELL("protect",B2:Z501)</formula>
    </cfRule>
  </conditionalFormatting>
  <conditionalFormatting sqref="C3">
    <cfRule type="expression" dxfId="186" priority="4941">
      <formula>CELL("protect",C2:AA501)</formula>
    </cfRule>
  </conditionalFormatting>
  <conditionalFormatting sqref="D1:E1 A2:A6 A7:E1048074">
    <cfRule type="expression" dxfId="185" priority="2886">
      <formula>CELL("protect",A1:U500)</formula>
    </cfRule>
  </conditionalFormatting>
  <conditionalFormatting sqref="D1048075:E1048569">
    <cfRule type="expression" dxfId="184" priority="4988">
      <formula>CELL("protect",D1:Y1048075)</formula>
    </cfRule>
  </conditionalFormatting>
  <conditionalFormatting sqref="D1048570:E1048576">
    <cfRule type="expression" dxfId="183" priority="2890">
      <formula>CELL("protect",D493:Y1048570)</formula>
    </cfRule>
  </conditionalFormatting>
  <conditionalFormatting sqref="E3:E5">
    <cfRule type="expression" dxfId="182" priority="13">
      <formula>CELL("protect",E3:AC502)</formula>
    </cfRule>
  </conditionalFormatting>
  <conditionalFormatting sqref="F1:N1 N2:N6 D3:D5 F3:M5 D6:M6">
    <cfRule type="expression" dxfId="181" priority="16">
      <formula>CELL("protect",D1:AA500)</formula>
    </cfRule>
  </conditionalFormatting>
  <conditionalFormatting sqref="F7:N1048074">
    <cfRule type="expression" dxfId="180" priority="2781">
      <formula>CELL("protect",F7:AC506)</formula>
    </cfRule>
  </conditionalFormatting>
  <conditionalFormatting sqref="F1048075:N1048569">
    <cfRule type="expression" dxfId="179" priority="4992">
      <formula>CELL("protect",F1:AD1048075)</formula>
    </cfRule>
  </conditionalFormatting>
  <conditionalFormatting sqref="F1048570:N1048576">
    <cfRule type="expression" dxfId="178" priority="2808">
      <formula>CELL("protect",F493:AD1048570)</formula>
    </cfRule>
  </conditionalFormatting>
  <conditionalFormatting sqref="O1:Q1 O3:P6 O7:Q1048074">
    <cfRule type="expression" dxfId="177" priority="2820">
      <formula>CELL("protect",O1:AO500)</formula>
    </cfRule>
  </conditionalFormatting>
  <conditionalFormatting sqref="O1048075:Q1048569">
    <cfRule type="expression" dxfId="176" priority="4996">
      <formula>CELL("protect",O1:AP1048075)</formula>
    </cfRule>
  </conditionalFormatting>
  <conditionalFormatting sqref="O1048570:Q1048576">
    <cfRule type="expression" dxfId="175" priority="2824">
      <formula>CELL("protect",O493:AP1048570)</formula>
    </cfRule>
  </conditionalFormatting>
  <conditionalFormatting sqref="O2:S2">
    <cfRule type="expression" dxfId="174" priority="12">
      <formula>CELL("protect",O2:AM501)</formula>
    </cfRule>
  </conditionalFormatting>
  <conditionalFormatting sqref="Q6">
    <cfRule type="expression" dxfId="173" priority="2692">
      <formula>CELL("protect",R3:AT502)</formula>
    </cfRule>
  </conditionalFormatting>
  <conditionalFormatting sqref="Q3:R5">
    <cfRule type="expression" dxfId="172" priority="5">
      <formula>CELL("protect",Q3:AO502)</formula>
    </cfRule>
  </conditionalFormatting>
  <conditionalFormatting sqref="R1 R7:R1048074">
    <cfRule type="expression" dxfId="171" priority="2740">
      <formula>CELL("protect",R1:AU500)</formula>
    </cfRule>
  </conditionalFormatting>
  <conditionalFormatting sqref="R6">
    <cfRule type="expression" dxfId="170" priority="2840">
      <formula>CELL("protect",S3:AX502)</formula>
    </cfRule>
  </conditionalFormatting>
  <conditionalFormatting sqref="R1048075:R1048569">
    <cfRule type="expression" dxfId="169" priority="4999">
      <formula>CELL("protect",R1:AV1048075)</formula>
    </cfRule>
  </conditionalFormatting>
  <conditionalFormatting sqref="R1048570:R1048576">
    <cfRule type="expression" dxfId="168" priority="2756">
      <formula>CELL("protect",R493:AV1048570)</formula>
    </cfRule>
  </conditionalFormatting>
  <conditionalFormatting sqref="S1 S7:S1048074">
    <cfRule type="expression" dxfId="167" priority="2868">
      <formula>CELL("protect",S1:AY500)</formula>
    </cfRule>
  </conditionalFormatting>
  <conditionalFormatting sqref="S3:S6">
    <cfRule type="expression" dxfId="166" priority="1">
      <formula>CELL("protect",S3:AQ502)</formula>
    </cfRule>
  </conditionalFormatting>
  <conditionalFormatting sqref="S1048075:S1048569">
    <cfRule type="expression" dxfId="165" priority="5002">
      <formula>CELL("protect",S1:AZ1048075)</formula>
    </cfRule>
  </conditionalFormatting>
  <conditionalFormatting sqref="S1048570:S1048576">
    <cfRule type="expression" dxfId="164" priority="2882">
      <formula>CELL("protect",S493:AZ1048570)</formula>
    </cfRule>
  </conditionalFormatting>
  <conditionalFormatting sqref="T1:XDF1048074">
    <cfRule type="expression" dxfId="163" priority="17">
      <formula>CELL("protect",T1:BC500)</formula>
    </cfRule>
  </conditionalFormatting>
  <conditionalFormatting sqref="T1048075:XDF1048569">
    <cfRule type="expression" dxfId="162" priority="5005">
      <formula>CELL("protect",T1:BD1048075)</formula>
    </cfRule>
  </conditionalFormatting>
  <conditionalFormatting sqref="T1048570:XDF1048576">
    <cfRule type="expression" dxfId="161" priority="2512">
      <formula>CELL("protect",T493:BD1048570)</formula>
    </cfRule>
  </conditionalFormatting>
  <conditionalFormatting sqref="XDG1:XEM1048576">
    <cfRule type="expression" dxfId="160" priority="4969">
      <formula>CELL("protect",A1:XDG500)</formula>
    </cfRule>
  </conditionalFormatting>
  <conditionalFormatting sqref="XEN1:XEN1048576">
    <cfRule type="expression" dxfId="159" priority="2430">
      <formula>CELL("protect",T1:XEN500)</formula>
    </cfRule>
  </conditionalFormatting>
  <conditionalFormatting sqref="XEO7:XEW1048074">
    <cfRule type="expression" dxfId="158" priority="2421">
      <formula>CELL("protect",T7:XEO506)</formula>
    </cfRule>
  </conditionalFormatting>
  <conditionalFormatting sqref="XEO1048075:XEW1048569">
    <cfRule type="expression" dxfId="157" priority="5009">
      <formula>CELL("protect",T1:XEO1048075)</formula>
    </cfRule>
  </conditionalFormatting>
  <conditionalFormatting sqref="XEO1048570:XEW1048576">
    <cfRule type="expression" dxfId="156" priority="2429">
      <formula>CELL("protect",T493:XEO1048570)</formula>
    </cfRule>
  </conditionalFormatting>
  <conditionalFormatting sqref="XEO1:XFD6">
    <cfRule type="expression" dxfId="155" priority="2926">
      <formula>CELL("protect",#REF!)</formula>
    </cfRule>
  </conditionalFormatting>
  <conditionalFormatting sqref="XEX7:XFD1048576">
    <cfRule type="expression" dxfId="154" priority="2683">
      <formula>CELL("protect",#REF!)</formula>
    </cfRule>
  </conditionalFormatting>
  <dataValidations disablePrompts="1" count="12">
    <dataValidation type="list" showInputMessage="1" showErrorMessage="1" errorTitle="Error" error="Please select a value from the drop-down list" promptTitle="Supportive Services" prompt="Select Yes if the consumer received Supportive Services and No if not" sqref="O7:O1999" xr:uid="{30CEFEBC-20C9-48C4-84B4-7D3DA9B7CC04}">
      <formula1>"Yes, No"</formula1>
    </dataValidation>
    <dataValidation type="list" showInputMessage="1" showErrorMessage="1" errorTitle="Error" error="Please select a value from the drop-down list" promptTitle="Vision Screening" prompt="Select &quot;Yes&quot; if the consumer received a vision Assessment (Screening, Exam, or Evaluation). Leave blank or select &quot;No&quot; if not." sqref="B7:B1999" xr:uid="{247021CB-E6EB-465D-88C8-A0A6C99C117F}">
      <formula1>"Yes, No"</formula1>
    </dataValidation>
    <dataValidation type="list" showInputMessage="1" showErrorMessage="1" errorTitle="Error" error="Please select either Yes or No from the drop-down list" promptTitle="AT Devices and Services" prompt="Select Yes if the consumer received AT devices and/or services" sqref="D7:D1999" xr:uid="{6E053EFA-2F6B-42F5-8861-C1824B9F0ECC}">
      <formula1>"Yes, No"</formula1>
    </dataValidation>
    <dataValidation type="list" showInputMessage="1" showErrorMessage="1" errorTitle="Error" error="Please select a value from the drop-down list" promptTitle="Orientation and Mobility" prompt="Select Yes if the consumer received O&amp;M services and No if not" sqref="G7:G1999" xr:uid="{23D614CF-6208-482A-8D66-BD3B4CB348E1}">
      <formula1>"Yes, No"</formula1>
    </dataValidation>
    <dataValidation type="list" showInputMessage="1" showErrorMessage="1" errorTitle="Error" error="Please select a value from the drop-down list" promptTitle="Daily Living Skills" prompt="Select Yes if the consumer received Daily Living skills training and No if not" sqref="I7:I1999" xr:uid="{92CB22C6-C5CB-4103-B079-03368F829598}">
      <formula1>"Yes, No"</formula1>
    </dataValidation>
    <dataValidation type="list" showInputMessage="1" showErrorMessage="1" errorTitle="Error" error="Please select a value from the drop-down list" promptTitle="Adjustment Counseling" prompt="Select Yes if the consumer received Adjustment Counseling services and No if not" sqref="K7:K2010" xr:uid="{7E9CA6CF-7A73-4EC6-9115-128EB6CA4D5D}">
      <formula1>"Yes, No"</formula1>
    </dataValidation>
    <dataValidation type="list" showInputMessage="1" showErrorMessage="1" errorTitle="Error" error="Please select a value from the drop-down list" promptTitle="Other Services" prompt="Select Yes if the consumer received Other services and No if not" sqref="M7:M1999" xr:uid="{AFF4041D-7844-4141-B999-AA4B6F9213DC}">
      <formula1>"Yes, No"</formula1>
    </dataValidation>
    <dataValidation type="list" showInputMessage="1" showErrorMessage="1" errorTitle="Error" error="Please select a value from the drop-down list" promptTitle="Information and Referral" prompt="Select Yes if the consumer received I&amp;R Services and No if not" sqref="L7:L1999" xr:uid="{ACBFA2EA-EB56-43B5-AF20-9AA86AC3EDA9}">
      <formula1>"Yes, No"</formula1>
    </dataValidation>
    <dataValidation type="list" showInputMessage="1" showErrorMessage="1" errorTitle="Error" error="Please select a value from the drop-down list" promptTitle="Advocacy Training" prompt="Select Yes if the consumer received Advocacy training and No if not" sqref="J7:J1999" xr:uid="{3FC9F733-1728-4948-BE03-F7AA6EACAE14}">
      <formula1>"Yes, No"</formula1>
    </dataValidation>
    <dataValidation type="list" showInputMessage="1" showErrorMessage="1" errorTitle="Error" error="Please select a value from the drop-down list" promptTitle="Communication Services" prompt="Select Yes if the consumer received Communication services and No if not" sqref="H7:H1999" xr:uid="{6C10FA7D-9BC3-4CFC-A544-35F4FBD37010}">
      <formula1>"Yes, No"</formula1>
    </dataValidation>
    <dataValidation type="list" showInputMessage="1" showErrorMessage="1" errorTitle="Error" error="Please select one of the values from the drop-down list." promptTitle="Case Status" prompt="Please select if the consumer has been assessed. The consumer should be assessed if they have completed any goals during the grant year." sqref="P7:P2000" xr:uid="{002DFA67-AB72-43B9-8373-5A9DB6F24253}">
      <formula1>"Assessed, Pending"</formula1>
    </dataValidation>
    <dataValidation type="list" showInputMessage="1" showErrorMessage="1" errorTitle="Error" error="Please select a value from the drop-down list" promptTitle="Surgical or Therapeutic Treatmen" prompt="Select &quot;Yes&quot; if the consumer received Surgical or Therapeutic Treatment. Leave blank or select &quot;No&quot; if not." sqref="C7:C1999" xr:uid="{E7D886A7-7075-4517-B9AA-B8646E74CEFD}">
      <formula1>"Yes, No"</formula1>
    </dataValidation>
  </dataValidations>
  <pageMargins left="0.45" right="0.45" top="0.75" bottom="0.75" header="0.3" footer="0.3"/>
  <pageSetup scale="80" orientation="landscape" r:id="rId1"/>
  <extLst>
    <ext xmlns:x14="http://schemas.microsoft.com/office/spreadsheetml/2009/9/main" uri="{CCE6A557-97BC-4b89-ADB6-D9C93CAAB3DF}">
      <x14:dataValidations xmlns:xm="http://schemas.microsoft.com/office/excel/2006/main" disablePrompts="1" count="5">
        <x14:dataValidation type="list" allowBlank="1" showInputMessage="1" showErrorMessage="1" errorTitle="Error" error="Please select a value from the drop-down list" promptTitle="Employment" prompt="Please select one of the values for each consumer. If assessed, select a value that best reflects the consumer's report of their potential interest in seeking employment." xr:uid="{38A36F4F-BF2A-4C34-BFE7-8E2B18619A75}">
          <x14:formula1>
            <xm:f>IF($P7="","",IF($P7="Pending",Data!$AM$2,IF($P7="Assessed",Data!$AM$3:$AM$6)))</xm:f>
          </x14:formula1>
          <xm:sqref>S7:S2000</xm:sqref>
        </x14:dataValidation>
        <x14:dataValidation type="list" showInputMessage="1" showErrorMessage="1" errorTitle="Error" error="Please select a value from the drop-down list" promptTitle="Living Situation Outcome" prompt="Please select one of the values for each consumer. If the consumer has been assessed then select the item that best describes their feeling about their ability to manage their current living situation. If they have not been assessed then select Not Assess" xr:uid="{EB673719-075A-44F2-9D6C-C3CE835CF886}">
          <x14:formula1>
            <xm:f>IF($P7="","",IF($P7="Pending",Data!$AI$2,IF($P7="Assessed",Data!$AI$3:$AI$5)))</xm:f>
          </x14:formula1>
          <xm:sqref>Q7:Q1999</xm:sqref>
        </x14:dataValidation>
        <x14:dataValidation type="list" showInputMessage="1" showErrorMessage="1" errorTitle="Error" error="Please select a value from the drop-down list" promptTitle="Participation in Home/Community" prompt="Please select one of the values for each consumer. If assessed, select a value that best reflects the consumer's report of their ability to engage in customary activities in their home and community. Otherwise, select not assessed." xr:uid="{3BECD76B-2BA9-4CE6-AF4E-81A43E1F46CD}">
          <x14:formula1>
            <xm:f>IF($P7="","",IF($P7="Pending",Data!$AK$2,IF($P7="Assessed",Data!$AK$3:$AK$5)))</xm:f>
          </x14:formula1>
          <xm:sqref>R7:R1999</xm:sqref>
        </x14:dataValidation>
        <x14:dataValidation type="list" showInputMessage="1" showErrorMessage="1" errorTitle="Error" error="Please select a value from the drop-down list" promptTitle="IL/A Service Outcomes" prompt="Please select one of the values for each consumer. Select one of the assessed values if a consumer has completed an IL/A Service plan, otherwise select not assessed." xr:uid="{B35D4FFD-FA35-4EDA-A1B0-39180707C310}">
          <x14:formula1>
            <xm:f>IF(F7="Did",Data!$AC$2:$AC$5,Data!$AC$2)</xm:f>
          </x14:formula1>
          <xm:sqref>N7:N1999</xm:sqref>
        </x14:dataValidation>
        <x14:dataValidation type="list" showInputMessage="1" showErrorMessage="1" errorTitle="Error" error="Please select a value from the drop-down list" promptTitle="AT Goal Outcomes" prompt="Please select one of the values for each consumer. Select one of the assessed values if a consumer has completed an AT plan, otherwise select not assessed." xr:uid="{34BEDA80-3F5B-4109-B763-E39A51C9B541}">
          <x14:formula1>
            <xm:f>IF(D7="Yes",Data!$Y$2:$Y$5,Data!$Y$2)</xm:f>
          </x14:formula1>
          <xm:sqref>E7:E1999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L67"/>
  <sheetViews>
    <sheetView workbookViewId="0">
      <selection activeCell="A3" sqref="A3"/>
    </sheetView>
  </sheetViews>
  <sheetFormatPr defaultColWidth="9.140625" defaultRowHeight="17.45"/>
  <cols>
    <col min="1" max="1" width="26.7109375" style="3" customWidth="1"/>
    <col min="2" max="2" width="11" style="3" customWidth="1"/>
    <col min="3" max="4" width="9.28515625" style="3" customWidth="1"/>
    <col min="5" max="5" width="7.7109375" style="3" customWidth="1"/>
    <col min="6" max="7" width="13.85546875" style="3" customWidth="1"/>
    <col min="8" max="8" width="14.28515625" style="3" customWidth="1"/>
    <col min="9" max="10" width="9.28515625" style="3" customWidth="1"/>
    <col min="11" max="11" width="12.28515625" style="3" customWidth="1"/>
    <col min="12" max="12" width="12.7109375" style="3" customWidth="1"/>
    <col min="13" max="13" width="9.28515625" style="3" customWidth="1"/>
    <col min="14" max="15" width="12.28515625" style="3" bestFit="1" customWidth="1"/>
    <col min="16" max="16" width="14.28515625" style="3" customWidth="1"/>
    <col min="17" max="17" width="9.28515625" style="3" customWidth="1"/>
    <col min="18" max="18" width="11.85546875" style="3" customWidth="1"/>
    <col min="19" max="19" width="12.42578125" style="3" customWidth="1"/>
    <col min="20" max="20" width="13.140625" style="3" customWidth="1"/>
    <col min="21" max="21" width="9.28515625" style="3" customWidth="1"/>
    <col min="22" max="22" width="11" style="3" customWidth="1"/>
    <col min="23" max="23" width="12.28515625" style="3" bestFit="1" customWidth="1"/>
    <col min="24" max="24" width="13.5703125" style="3" customWidth="1"/>
    <col min="25" max="26" width="12.28515625" style="3" customWidth="1"/>
    <col min="27" max="27" width="11.28515625" style="3" bestFit="1" customWidth="1"/>
    <col min="28" max="28" width="12.7109375" style="3" customWidth="1"/>
    <col min="29" max="29" width="10.7109375" style="3" customWidth="1"/>
    <col min="30" max="30" width="12.7109375" style="3" customWidth="1"/>
    <col min="31" max="31" width="13.42578125" style="3" customWidth="1"/>
    <col min="32" max="32" width="15.28515625" style="3" customWidth="1"/>
    <col min="33" max="33" width="9.28515625" style="3" customWidth="1"/>
    <col min="34" max="34" width="12" style="3" customWidth="1"/>
    <col min="35" max="35" width="12.28515625" style="3" bestFit="1" customWidth="1"/>
    <col min="36" max="36" width="8.7109375" style="3" customWidth="1"/>
    <col min="37" max="37" width="14.140625" style="3" customWidth="1"/>
    <col min="38" max="38" width="19.42578125" style="3" bestFit="1" customWidth="1"/>
    <col min="39" max="16384" width="9.140625" style="3"/>
  </cols>
  <sheetData>
    <row r="1" spans="1:38" ht="55.5" customHeight="1">
      <c r="A1" s="105">
        <v>2526</v>
      </c>
      <c r="B1" s="105"/>
      <c r="C1" s="4"/>
      <c r="D1" s="4"/>
      <c r="E1" s="4"/>
      <c r="F1" s="4"/>
    </row>
    <row r="2" spans="1:38" s="5" customFormat="1" ht="102.6" customHeight="1">
      <c r="A2" s="4" t="s">
        <v>254</v>
      </c>
      <c r="B2" s="4" t="s">
        <v>255</v>
      </c>
      <c r="C2" s="4" t="s">
        <v>256</v>
      </c>
      <c r="D2" s="4" t="s">
        <v>257</v>
      </c>
      <c r="E2" s="4"/>
      <c r="F2" s="5" t="s">
        <v>258</v>
      </c>
      <c r="G2" s="5" t="s">
        <v>259</v>
      </c>
      <c r="H2" s="5" t="s">
        <v>260</v>
      </c>
      <c r="I2" s="5" t="s">
        <v>261</v>
      </c>
      <c r="J2" s="5" t="s">
        <v>262</v>
      </c>
      <c r="K2" s="5" t="s">
        <v>263</v>
      </c>
      <c r="L2" s="5" t="s">
        <v>264</v>
      </c>
      <c r="M2" s="5" t="s">
        <v>261</v>
      </c>
      <c r="N2" s="5" t="s">
        <v>265</v>
      </c>
      <c r="O2" s="5" t="s">
        <v>266</v>
      </c>
      <c r="P2" s="5" t="s">
        <v>267</v>
      </c>
      <c r="Q2" s="5" t="s">
        <v>261</v>
      </c>
      <c r="R2" s="5" t="s">
        <v>268</v>
      </c>
      <c r="S2" s="5" t="s">
        <v>269</v>
      </c>
      <c r="T2" s="5" t="s">
        <v>270</v>
      </c>
      <c r="U2" s="5" t="s">
        <v>261</v>
      </c>
      <c r="V2" s="5" t="s">
        <v>271</v>
      </c>
      <c r="W2" s="5" t="s">
        <v>272</v>
      </c>
      <c r="X2" s="5" t="s">
        <v>273</v>
      </c>
      <c r="Y2" s="5" t="s">
        <v>261</v>
      </c>
      <c r="Z2" s="5" t="s">
        <v>274</v>
      </c>
      <c r="AA2" s="5" t="s">
        <v>275</v>
      </c>
      <c r="AB2" s="5" t="s">
        <v>276</v>
      </c>
      <c r="AC2" s="5" t="s">
        <v>261</v>
      </c>
      <c r="AD2" s="5" t="s">
        <v>277</v>
      </c>
      <c r="AE2" s="5" t="s">
        <v>278</v>
      </c>
      <c r="AF2" s="5" t="s">
        <v>279</v>
      </c>
      <c r="AG2" s="5" t="s">
        <v>261</v>
      </c>
      <c r="AH2" s="5" t="s">
        <v>280</v>
      </c>
      <c r="AI2" s="5" t="s">
        <v>281</v>
      </c>
      <c r="AK2" s="5" t="s">
        <v>282</v>
      </c>
      <c r="AL2" s="5" t="s">
        <v>283</v>
      </c>
    </row>
    <row r="3" spans="1:38">
      <c r="S3" s="42"/>
    </row>
    <row r="4" spans="1:38">
      <c r="A4" s="3" t="s">
        <v>284</v>
      </c>
      <c r="B4" s="3">
        <f>COUNTIF('PART III-DEMOGRAPHICS'!$Q$17:$Q$2010,A4)</f>
        <v>0</v>
      </c>
      <c r="C4" s="3" t="str" cm="1">
        <f t="array" ref="C4">IF(_xlfn.XLOOKUP('7-OB Report'!$C$2,Data!$C$51:$C$65,_xlfn.XLOOKUP($A4,Data!$F$50:$BM$50,Data!$F$51:$BM$65))=0,"",_xlfn.XLOOKUP('7-OB Report'!$C$2,Data!$C$51:$C$65,_xlfn.XLOOKUP($A4,Data!$F$50:$BM$50,Data!$F$51:$BM$65)))</f>
        <v/>
      </c>
      <c r="D4" s="42" t="str">
        <f t="shared" ref="D4:D35" si="0">IF(C4="","",B4/C4)</f>
        <v/>
      </c>
      <c r="F4" s="3" t="str">
        <f>IF($B4=0,"",COUNTIFS('PART III-DEMOGRAPHICS'!$E$17:$E$2010,Data!$G$2,'PART III-DEMOGRAPHICS'!$Q$17:$Q$2010,$A4))</f>
        <v/>
      </c>
      <c r="G4" s="42" t="str">
        <f t="shared" ref="G4:G35" si="1">IF($B4=0,"",$F4/$B4)</f>
        <v/>
      </c>
      <c r="H4" s="42">
        <v>3.1691601106730131E-3</v>
      </c>
      <c r="I4" s="42" t="str">
        <f>IF($B4=0,"",(IF(G4&gt;=H4,"Met","Unmet")))</f>
        <v/>
      </c>
      <c r="J4" s="43" t="str">
        <f>IF($B4=0,"",COUNTIFS('PART III-DEMOGRAPHICS'!$E$17:$E$2010,Data!$G$3,'PART III-DEMOGRAPHICS'!$Q$17:$Q$2010,$A4))</f>
        <v/>
      </c>
      <c r="K4" s="42" t="str">
        <f t="shared" ref="K4:K35" si="2">IF($B4=0,"",$J4/$B4)</f>
        <v/>
      </c>
      <c r="L4" s="42">
        <v>0.26365513925941514</v>
      </c>
      <c r="M4" s="42" t="str">
        <f t="shared" ref="M4:M35" si="3">IF($B4=0,"",(IF(K4&gt;=L4,"Met","Unmet")))</f>
        <v/>
      </c>
      <c r="N4" s="43" t="str">
        <f>IF($B4=0,"",COUNTIFS('PART III-DEMOGRAPHICS'!$E$17:$E$2010,Data!$G$4,'PART III-DEMOGRAPHICS'!$Q$17:$Q$2010,$A4))</f>
        <v/>
      </c>
      <c r="O4" s="42" t="str">
        <f t="shared" ref="O4:O35" si="4">IF($B4=0,"",$N4/$B4)</f>
        <v/>
      </c>
      <c r="P4" s="42">
        <v>0.1244885705973743</v>
      </c>
      <c r="Q4" s="42" t="str">
        <f t="shared" ref="Q4:Q35" si="5">IF($B4=0,"",(IF(O4&gt;=P4,"Met","Unmet")))</f>
        <v/>
      </c>
      <c r="R4" s="43" t="str">
        <f>IF($B4=0,"",COUNTIFS('PART III-DEMOGRAPHICS'!$E$17:$E$2010,Data!$G$5,'PART III-DEMOGRAPHICS'!$Q$17:$Q$2010,$A4))</f>
        <v/>
      </c>
      <c r="S4" s="42" t="str">
        <f t="shared" ref="S4:S35" si="6">IF($B4=0,"",$R4/$B4)</f>
        <v/>
      </c>
      <c r="T4" s="42">
        <v>1.0863039051232691E-2</v>
      </c>
      <c r="U4" s="42" t="str">
        <f t="shared" ref="U4:U35" si="7">IF($B4=0,"",(IF(S4&gt;=T4,"Met","Unmet")))</f>
        <v/>
      </c>
      <c r="V4" s="43" t="str">
        <f>IF($B4=0,"",COUNTIFS('PART III-DEMOGRAPHICS'!$F$17:$F$2010,"=Yes",'PART III-DEMOGRAPHICS'!$Q$17:$Q$2010,$A4))</f>
        <v/>
      </c>
      <c r="W4" s="42" t="str">
        <f t="shared" ref="W4:W35" si="8">IF($B4=0,"",$V4/$B4)</f>
        <v/>
      </c>
      <c r="X4" s="42">
        <v>0.14554409073371422</v>
      </c>
      <c r="Y4" s="42" t="str">
        <f t="shared" ref="Y4:Y35" si="9">IF($B4=0,"",(IF(W4&gt;=X4,"Met","Unmet")))</f>
        <v/>
      </c>
      <c r="Z4" s="43" t="str">
        <f>IF($B4=0,"",COUNTIFS('PART III-DEMOGRAPHICS'!$E$17:$E$2010,Data!$G$6,'PART III-DEMOGRAPHICS'!$Q$17:$Q$2010,$A4))</f>
        <v/>
      </c>
      <c r="AA4" s="42" t="str">
        <f t="shared" ref="AA4:AA35" si="10">IF($B4=0,"",$Z4/$B4)</f>
        <v/>
      </c>
      <c r="AB4" s="42">
        <v>0.44010885734859317</v>
      </c>
      <c r="AC4" s="42" t="str">
        <f t="shared" ref="AC4:AC35" si="11">IF($B4=0,"",(IF(AA4&gt;=AB4,"Met","Unmet")))</f>
        <v/>
      </c>
      <c r="AD4" s="43" t="str">
        <f>IF($B4=0,"",COUNTIFS('PART III-DEMOGRAPHICS'!$E$17:$E$2010,Data!$G$8,'PART III-DEMOGRAPHICS'!$Q$17:$Q$2010,$A4))</f>
        <v/>
      </c>
      <c r="AE4" s="42" t="str">
        <f t="shared" ref="AE4:AE35" si="12">IF($B4=0,"",$AD4/$B4)</f>
        <v/>
      </c>
      <c r="AF4" s="42">
        <v>1.2171142898997464E-2</v>
      </c>
      <c r="AG4" s="42" t="str">
        <f t="shared" ref="AG4:AG35" si="13">IF($B4=0,"",(IF(AE4&gt;=AF4,"Met","Unmet")))</f>
        <v/>
      </c>
      <c r="AH4" s="43" t="str">
        <f>IF($B4=0,"",COUNTIFS('PART III-DEMOGRAPHICS'!$E$17:$E$2010,Data!$G$7,'PART III-DEMOGRAPHICS'!$Q$17:$Q$2010,$A4))</f>
        <v/>
      </c>
      <c r="AI4" s="42" t="str">
        <f t="shared" ref="AI4:AI35" si="14">IF($B4=0,"",$AH4/$B4)</f>
        <v/>
      </c>
      <c r="AJ4" s="42"/>
      <c r="AK4" s="3" t="str">
        <f>IF($B4=0,"",SUMIF('PART IV-V-SERVICES AND OUTCOMES'!$U$7:$U$2000,$A4,'PART IV-V-SERVICES AND OUTCOMES'!$T$7:$T$2000))</f>
        <v/>
      </c>
      <c r="AL4" s="2" t="e">
        <f t="shared" ref="AL4:AL35" si="15">$AK4/$B4</f>
        <v>#VALUE!</v>
      </c>
    </row>
    <row r="5" spans="1:38">
      <c r="A5" s="3" t="s">
        <v>285</v>
      </c>
      <c r="B5" s="3">
        <f>COUNTIF('PART III-DEMOGRAPHICS'!$Q$17:$Q$2010,A5)</f>
        <v>0</v>
      </c>
      <c r="C5" s="3" t="str" cm="1">
        <f t="array" ref="C5">IF(_xlfn.XLOOKUP('7-OB Report'!$C$2,Data!$C$51:$C$65,_xlfn.XLOOKUP($A5,Data!$F$50:$BM$50,Data!$F$51:$BM$65))=0,"",_xlfn.XLOOKUP('7-OB Report'!$C$2,Data!$C$51:$C$65,_xlfn.XLOOKUP($A5,Data!$F$50:$BM$50,Data!$F$51:$BM$65)))</f>
        <v/>
      </c>
      <c r="D5" s="42" t="str">
        <f t="shared" si="0"/>
        <v/>
      </c>
      <c r="F5" s="3" t="str">
        <f>IF($B5=0,"",COUNTIFS('PART III-DEMOGRAPHICS'!$E$17:$E$2010,Data!$G$2,'PART III-DEMOGRAPHICS'!$Q$17:$Q$2010,$A5))</f>
        <v/>
      </c>
      <c r="G5" s="42" t="str">
        <f t="shared" si="1"/>
        <v/>
      </c>
      <c r="H5" s="42">
        <v>0.11663479923518165</v>
      </c>
      <c r="I5" s="42" t="str">
        <f t="shared" ref="I5:I35" si="16">IF($B5=0,"",(IF(G5&gt;=H5,"Met","Unmet")))</f>
        <v/>
      </c>
      <c r="J5" s="43" t="str">
        <f>IF($B5=0,"",COUNTIFS('PART III-DEMOGRAPHICS'!$E$17:$E$2010,Data!$G$3,'PART III-DEMOGRAPHICS'!$Q$17:$Q$2010,$A5))</f>
        <v/>
      </c>
      <c r="K5" s="42" t="str">
        <f t="shared" si="2"/>
        <v/>
      </c>
      <c r="L5" s="42">
        <v>9.5602294455066923E-3</v>
      </c>
      <c r="M5" s="42" t="str">
        <f t="shared" si="3"/>
        <v/>
      </c>
      <c r="N5" s="43" t="str">
        <f>IF($B5=0,"",COUNTIFS('PART III-DEMOGRAPHICS'!$E$17:$E$2010,Data!$G$4,'PART III-DEMOGRAPHICS'!$Q$17:$Q$2010,$A5))</f>
        <v/>
      </c>
      <c r="O5" s="42" t="str">
        <f t="shared" si="4"/>
        <v/>
      </c>
      <c r="P5" s="42">
        <v>0</v>
      </c>
      <c r="Q5" s="42" t="str">
        <f t="shared" si="5"/>
        <v/>
      </c>
      <c r="R5" s="43" t="str">
        <f>IF($B5=0,"",COUNTIFS('PART III-DEMOGRAPHICS'!$E$17:$E$2010,Data!$G$5,'PART III-DEMOGRAPHICS'!$Q$17:$Q$2010,$A5))</f>
        <v/>
      </c>
      <c r="S5" s="42" t="str">
        <f t="shared" si="6"/>
        <v/>
      </c>
      <c r="T5" s="42">
        <v>0</v>
      </c>
      <c r="U5" s="42" t="str">
        <f t="shared" si="7"/>
        <v/>
      </c>
      <c r="V5" s="43" t="str">
        <f>IF($B5=0,"",COUNTIFS('PART III-DEMOGRAPHICS'!$F$17:$F$2010,"=Yes",'PART III-DEMOGRAPHICS'!$Q$17:$Q$2010,$A5))</f>
        <v/>
      </c>
      <c r="W5" s="42" t="str">
        <f t="shared" si="8"/>
        <v/>
      </c>
      <c r="X5" s="42">
        <v>3.8240917782026769E-2</v>
      </c>
      <c r="Y5" s="42" t="str">
        <f t="shared" si="9"/>
        <v/>
      </c>
      <c r="Z5" s="43" t="str">
        <f>IF($B5=0,"",COUNTIFS('PART III-DEMOGRAPHICS'!$E$17:$E$2010,Data!$G$6,'PART III-DEMOGRAPHICS'!$Q$17:$Q$2010,$A5))</f>
        <v/>
      </c>
      <c r="AA5" s="42" t="str">
        <f t="shared" si="10"/>
        <v/>
      </c>
      <c r="AB5" s="42">
        <v>0.81070745697896751</v>
      </c>
      <c r="AC5" s="42" t="str">
        <f t="shared" si="11"/>
        <v/>
      </c>
      <c r="AD5" s="43" t="str">
        <f>IF($B5=0,"",COUNTIFS('PART III-DEMOGRAPHICS'!$E$17:$E$2010,Data!$G$8,'PART III-DEMOGRAPHICS'!$Q$17:$Q$2010,$A5))</f>
        <v/>
      </c>
      <c r="AE5" s="42" t="str">
        <f t="shared" si="12"/>
        <v/>
      </c>
      <c r="AF5" s="42">
        <v>2.4856596558317401E-2</v>
      </c>
      <c r="AG5" s="42" t="str">
        <f t="shared" si="13"/>
        <v/>
      </c>
      <c r="AH5" s="43" t="str">
        <f>IF($B5=0,"",COUNTIFS('PART III-DEMOGRAPHICS'!$E$17:$E$2010,Data!$G$7,'PART III-DEMOGRAPHICS'!$Q$17:$Q$2010,$A5))</f>
        <v/>
      </c>
      <c r="AI5" s="42" t="str">
        <f t="shared" si="14"/>
        <v/>
      </c>
      <c r="AJ5" s="42"/>
      <c r="AK5" s="3" t="str">
        <f>IF($B5=0,"",SUMIF('PART IV-V-SERVICES AND OUTCOMES'!$U$7:$U$2000,$A5,'PART IV-V-SERVICES AND OUTCOMES'!$T$7:$T$2000))</f>
        <v/>
      </c>
      <c r="AL5" s="2" t="e">
        <f t="shared" si="15"/>
        <v>#VALUE!</v>
      </c>
    </row>
    <row r="6" spans="1:38" ht="18" customHeight="1">
      <c r="A6" s="3" t="s">
        <v>286</v>
      </c>
      <c r="B6" s="3">
        <f>COUNTIF('PART III-DEMOGRAPHICS'!$Q$17:$Q$2010,A6)</f>
        <v>0</v>
      </c>
      <c r="C6" s="3" cm="1">
        <f t="array" ref="C6">IF(_xlfn.XLOOKUP('7-OB Report'!$C$2,Data!$C$51:$C$65,_xlfn.XLOOKUP($A6,Data!$F$50:$BM$50,Data!$F$51:$BM$65))=0,"",_xlfn.XLOOKUP('7-OB Report'!$C$2,Data!$C$51:$C$65,_xlfn.XLOOKUP($A6,Data!$F$50:$BM$50,Data!$F$51:$BM$65)))</f>
        <v>3</v>
      </c>
      <c r="D6" s="42">
        <f t="shared" si="0"/>
        <v>0</v>
      </c>
      <c r="F6" s="3" t="str">
        <f>IF($B6=0,"",COUNTIFS('PART III-DEMOGRAPHICS'!$E$17:$E$2010,Data!$G$2,'PART III-DEMOGRAPHICS'!$Q$17:$Q$2010,$A6))</f>
        <v/>
      </c>
      <c r="G6" s="42" t="str">
        <f t="shared" si="1"/>
        <v/>
      </c>
      <c r="H6" s="42">
        <v>1.1215588535176164E-2</v>
      </c>
      <c r="I6" s="42" t="str">
        <f t="shared" si="16"/>
        <v/>
      </c>
      <c r="J6" s="43" t="str">
        <f>IF($B6=0,"",COUNTIFS('PART III-DEMOGRAPHICS'!$E$17:$E$2010,Data!$G$3,'PART III-DEMOGRAPHICS'!$Q$17:$Q$2010,$A6))</f>
        <v/>
      </c>
      <c r="K6" s="42" t="str">
        <f t="shared" si="2"/>
        <v/>
      </c>
      <c r="L6" s="42">
        <v>9.6295457120199393E-3</v>
      </c>
      <c r="M6" s="42" t="str">
        <f t="shared" si="3"/>
        <v/>
      </c>
      <c r="N6" s="43" t="str">
        <f>IF($B6=0,"",COUNTIFS('PART III-DEMOGRAPHICS'!$E$17:$E$2010,Data!$G$4,'PART III-DEMOGRAPHICS'!$Q$17:$Q$2010,$A6))</f>
        <v/>
      </c>
      <c r="O6" s="42" t="str">
        <f t="shared" si="4"/>
        <v/>
      </c>
      <c r="P6" s="42">
        <v>1.8636003172085646E-2</v>
      </c>
      <c r="Q6" s="42" t="str">
        <f t="shared" si="5"/>
        <v/>
      </c>
      <c r="R6" s="43" t="str">
        <f>IF($B6=0,"",COUNTIFS('PART III-DEMOGRAPHICS'!$E$17:$E$2010,Data!$G$5,'PART III-DEMOGRAPHICS'!$Q$17:$Q$2010,$A6))</f>
        <v/>
      </c>
      <c r="S6" s="42" t="str">
        <f t="shared" si="6"/>
        <v/>
      </c>
      <c r="T6" s="42">
        <v>1.5860428231562252E-3</v>
      </c>
      <c r="U6" s="42" t="str">
        <f t="shared" si="7"/>
        <v/>
      </c>
      <c r="V6" s="43" t="str">
        <f>IF($B6=0,"",COUNTIFS('PART III-DEMOGRAPHICS'!$F$17:$F$2010,"=Yes",'PART III-DEMOGRAPHICS'!$Q$17:$Q$2010,$A6))</f>
        <v/>
      </c>
      <c r="W6" s="42" t="str">
        <f t="shared" si="8"/>
        <v/>
      </c>
      <c r="X6" s="42">
        <v>8.0944828367508784E-2</v>
      </c>
      <c r="Y6" s="42" t="str">
        <f t="shared" si="9"/>
        <v/>
      </c>
      <c r="Z6" s="43" t="str">
        <f>IF($B6=0,"",COUNTIFS('PART III-DEMOGRAPHICS'!$E$17:$E$2010,Data!$G$6,'PART III-DEMOGRAPHICS'!$Q$17:$Q$2010,$A6))</f>
        <v/>
      </c>
      <c r="AA6" s="42" t="str">
        <f t="shared" si="10"/>
        <v/>
      </c>
      <c r="AB6" s="42">
        <v>0.86309051772969303</v>
      </c>
      <c r="AC6" s="42" t="str">
        <f t="shared" si="11"/>
        <v/>
      </c>
      <c r="AD6" s="43" t="str">
        <f>IF($B6=0,"",COUNTIFS('PART III-DEMOGRAPHICS'!$E$17:$E$2010,Data!$G$8,'PART III-DEMOGRAPHICS'!$Q$17:$Q$2010,$A6))</f>
        <v/>
      </c>
      <c r="AE6" s="42" t="str">
        <f t="shared" si="12"/>
        <v/>
      </c>
      <c r="AF6" s="42">
        <v>1.4897473660360259E-2</v>
      </c>
      <c r="AG6" s="42" t="str">
        <f t="shared" si="13"/>
        <v/>
      </c>
      <c r="AH6" s="43" t="str">
        <f>IF($B6=0,"",COUNTIFS('PART III-DEMOGRAPHICS'!$E$17:$E$2010,Data!$G$7,'PART III-DEMOGRAPHICS'!$Q$17:$Q$2010,$A6))</f>
        <v/>
      </c>
      <c r="AI6" s="42" t="str">
        <f t="shared" si="14"/>
        <v/>
      </c>
      <c r="AJ6" s="42"/>
      <c r="AK6" s="3" t="str">
        <f>IF($B6=0,"",SUMIF('PART IV-V-SERVICES AND OUTCOMES'!$U$7:$U$2000,$A6,'PART IV-V-SERVICES AND OUTCOMES'!$T$7:$T$2000))</f>
        <v/>
      </c>
      <c r="AL6" s="2" t="e">
        <f t="shared" si="15"/>
        <v>#VALUE!</v>
      </c>
    </row>
    <row r="7" spans="1:38" ht="18" customHeight="1">
      <c r="A7" s="3" t="s">
        <v>287</v>
      </c>
      <c r="B7" s="3">
        <f>COUNTIF('PART III-DEMOGRAPHICS'!$Q$17:$Q$2010,A7)</f>
        <v>0</v>
      </c>
      <c r="C7" s="3" cm="1">
        <f t="array" ref="C7">IF(_xlfn.XLOOKUP('7-OB Report'!$C$2,Data!$C$51:$C$65,_xlfn.XLOOKUP($A7,Data!$F$50:$BM$50,Data!$F$51:$BM$65))=0,"",_xlfn.XLOOKUP('7-OB Report'!$C$2,Data!$C$51:$C$65,_xlfn.XLOOKUP($A7,Data!$F$50:$BM$50,Data!$F$51:$BM$65)))</f>
        <v>16</v>
      </c>
      <c r="D7" s="42">
        <f t="shared" si="0"/>
        <v>0</v>
      </c>
      <c r="F7" s="3" t="str">
        <f>IF($B7=0,"",COUNTIFS('PART III-DEMOGRAPHICS'!$E$17:$E$2010,Data!$G$2,'PART III-DEMOGRAPHICS'!$Q$17:$Q$2010,$A7))</f>
        <v/>
      </c>
      <c r="G7" s="42" t="str">
        <f t="shared" si="1"/>
        <v/>
      </c>
      <c r="H7" s="42">
        <v>1.3065768273033544E-2</v>
      </c>
      <c r="I7" s="42" t="str">
        <f t="shared" si="16"/>
        <v/>
      </c>
      <c r="J7" s="43" t="str">
        <f>IF($B7=0,"",COUNTIFS('PART III-DEMOGRAPHICS'!$E$17:$E$2010,Data!$G$3,'PART III-DEMOGRAPHICS'!$Q$17:$Q$2010,$A7))</f>
        <v/>
      </c>
      <c r="K7" s="42" t="str">
        <f t="shared" si="2"/>
        <v/>
      </c>
      <c r="L7" s="42">
        <v>2.4315218983448073E-2</v>
      </c>
      <c r="M7" s="42" t="str">
        <f t="shared" si="3"/>
        <v/>
      </c>
      <c r="N7" s="43" t="str">
        <f>IF($B7=0,"",COUNTIFS('PART III-DEMOGRAPHICS'!$E$17:$E$2010,Data!$G$4,'PART III-DEMOGRAPHICS'!$Q$17:$Q$2010,$A7))</f>
        <v/>
      </c>
      <c r="O7" s="42" t="str">
        <f t="shared" si="4"/>
        <v/>
      </c>
      <c r="P7" s="42">
        <v>1.208437088032811E-2</v>
      </c>
      <c r="Q7" s="42" t="str">
        <f t="shared" si="5"/>
        <v/>
      </c>
      <c r="R7" s="43" t="str">
        <f>IF($B7=0,"",COUNTIFS('PART III-DEMOGRAPHICS'!$E$17:$E$2010,Data!$G$5,'PART III-DEMOGRAPHICS'!$Q$17:$Q$2010,$A7))</f>
        <v/>
      </c>
      <c r="S7" s="42" t="str">
        <f t="shared" si="6"/>
        <v/>
      </c>
      <c r="T7" s="42">
        <v>1.5526585615936721E-3</v>
      </c>
      <c r="U7" s="42" t="str">
        <f t="shared" si="7"/>
        <v/>
      </c>
      <c r="V7" s="43" t="str">
        <f>IF($B7=0,"",COUNTIFS('PART III-DEMOGRAPHICS'!$F$17:$F$2010,"=Yes",'PART III-DEMOGRAPHICS'!$Q$17:$Q$2010,$A7))</f>
        <v/>
      </c>
      <c r="W7" s="42" t="str">
        <f t="shared" si="8"/>
        <v/>
      </c>
      <c r="X7" s="42">
        <v>9.028856012889995E-2</v>
      </c>
      <c r="Y7" s="42" t="str">
        <f t="shared" si="9"/>
        <v/>
      </c>
      <c r="Z7" s="43" t="str">
        <f>IF($B7=0,"",COUNTIFS('PART III-DEMOGRAPHICS'!$E$17:$E$2010,Data!$G$6,'PART III-DEMOGRAPHICS'!$Q$17:$Q$2010,$A7))</f>
        <v/>
      </c>
      <c r="AA7" s="42" t="str">
        <f t="shared" si="10"/>
        <v/>
      </c>
      <c r="AB7" s="42">
        <v>0.84486597334114544</v>
      </c>
      <c r="AC7" s="42" t="str">
        <f t="shared" si="11"/>
        <v/>
      </c>
      <c r="AD7" s="43" t="str">
        <f>IF($B7=0,"",COUNTIFS('PART III-DEMOGRAPHICS'!$E$17:$E$2010,Data!$G$8,'PART III-DEMOGRAPHICS'!$Q$17:$Q$2010,$A7))</f>
        <v/>
      </c>
      <c r="AE7" s="42" t="str">
        <f t="shared" si="12"/>
        <v/>
      </c>
      <c r="AF7" s="42">
        <v>1.3827449831551195E-2</v>
      </c>
      <c r="AG7" s="42" t="str">
        <f t="shared" si="13"/>
        <v/>
      </c>
      <c r="AH7" s="43" t="str">
        <f>IF($B7=0,"",COUNTIFS('PART III-DEMOGRAPHICS'!$E$17:$E$2010,Data!$G$7,'PART III-DEMOGRAPHICS'!$Q$17:$Q$2010,$A7))</f>
        <v/>
      </c>
      <c r="AI7" s="42" t="str">
        <f t="shared" si="14"/>
        <v/>
      </c>
      <c r="AJ7" s="42"/>
      <c r="AK7" s="3" t="str">
        <f>IF($B7=0,"",SUMIF('PART IV-V-SERVICES AND OUTCOMES'!$U$7:$U$2000,$A7,'PART IV-V-SERVICES AND OUTCOMES'!$T$7:$T$2000))</f>
        <v/>
      </c>
      <c r="AL7" s="2" t="e">
        <f t="shared" si="15"/>
        <v>#VALUE!</v>
      </c>
    </row>
    <row r="8" spans="1:38">
      <c r="A8" s="3" t="s">
        <v>288</v>
      </c>
      <c r="B8" s="3">
        <f>COUNTIF('PART III-DEMOGRAPHICS'!$Q$17:$Q$2010,A8)</f>
        <v>0</v>
      </c>
      <c r="C8" s="3" cm="1">
        <f t="array" ref="C8">IF(_xlfn.XLOOKUP('7-OB Report'!$C$2,Data!$C$51:$C$65,_xlfn.XLOOKUP($A8,Data!$F$50:$BM$50,Data!$F$51:$BM$65))=0,"",_xlfn.XLOOKUP('7-OB Report'!$C$2,Data!$C$51:$C$65,_xlfn.XLOOKUP($A8,Data!$F$50:$BM$50,Data!$F$51:$BM$65)))</f>
        <v>5</v>
      </c>
      <c r="D8" s="42">
        <f t="shared" si="0"/>
        <v>0</v>
      </c>
      <c r="F8" s="3" t="str">
        <f>IF($B8=0,"",COUNTIFS('PART III-DEMOGRAPHICS'!$E$17:$E$2010,Data!$G$2,'PART III-DEMOGRAPHICS'!$Q$17:$Q$2010,$A8))</f>
        <v/>
      </c>
      <c r="G8" s="42" t="str">
        <f t="shared" si="1"/>
        <v/>
      </c>
      <c r="H8" s="42">
        <v>1.0425096396439282E-2</v>
      </c>
      <c r="I8" s="42" t="str">
        <f t="shared" si="16"/>
        <v/>
      </c>
      <c r="J8" s="43" t="str">
        <f>IF($B8=0,"",COUNTIFS('PART III-DEMOGRAPHICS'!$E$17:$E$2010,Data!$G$3,'PART III-DEMOGRAPHICS'!$Q$17:$Q$2010,$A8))</f>
        <v/>
      </c>
      <c r="K8" s="42" t="str">
        <f t="shared" si="2"/>
        <v/>
      </c>
      <c r="L8" s="42">
        <v>1.0377493216546865E-2</v>
      </c>
      <c r="M8" s="42" t="str">
        <f t="shared" si="3"/>
        <v/>
      </c>
      <c r="N8" s="43" t="str">
        <f>IF($B8=0,"",COUNTIFS('PART III-DEMOGRAPHICS'!$E$17:$E$2010,Data!$G$4,'PART III-DEMOGRAPHICS'!$Q$17:$Q$2010,$A8))</f>
        <v/>
      </c>
      <c r="O8" s="42" t="str">
        <f t="shared" si="4"/>
        <v/>
      </c>
      <c r="P8" s="42">
        <v>4.8555243490265151E-3</v>
      </c>
      <c r="Q8" s="42" t="str">
        <f t="shared" si="5"/>
        <v/>
      </c>
      <c r="R8" s="43" t="str">
        <f>IF($B8=0,"",COUNTIFS('PART III-DEMOGRAPHICS'!$E$17:$E$2010,Data!$G$5,'PART III-DEMOGRAPHICS'!$Q$17:$Q$2010,$A8))</f>
        <v/>
      </c>
      <c r="S8" s="42" t="str">
        <f t="shared" si="6"/>
        <v/>
      </c>
      <c r="T8" s="42">
        <v>1.4280953967725045E-3</v>
      </c>
      <c r="U8" s="42" t="str">
        <f t="shared" si="7"/>
        <v/>
      </c>
      <c r="V8" s="43" t="str">
        <f>IF($B8=0,"",COUNTIFS('PART III-DEMOGRAPHICS'!$F$17:$F$2010,"=Yes",'PART III-DEMOGRAPHICS'!$Q$17:$Q$2010,$A8))</f>
        <v/>
      </c>
      <c r="W8" s="42" t="str">
        <f t="shared" si="8"/>
        <v/>
      </c>
      <c r="X8" s="42">
        <v>7.2309230256581133E-2</v>
      </c>
      <c r="Y8" s="42" t="str">
        <f t="shared" si="9"/>
        <v/>
      </c>
      <c r="Z8" s="43" t="str">
        <f>IF($B8=0,"",COUNTIFS('PART III-DEMOGRAPHICS'!$E$17:$E$2010,Data!$G$6,'PART III-DEMOGRAPHICS'!$Q$17:$Q$2010,$A8))</f>
        <v/>
      </c>
      <c r="AA8" s="42" t="str">
        <f t="shared" si="10"/>
        <v/>
      </c>
      <c r="AB8" s="42">
        <v>0.88565716189841481</v>
      </c>
      <c r="AC8" s="42" t="str">
        <f t="shared" si="11"/>
        <v/>
      </c>
      <c r="AD8" s="43" t="str">
        <f>IF($B8=0,"",COUNTIFS('PART III-DEMOGRAPHICS'!$E$17:$E$2010,Data!$G$8,'PART III-DEMOGRAPHICS'!$Q$17:$Q$2010,$A8))</f>
        <v/>
      </c>
      <c r="AE8" s="42" t="str">
        <f t="shared" si="12"/>
        <v/>
      </c>
      <c r="AF8" s="42">
        <v>1.494739848621888E-2</v>
      </c>
      <c r="AG8" s="42" t="str">
        <f t="shared" si="13"/>
        <v/>
      </c>
      <c r="AH8" s="43" t="str">
        <f>IF($B8=0,"",COUNTIFS('PART III-DEMOGRAPHICS'!$E$17:$E$2010,Data!$G$7,'PART III-DEMOGRAPHICS'!$Q$17:$Q$2010,$A8))</f>
        <v/>
      </c>
      <c r="AI8" s="42" t="str">
        <f t="shared" si="14"/>
        <v/>
      </c>
      <c r="AJ8" s="42"/>
      <c r="AK8" s="3" t="str">
        <f>IF($B8=0,"",SUMIF('PART IV-V-SERVICES AND OUTCOMES'!$U$7:$U$2000,$A8,'PART IV-V-SERVICES AND OUTCOMES'!$T$7:$T$2000))</f>
        <v/>
      </c>
      <c r="AL8" s="2" t="e">
        <f t="shared" si="15"/>
        <v>#VALUE!</v>
      </c>
    </row>
    <row r="9" spans="1:38">
      <c r="A9" s="3" t="s">
        <v>289</v>
      </c>
      <c r="B9" s="3">
        <f>COUNTIF('PART III-DEMOGRAPHICS'!$Q$17:$Q$2010,A9)</f>
        <v>0</v>
      </c>
      <c r="C9" s="3" t="str" cm="1">
        <f t="array" ref="C9">IF(_xlfn.XLOOKUP('7-OB Report'!$C$2,Data!$C$51:$C$65,_xlfn.XLOOKUP($A9,Data!$F$50:$BM$50,Data!$F$51:$BM$65))=0,"",_xlfn.XLOOKUP('7-OB Report'!$C$2,Data!$C$51:$C$65,_xlfn.XLOOKUP($A9,Data!$F$50:$BM$50,Data!$F$51:$BM$65)))</f>
        <v/>
      </c>
      <c r="D9" s="42" t="str">
        <f t="shared" si="0"/>
        <v/>
      </c>
      <c r="F9" s="3" t="str">
        <f>IF($B9=0,"",COUNTIFS('PART III-DEMOGRAPHICS'!$E$17:$E$2010,Data!$G$2,'PART III-DEMOGRAPHICS'!$Q$17:$Q$2010,$A9))</f>
        <v/>
      </c>
      <c r="G9" s="42" t="str">
        <f t="shared" si="1"/>
        <v/>
      </c>
      <c r="H9" s="42">
        <v>1.708196207490989E-2</v>
      </c>
      <c r="I9" s="42" t="str">
        <f t="shared" si="16"/>
        <v/>
      </c>
      <c r="J9" s="43" t="str">
        <f>IF($B9=0,"",COUNTIFS('PART III-DEMOGRAPHICS'!$E$17:$E$2010,Data!$G$3,'PART III-DEMOGRAPHICS'!$Q$17:$Q$2010,$A9))</f>
        <v/>
      </c>
      <c r="K9" s="42" t="str">
        <f t="shared" si="2"/>
        <v/>
      </c>
      <c r="L9" s="42">
        <v>1.6455101081335213E-2</v>
      </c>
      <c r="M9" s="42" t="str">
        <f t="shared" si="3"/>
        <v/>
      </c>
      <c r="N9" s="43" t="str">
        <f>IF($B9=0,"",COUNTIFS('PART III-DEMOGRAPHICS'!$E$17:$E$2010,Data!$G$4,'PART III-DEMOGRAPHICS'!$Q$17:$Q$2010,$A9))</f>
        <v/>
      </c>
      <c r="O9" s="42" t="str">
        <f t="shared" si="4"/>
        <v/>
      </c>
      <c r="P9" s="42">
        <v>9.7163454004074602E-3</v>
      </c>
      <c r="Q9" s="42" t="str">
        <f t="shared" si="5"/>
        <v/>
      </c>
      <c r="R9" s="43" t="str">
        <f>IF($B9=0,"",COUNTIFS('PART III-DEMOGRAPHICS'!$E$17:$E$2010,Data!$G$5,'PART III-DEMOGRAPHICS'!$Q$17:$Q$2010,$A9))</f>
        <v/>
      </c>
      <c r="S9" s="42" t="str">
        <f t="shared" si="6"/>
        <v/>
      </c>
      <c r="T9" s="42">
        <v>3.9178812098417176E-3</v>
      </c>
      <c r="U9" s="42" t="str">
        <f t="shared" si="7"/>
        <v/>
      </c>
      <c r="V9" s="43" t="str">
        <f>IF($B9=0,"",COUNTIFS('PART III-DEMOGRAPHICS'!$F$17:$F$2010,"=Yes",'PART III-DEMOGRAPHICS'!$Q$17:$Q$2010,$A9))</f>
        <v/>
      </c>
      <c r="W9" s="42" t="str">
        <f t="shared" si="8"/>
        <v/>
      </c>
      <c r="X9" s="42">
        <v>0.34978843441466856</v>
      </c>
      <c r="Y9" s="42" t="str">
        <f t="shared" si="9"/>
        <v/>
      </c>
      <c r="Z9" s="43" t="str">
        <f>IF($B9=0,"",COUNTIFS('PART III-DEMOGRAPHICS'!$E$17:$E$2010,Data!$G$6,'PART III-DEMOGRAPHICS'!$Q$17:$Q$2010,$A9))</f>
        <v/>
      </c>
      <c r="AA9" s="42" t="str">
        <f t="shared" si="10"/>
        <v/>
      </c>
      <c r="AB9" s="42">
        <v>0.59207020843128033</v>
      </c>
      <c r="AC9" s="42" t="str">
        <f t="shared" si="11"/>
        <v/>
      </c>
      <c r="AD9" s="43" t="str">
        <f>IF($B9=0,"",COUNTIFS('PART III-DEMOGRAPHICS'!$E$17:$E$2010,Data!$G$8,'PART III-DEMOGRAPHICS'!$Q$17:$Q$2010,$A9))</f>
        <v/>
      </c>
      <c r="AE9" s="42" t="str">
        <f t="shared" si="12"/>
        <v/>
      </c>
      <c r="AF9" s="42">
        <v>1.097006738755681E-2</v>
      </c>
      <c r="AG9" s="42" t="str">
        <f t="shared" si="13"/>
        <v/>
      </c>
      <c r="AH9" s="43" t="str">
        <f>IF($B9=0,"",COUNTIFS('PART III-DEMOGRAPHICS'!$E$17:$E$2010,Data!$G$7,'PART III-DEMOGRAPHICS'!$Q$17:$Q$2010,$A9))</f>
        <v/>
      </c>
      <c r="AI9" s="42" t="str">
        <f t="shared" si="14"/>
        <v/>
      </c>
      <c r="AJ9" s="42"/>
      <c r="AK9" s="3" t="str">
        <f>IF($B9=0,"",SUMIF('PART IV-V-SERVICES AND OUTCOMES'!$U$7:$U$2000,$A9,'PART IV-V-SERVICES AND OUTCOMES'!$T$7:$T$2000))</f>
        <v/>
      </c>
      <c r="AL9" s="2" t="e">
        <f t="shared" si="15"/>
        <v>#VALUE!</v>
      </c>
    </row>
    <row r="10" spans="1:38">
      <c r="A10" s="3" t="s">
        <v>290</v>
      </c>
      <c r="B10" s="3">
        <f>COUNTIF('PART III-DEMOGRAPHICS'!$Q$17:$Q$2010,A10)</f>
        <v>0</v>
      </c>
      <c r="C10" s="3" t="str" cm="1">
        <f t="array" ref="C10">IF(_xlfn.XLOOKUP('7-OB Report'!$C$2,Data!$C$51:$C$65,_xlfn.XLOOKUP($A10,Data!$F$50:$BM$50,Data!$F$51:$BM$65))=0,"",_xlfn.XLOOKUP('7-OB Report'!$C$2,Data!$C$51:$C$65,_xlfn.XLOOKUP($A10,Data!$F$50:$BM$50,Data!$F$51:$BM$65)))</f>
        <v/>
      </c>
      <c r="D10" s="42" t="str">
        <f t="shared" si="0"/>
        <v/>
      </c>
      <c r="F10" s="3" t="str">
        <f>IF($B10=0,"",COUNTIFS('PART III-DEMOGRAPHICS'!$E$17:$E$2010,Data!$G$2,'PART III-DEMOGRAPHICS'!$Q$17:$Q$2010,$A10))</f>
        <v/>
      </c>
      <c r="G10" s="42" t="str">
        <f t="shared" si="1"/>
        <v/>
      </c>
      <c r="H10" s="42">
        <v>3.3050999983638119E-3</v>
      </c>
      <c r="I10" s="42" t="str">
        <f t="shared" si="16"/>
        <v/>
      </c>
      <c r="J10" s="43" t="str">
        <f>IF($B10=0,"",COUNTIFS('PART III-DEMOGRAPHICS'!$E$17:$E$2010,Data!$G$3,'PART III-DEMOGRAPHICS'!$Q$17:$Q$2010,$A10))</f>
        <v/>
      </c>
      <c r="K10" s="42" t="str">
        <f t="shared" si="2"/>
        <v/>
      </c>
      <c r="L10" s="42">
        <v>0.15542969026958925</v>
      </c>
      <c r="M10" s="42" t="str">
        <f t="shared" si="3"/>
        <v/>
      </c>
      <c r="N10" s="43" t="str">
        <f>IF($B10=0,"",COUNTIFS('PART III-DEMOGRAPHICS'!$E$17:$E$2010,Data!$G$4,'PART III-DEMOGRAPHICS'!$Q$17:$Q$2010,$A10))</f>
        <v/>
      </c>
      <c r="O10" s="42" t="str">
        <f t="shared" si="4"/>
        <v/>
      </c>
      <c r="P10" s="42">
        <v>8.1146749712303595E-2</v>
      </c>
      <c r="Q10" s="42" t="str">
        <f t="shared" si="5"/>
        <v/>
      </c>
      <c r="R10" s="43" t="str">
        <f>IF($B10=0,"",COUNTIFS('PART III-DEMOGRAPHICS'!$E$17:$E$2010,Data!$G$5,'PART III-DEMOGRAPHICS'!$Q$17:$Q$2010,$A10))</f>
        <v/>
      </c>
      <c r="S10" s="42" t="str">
        <f t="shared" si="6"/>
        <v/>
      </c>
      <c r="T10" s="42">
        <v>3.9241245030078595E-3</v>
      </c>
      <c r="U10" s="42" t="str">
        <f t="shared" si="7"/>
        <v/>
      </c>
      <c r="V10" s="43" t="str">
        <f>IF($B10=0,"",COUNTIFS('PART III-DEMOGRAPHICS'!$F$17:$F$2010,"=Yes",'PART III-DEMOGRAPHICS'!$Q$17:$Q$2010,$A10))</f>
        <v/>
      </c>
      <c r="W10" s="42" t="str">
        <f t="shared" si="8"/>
        <v/>
      </c>
      <c r="X10" s="42">
        <v>0.14350733284974884</v>
      </c>
      <c r="Y10" s="42" t="str">
        <f t="shared" si="9"/>
        <v/>
      </c>
      <c r="Z10" s="43" t="str">
        <f>IF($B10=0,"",COUNTIFS('PART III-DEMOGRAPHICS'!$E$17:$E$2010,Data!$G$6,'PART III-DEMOGRAPHICS'!$Q$17:$Q$2010,$A10))</f>
        <v/>
      </c>
      <c r="AA10" s="42" t="str">
        <f t="shared" si="10"/>
        <v/>
      </c>
      <c r="AB10" s="42">
        <v>0.60091190217776635</v>
      </c>
      <c r="AC10" s="42" t="str">
        <f t="shared" si="11"/>
        <v/>
      </c>
      <c r="AD10" s="43" t="str">
        <f>IF($B10=0,"",COUNTIFS('PART III-DEMOGRAPHICS'!$E$17:$E$2010,Data!$G$8,'PART III-DEMOGRAPHICS'!$Q$17:$Q$2010,$A10))</f>
        <v/>
      </c>
      <c r="AE10" s="42" t="str">
        <f t="shared" si="12"/>
        <v/>
      </c>
      <c r="AF10" s="42">
        <v>1.1775100489220248E-2</v>
      </c>
      <c r="AG10" s="42" t="str">
        <f t="shared" si="13"/>
        <v/>
      </c>
      <c r="AH10" s="43" t="str">
        <f>IF($B10=0,"",COUNTIFS('PART III-DEMOGRAPHICS'!$E$17:$E$2010,Data!$G$7,'PART III-DEMOGRAPHICS'!$Q$17:$Q$2010,$A10))</f>
        <v/>
      </c>
      <c r="AI10" s="42" t="str">
        <f t="shared" si="14"/>
        <v/>
      </c>
      <c r="AJ10" s="42"/>
      <c r="AK10" s="3" t="str">
        <f>IF($B10=0,"",SUMIF('PART IV-V-SERVICES AND OUTCOMES'!$U$7:$U$2000,$A10,'PART IV-V-SERVICES AND OUTCOMES'!$T$7:$T$2000))</f>
        <v/>
      </c>
      <c r="AL10" s="2" t="e">
        <f t="shared" si="15"/>
        <v>#VALUE!</v>
      </c>
    </row>
    <row r="11" spans="1:38">
      <c r="A11" s="3" t="s">
        <v>291</v>
      </c>
      <c r="B11" s="3">
        <f>COUNTIF('PART III-DEMOGRAPHICS'!$Q$17:$Q$2010,A11)</f>
        <v>0</v>
      </c>
      <c r="C11" s="3" t="str" cm="1">
        <f t="array" ref="C11">IF(_xlfn.XLOOKUP('7-OB Report'!$C$2,Data!$C$51:$C$65,_xlfn.XLOOKUP($A11,Data!$F$50:$BM$50,Data!$F$51:$BM$65))=0,"",_xlfn.XLOOKUP('7-OB Report'!$C$2,Data!$C$51:$C$65,_xlfn.XLOOKUP($A11,Data!$F$50:$BM$50,Data!$F$51:$BM$65)))</f>
        <v/>
      </c>
      <c r="D11" s="42" t="str">
        <f t="shared" si="0"/>
        <v/>
      </c>
      <c r="F11" s="3" t="str">
        <f>IF($B11=0,"",COUNTIFS('PART III-DEMOGRAPHICS'!$E$17:$E$2010,Data!$G$2,'PART III-DEMOGRAPHICS'!$Q$17:$Q$2010,$A11))</f>
        <v/>
      </c>
      <c r="G11" s="42" t="str">
        <f t="shared" si="1"/>
        <v/>
      </c>
      <c r="H11" s="42">
        <v>4.8165385864271028E-2</v>
      </c>
      <c r="I11" s="42" t="str">
        <f t="shared" si="16"/>
        <v/>
      </c>
      <c r="J11" s="43" t="str">
        <f>IF($B11=0,"",COUNTIFS('PART III-DEMOGRAPHICS'!$E$17:$E$2010,Data!$G$3,'PART III-DEMOGRAPHICS'!$Q$17:$Q$2010,$A11))</f>
        <v/>
      </c>
      <c r="K11" s="42" t="str">
        <f t="shared" si="2"/>
        <v/>
      </c>
      <c r="L11" s="42">
        <v>2.3703864054551358E-2</v>
      </c>
      <c r="M11" s="42" t="str">
        <f t="shared" si="3"/>
        <v/>
      </c>
      <c r="N11" s="43" t="str">
        <f>IF($B11=0,"",COUNTIFS('PART III-DEMOGRAPHICS'!$E$17:$E$2010,Data!$G$4,'PART III-DEMOGRAPHICS'!$Q$17:$Q$2010,$A11))</f>
        <v/>
      </c>
      <c r="O11" s="42" t="str">
        <f t="shared" si="4"/>
        <v/>
      </c>
      <c r="P11" s="42">
        <v>2.381210087671826E-2</v>
      </c>
      <c r="Q11" s="42" t="str">
        <f t="shared" si="5"/>
        <v/>
      </c>
      <c r="R11" s="43" t="str">
        <f>IF($B11=0,"",COUNTIFS('PART III-DEMOGRAPHICS'!$E$17:$E$2010,Data!$G$5,'PART III-DEMOGRAPHICS'!$Q$17:$Q$2010,$A11))</f>
        <v/>
      </c>
      <c r="S11" s="42" t="str">
        <f t="shared" si="6"/>
        <v/>
      </c>
      <c r="T11" s="42">
        <v>1.5153155103366164E-3</v>
      </c>
      <c r="U11" s="42" t="str">
        <f t="shared" si="7"/>
        <v/>
      </c>
      <c r="V11" s="43" t="str">
        <f>IF($B11=0,"",COUNTIFS('PART III-DEMOGRAPHICS'!$F$17:$F$2010,"=Yes",'PART III-DEMOGRAPHICS'!$Q$17:$Q$2010,$A11))</f>
        <v/>
      </c>
      <c r="W11" s="42" t="str">
        <f t="shared" si="8"/>
        <v/>
      </c>
      <c r="X11" s="42">
        <v>9.3300140707868823E-2</v>
      </c>
      <c r="Y11" s="42" t="str">
        <f t="shared" si="9"/>
        <v/>
      </c>
      <c r="Z11" s="43" t="str">
        <f>IF($B11=0,"",COUNTIFS('PART III-DEMOGRAPHICS'!$E$17:$E$2010,Data!$G$6,'PART III-DEMOGRAPHICS'!$Q$17:$Q$2010,$A11))</f>
        <v/>
      </c>
      <c r="AA11" s="42" t="str">
        <f t="shared" si="10"/>
        <v/>
      </c>
      <c r="AB11" s="42">
        <v>0.78958761770754415</v>
      </c>
      <c r="AC11" s="42" t="str">
        <f t="shared" si="11"/>
        <v/>
      </c>
      <c r="AD11" s="43" t="str">
        <f>IF($B11=0,"",COUNTIFS('PART III-DEMOGRAPHICS'!$E$17:$E$2010,Data!$G$8,'PART III-DEMOGRAPHICS'!$Q$17:$Q$2010,$A11))</f>
        <v/>
      </c>
      <c r="AE11" s="42" t="str">
        <f t="shared" si="12"/>
        <v/>
      </c>
      <c r="AF11" s="42">
        <v>1.9915575278709817E-2</v>
      </c>
      <c r="AG11" s="42" t="str">
        <f t="shared" si="13"/>
        <v/>
      </c>
      <c r="AH11" s="43" t="str">
        <f>IF($B11=0,"",COUNTIFS('PART III-DEMOGRAPHICS'!$E$17:$E$2010,Data!$G$7,'PART III-DEMOGRAPHICS'!$Q$17:$Q$2010,$A11))</f>
        <v/>
      </c>
      <c r="AI11" s="42" t="str">
        <f t="shared" si="14"/>
        <v/>
      </c>
      <c r="AJ11" s="42"/>
      <c r="AK11" s="3" t="str">
        <f>IF($B11=0,"",SUMIF('PART IV-V-SERVICES AND OUTCOMES'!$U$7:$U$2000,$A11,'PART IV-V-SERVICES AND OUTCOMES'!$T$7:$T$2000))</f>
        <v/>
      </c>
      <c r="AL11" s="2" t="e">
        <f t="shared" si="15"/>
        <v>#VALUE!</v>
      </c>
    </row>
    <row r="12" spans="1:38" ht="18" customHeight="1">
      <c r="A12" s="3" t="s">
        <v>292</v>
      </c>
      <c r="B12" s="3">
        <f>COUNTIF('PART III-DEMOGRAPHICS'!$Q$17:$Q$2010,A12)</f>
        <v>0</v>
      </c>
      <c r="C12" s="3" cm="1">
        <f t="array" ref="C12">IF(_xlfn.XLOOKUP('7-OB Report'!$C$2,Data!$C$51:$C$65,_xlfn.XLOOKUP($A12,Data!$F$50:$BM$50,Data!$F$51:$BM$65))=0,"",_xlfn.XLOOKUP('7-OB Report'!$C$2,Data!$C$51:$C$65,_xlfn.XLOOKUP($A12,Data!$F$50:$BM$50,Data!$F$51:$BM$65)))</f>
        <v>24</v>
      </c>
      <c r="D12" s="42">
        <f t="shared" si="0"/>
        <v>0</v>
      </c>
      <c r="F12" s="3" t="str">
        <f>IF($B12=0,"",COUNTIFS('PART III-DEMOGRAPHICS'!$E$17:$E$2010,Data!$G$2,'PART III-DEMOGRAPHICS'!$Q$17:$Q$2010,$A12))</f>
        <v/>
      </c>
      <c r="G12" s="42" t="str">
        <f t="shared" si="1"/>
        <v/>
      </c>
      <c r="H12" s="42">
        <v>7.8804383576061357E-3</v>
      </c>
      <c r="I12" s="42" t="str">
        <f t="shared" si="16"/>
        <v/>
      </c>
      <c r="J12" s="43" t="str">
        <f>IF($B12=0,"",COUNTIFS('PART III-DEMOGRAPHICS'!$E$17:$E$2010,Data!$G$3,'PART III-DEMOGRAPHICS'!$Q$17:$Q$2010,$A12))</f>
        <v/>
      </c>
      <c r="K12" s="42" t="str">
        <f t="shared" si="2"/>
        <v/>
      </c>
      <c r="L12" s="42">
        <v>3.6626277775585116E-2</v>
      </c>
      <c r="M12" s="42" t="str">
        <f t="shared" si="3"/>
        <v/>
      </c>
      <c r="N12" s="43" t="str">
        <f>IF($B12=0,"",COUNTIFS('PART III-DEMOGRAPHICS'!$E$17:$E$2010,Data!$G$4,'PART III-DEMOGRAPHICS'!$Q$17:$Q$2010,$A12))</f>
        <v/>
      </c>
      <c r="O12" s="42" t="str">
        <f t="shared" si="4"/>
        <v/>
      </c>
      <c r="P12" s="42">
        <v>6.3806554314507109E-3</v>
      </c>
      <c r="Q12" s="42" t="str">
        <f t="shared" si="5"/>
        <v/>
      </c>
      <c r="R12" s="43" t="str">
        <f>IF($B12=0,"",COUNTIFS('PART III-DEMOGRAPHICS'!$E$17:$E$2010,Data!$G$5,'PART III-DEMOGRAPHICS'!$Q$17:$Q$2010,$A12))</f>
        <v/>
      </c>
      <c r="S12" s="42" t="str">
        <f t="shared" si="6"/>
        <v/>
      </c>
      <c r="T12" s="42">
        <v>1.2235071239688991E-3</v>
      </c>
      <c r="U12" s="42" t="str">
        <f t="shared" si="7"/>
        <v/>
      </c>
      <c r="V12" s="43" t="str">
        <f>IF($B12=0,"",COUNTIFS('PART III-DEMOGRAPHICS'!$F$17:$F$2010,"=Yes",'PART III-DEMOGRAPHICS'!$Q$17:$Q$2010,$A12))</f>
        <v/>
      </c>
      <c r="W12" s="42" t="str">
        <f t="shared" si="8"/>
        <v/>
      </c>
      <c r="X12" s="42">
        <v>7.0160897764797198E-2</v>
      </c>
      <c r="Y12" s="42" t="str">
        <f t="shared" si="9"/>
        <v/>
      </c>
      <c r="Z12" s="43" t="str">
        <f>IF($B12=0,"",COUNTIFS('PART III-DEMOGRAPHICS'!$E$17:$E$2010,Data!$G$6,'PART III-DEMOGRAPHICS'!$Q$17:$Q$2010,$A12))</f>
        <v/>
      </c>
      <c r="AA12" s="42" t="str">
        <f t="shared" si="10"/>
        <v/>
      </c>
      <c r="AB12" s="42">
        <v>0.86012550815013622</v>
      </c>
      <c r="AC12" s="42" t="str">
        <f t="shared" si="11"/>
        <v/>
      </c>
      <c r="AD12" s="43" t="str">
        <f>IF($B12=0,"",COUNTIFS('PART III-DEMOGRAPHICS'!$E$17:$E$2010,Data!$G$8,'PART III-DEMOGRAPHICS'!$Q$17:$Q$2010,$A12))</f>
        <v/>
      </c>
      <c r="AE12" s="42" t="str">
        <f t="shared" si="12"/>
        <v/>
      </c>
      <c r="AF12" s="42">
        <v>1.7602715396455776E-2</v>
      </c>
      <c r="AG12" s="42" t="str">
        <f t="shared" si="13"/>
        <v/>
      </c>
      <c r="AH12" s="43" t="str">
        <f>IF($B12=0,"",COUNTIFS('PART III-DEMOGRAPHICS'!$E$17:$E$2010,Data!$G$7,'PART III-DEMOGRAPHICS'!$Q$17:$Q$2010,$A12))</f>
        <v/>
      </c>
      <c r="AI12" s="42" t="str">
        <f t="shared" si="14"/>
        <v/>
      </c>
      <c r="AJ12" s="42"/>
      <c r="AK12" s="3" t="str">
        <f>IF($B12=0,"",SUMIF('PART IV-V-SERVICES AND OUTCOMES'!$U$7:$U$2000,$A12,'PART IV-V-SERVICES AND OUTCOMES'!$T$7:$T$2000))</f>
        <v/>
      </c>
      <c r="AL12" s="2" t="e">
        <f t="shared" si="15"/>
        <v>#VALUE!</v>
      </c>
    </row>
    <row r="13" spans="1:38" ht="18" customHeight="1">
      <c r="A13" s="3" t="s">
        <v>293</v>
      </c>
      <c r="B13" s="3">
        <f>COUNTIF('PART III-DEMOGRAPHICS'!$Q$17:$Q$2010,A13)</f>
        <v>0</v>
      </c>
      <c r="C13" s="3" t="str" cm="1">
        <f t="array" ref="C13">IF(_xlfn.XLOOKUP('7-OB Report'!$C$2,Data!$C$51:$C$65,_xlfn.XLOOKUP($A13,Data!$F$50:$BM$50,Data!$F$51:$BM$65))=0,"",_xlfn.XLOOKUP('7-OB Report'!$C$2,Data!$C$51:$C$65,_xlfn.XLOOKUP($A13,Data!$F$50:$BM$50,Data!$F$51:$BM$65)))</f>
        <v/>
      </c>
      <c r="D13" s="42" t="str">
        <f t="shared" si="0"/>
        <v/>
      </c>
      <c r="F13" s="3" t="str">
        <f>IF($B13=0,"",COUNTIFS('PART III-DEMOGRAPHICS'!$E$17:$E$2010,Data!$G$2,'PART III-DEMOGRAPHICS'!$Q$17:$Q$2010,$A13))</f>
        <v/>
      </c>
      <c r="G13" s="42" t="str">
        <f t="shared" si="1"/>
        <v/>
      </c>
      <c r="H13" s="42">
        <v>7.910338732004989E-3</v>
      </c>
      <c r="I13" s="42" t="str">
        <f t="shared" si="16"/>
        <v/>
      </c>
      <c r="J13" s="43" t="str">
        <f>IF($B13=0,"",COUNTIFS('PART III-DEMOGRAPHICS'!$E$17:$E$2010,Data!$G$3,'PART III-DEMOGRAPHICS'!$Q$17:$Q$2010,$A13))</f>
        <v/>
      </c>
      <c r="K13" s="42" t="str">
        <f t="shared" si="2"/>
        <v/>
      </c>
      <c r="L13" s="42">
        <v>8.730027403673464E-2</v>
      </c>
      <c r="M13" s="42" t="str">
        <f t="shared" si="3"/>
        <v/>
      </c>
      <c r="N13" s="43" t="str">
        <f>IF($B13=0,"",COUNTIFS('PART III-DEMOGRAPHICS'!$E$17:$E$2010,Data!$G$4,'PART III-DEMOGRAPHICS'!$Q$17:$Q$2010,$A13))</f>
        <v/>
      </c>
      <c r="O13" s="42" t="str">
        <f t="shared" si="4"/>
        <v/>
      </c>
      <c r="P13" s="42">
        <v>4.5419873515298033E-2</v>
      </c>
      <c r="Q13" s="42" t="str">
        <f t="shared" si="5"/>
        <v/>
      </c>
      <c r="R13" s="43" t="str">
        <f>IF($B13=0,"",COUNTIFS('PART III-DEMOGRAPHICS'!$E$17:$E$2010,Data!$G$5,'PART III-DEMOGRAPHICS'!$Q$17:$Q$2010,$A13))</f>
        <v/>
      </c>
      <c r="S13" s="42" t="str">
        <f t="shared" si="6"/>
        <v/>
      </c>
      <c r="T13" s="42">
        <v>1.0009000028251209E-3</v>
      </c>
      <c r="U13" s="42" t="str">
        <f t="shared" si="7"/>
        <v/>
      </c>
      <c r="V13" s="43" t="str">
        <f>IF($B13=0,"",COUNTIFS('PART III-DEMOGRAPHICS'!$F$17:$F$2010,"=Yes",'PART III-DEMOGRAPHICS'!$Q$17:$Q$2010,$A13))</f>
        <v/>
      </c>
      <c r="W13" s="42" t="str">
        <f t="shared" si="8"/>
        <v/>
      </c>
      <c r="X13" s="42">
        <v>0.37171731032339561</v>
      </c>
      <c r="Y13" s="42" t="str">
        <f t="shared" si="9"/>
        <v/>
      </c>
      <c r="Z13" s="43" t="str">
        <f>IF($B13=0,"",COUNTIFS('PART III-DEMOGRAPHICS'!$E$17:$E$2010,Data!$G$6,'PART III-DEMOGRAPHICS'!$Q$17:$Q$2010,$A13))</f>
        <v/>
      </c>
      <c r="AA13" s="42" t="str">
        <f t="shared" si="10"/>
        <v/>
      </c>
      <c r="AB13" s="42">
        <v>0.47689252836219664</v>
      </c>
      <c r="AC13" s="42" t="str">
        <f t="shared" si="11"/>
        <v/>
      </c>
      <c r="AD13" s="43" t="str">
        <f>IF($B13=0,"",COUNTIFS('PART III-DEMOGRAPHICS'!$E$17:$E$2010,Data!$G$8,'PART III-DEMOGRAPHICS'!$Q$17:$Q$2010,$A13))</f>
        <v/>
      </c>
      <c r="AE13" s="42" t="str">
        <f t="shared" si="12"/>
        <v/>
      </c>
      <c r="AF13" s="42">
        <v>9.7587750275449289E-3</v>
      </c>
      <c r="AG13" s="42" t="str">
        <f t="shared" si="13"/>
        <v/>
      </c>
      <c r="AH13" s="43" t="str">
        <f>IF($B13=0,"",COUNTIFS('PART III-DEMOGRAPHICS'!$E$17:$E$2010,Data!$G$7,'PART III-DEMOGRAPHICS'!$Q$17:$Q$2010,$A13))</f>
        <v/>
      </c>
      <c r="AI13" s="42" t="str">
        <f t="shared" si="14"/>
        <v/>
      </c>
      <c r="AJ13" s="42"/>
      <c r="AK13" s="3" t="str">
        <f>IF($B13=0,"",SUMIF('PART IV-V-SERVICES AND OUTCOMES'!$U$7:$U$2000,$A13,'PART IV-V-SERVICES AND OUTCOMES'!$T$7:$T$2000))</f>
        <v/>
      </c>
      <c r="AL13" s="2" t="e">
        <f t="shared" si="15"/>
        <v>#VALUE!</v>
      </c>
    </row>
    <row r="14" spans="1:38">
      <c r="A14" s="3" t="s">
        <v>294</v>
      </c>
      <c r="B14" s="3">
        <f>COUNTIF('PART III-DEMOGRAPHICS'!$Q$17:$Q$2010,A14)</f>
        <v>0</v>
      </c>
      <c r="C14" s="3" cm="1">
        <f t="array" ref="C14">IF(_xlfn.XLOOKUP('7-OB Report'!$C$2,Data!$C$51:$C$65,_xlfn.XLOOKUP($A14,Data!$F$50:$BM$50,Data!$F$51:$BM$65))=0,"",_xlfn.XLOOKUP('7-OB Report'!$C$2,Data!$C$51:$C$65,_xlfn.XLOOKUP($A14,Data!$F$50:$BM$50,Data!$F$51:$BM$65)))</f>
        <v>4</v>
      </c>
      <c r="D14" s="42">
        <f t="shared" si="0"/>
        <v>0</v>
      </c>
      <c r="F14" s="3" t="str">
        <f>IF($B14=0,"",COUNTIFS('PART III-DEMOGRAPHICS'!$E$17:$E$2010,Data!$G$2,'PART III-DEMOGRAPHICS'!$Q$17:$Q$2010,$A14))</f>
        <v/>
      </c>
      <c r="G14" s="42" t="str">
        <f t="shared" si="1"/>
        <v/>
      </c>
      <c r="H14" s="42">
        <v>1.7464277613971423E-2</v>
      </c>
      <c r="I14" s="42" t="str">
        <f t="shared" si="16"/>
        <v/>
      </c>
      <c r="J14" s="43" t="str">
        <f>IF($B14=0,"",COUNTIFS('PART III-DEMOGRAPHICS'!$E$17:$E$2010,Data!$G$3,'PART III-DEMOGRAPHICS'!$Q$17:$Q$2010,$A14))</f>
        <v/>
      </c>
      <c r="K14" s="42" t="str">
        <f t="shared" si="2"/>
        <v/>
      </c>
      <c r="L14" s="42">
        <v>2.1093218416874573E-2</v>
      </c>
      <c r="M14" s="42" t="str">
        <f t="shared" si="3"/>
        <v/>
      </c>
      <c r="N14" s="43" t="str">
        <f>IF($B14=0,"",COUNTIFS('PART III-DEMOGRAPHICS'!$E$17:$E$2010,Data!$G$4,'PART III-DEMOGRAPHICS'!$Q$17:$Q$2010,$A14))</f>
        <v/>
      </c>
      <c r="O14" s="42" t="str">
        <f t="shared" si="4"/>
        <v/>
      </c>
      <c r="P14" s="42">
        <v>8.1651168065320929E-3</v>
      </c>
      <c r="Q14" s="42" t="str">
        <f t="shared" si="5"/>
        <v/>
      </c>
      <c r="R14" s="43" t="str">
        <f>IF($B14=0,"",COUNTIFS('PART III-DEMOGRAPHICS'!$E$17:$E$2010,Data!$G$5,'PART III-DEMOGRAPHICS'!$Q$17:$Q$2010,$A14))</f>
        <v/>
      </c>
      <c r="S14" s="42" t="str">
        <f t="shared" si="6"/>
        <v/>
      </c>
      <c r="T14" s="42">
        <v>1.1340440009072353E-3</v>
      </c>
      <c r="U14" s="42" t="str">
        <f t="shared" si="7"/>
        <v/>
      </c>
      <c r="V14" s="43" t="str">
        <f>IF($B14=0,"",COUNTIFS('PART III-DEMOGRAPHICS'!$F$17:$F$2010,"=Yes",'PART III-DEMOGRAPHICS'!$Q$17:$Q$2010,$A14))</f>
        <v/>
      </c>
      <c r="W14" s="42" t="str">
        <f t="shared" si="8"/>
        <v/>
      </c>
      <c r="X14" s="42">
        <v>0.22374688137899751</v>
      </c>
      <c r="Y14" s="42" t="str">
        <f t="shared" si="9"/>
        <v/>
      </c>
      <c r="Z14" s="43" t="str">
        <f>IF($B14=0,"",COUNTIFS('PART III-DEMOGRAPHICS'!$E$17:$E$2010,Data!$G$6,'PART III-DEMOGRAPHICS'!$Q$17:$Q$2010,$A14))</f>
        <v/>
      </c>
      <c r="AA14" s="42" t="str">
        <f t="shared" si="10"/>
        <v/>
      </c>
      <c r="AB14" s="42">
        <v>0.71784985257427991</v>
      </c>
      <c r="AC14" s="42" t="str">
        <f t="shared" si="11"/>
        <v/>
      </c>
      <c r="AD14" s="43" t="str">
        <f>IF($B14=0,"",COUNTIFS('PART III-DEMOGRAPHICS'!$E$17:$E$2010,Data!$G$8,'PART III-DEMOGRAPHICS'!$Q$17:$Q$2010,$A14))</f>
        <v/>
      </c>
      <c r="AE14" s="42" t="str">
        <f t="shared" si="12"/>
        <v/>
      </c>
      <c r="AF14" s="42">
        <v>1.0546609208437287E-2</v>
      </c>
      <c r="AG14" s="42" t="str">
        <f t="shared" si="13"/>
        <v/>
      </c>
      <c r="AH14" s="43" t="str">
        <f>IF($B14=0,"",COUNTIFS('PART III-DEMOGRAPHICS'!$E$17:$E$2010,Data!$G$7,'PART III-DEMOGRAPHICS'!$Q$17:$Q$2010,$A14))</f>
        <v/>
      </c>
      <c r="AI14" s="42" t="str">
        <f t="shared" si="14"/>
        <v/>
      </c>
      <c r="AJ14" s="42"/>
      <c r="AK14" s="3" t="str">
        <f>IF($B14=0,"",SUMIF('PART IV-V-SERVICES AND OUTCOMES'!$U$7:$U$2000,$A14,'PART IV-V-SERVICES AND OUTCOMES'!$T$7:$T$2000))</f>
        <v/>
      </c>
      <c r="AL14" s="2" t="e">
        <f t="shared" si="15"/>
        <v>#VALUE!</v>
      </c>
    </row>
    <row r="15" spans="1:38">
      <c r="A15" s="3" t="s">
        <v>295</v>
      </c>
      <c r="B15" s="3">
        <f>COUNTIF('PART III-DEMOGRAPHICS'!$Q$17:$Q$2010,A15)</f>
        <v>0</v>
      </c>
      <c r="C15" s="3" t="str" cm="1">
        <f t="array" ref="C15">IF(_xlfn.XLOOKUP('7-OB Report'!$C$2,Data!$C$51:$C$65,_xlfn.XLOOKUP($A15,Data!$F$50:$BM$50,Data!$F$51:$BM$65))=0,"",_xlfn.XLOOKUP('7-OB Report'!$C$2,Data!$C$51:$C$65,_xlfn.XLOOKUP($A15,Data!$F$50:$BM$50,Data!$F$51:$BM$65)))</f>
        <v/>
      </c>
      <c r="D15" s="42" t="str">
        <f t="shared" si="0"/>
        <v/>
      </c>
      <c r="F15" s="3" t="str">
        <f>IF($B15=0,"",COUNTIFS('PART III-DEMOGRAPHICS'!$E$17:$E$2010,Data!$G$2,'PART III-DEMOGRAPHICS'!$Q$17:$Q$2010,$A15))</f>
        <v/>
      </c>
      <c r="G15" s="42" t="str">
        <f t="shared" si="1"/>
        <v/>
      </c>
      <c r="H15" s="42">
        <v>3.525208951199784E-2</v>
      </c>
      <c r="I15" s="42" t="str">
        <f t="shared" si="16"/>
        <v/>
      </c>
      <c r="J15" s="43" t="str">
        <f>IF($B15=0,"",COUNTIFS('PART III-DEMOGRAPHICS'!$E$17:$E$2010,Data!$G$3,'PART III-DEMOGRAPHICS'!$Q$17:$Q$2010,$A15))</f>
        <v/>
      </c>
      <c r="K15" s="42" t="str">
        <f t="shared" si="2"/>
        <v/>
      </c>
      <c r="L15" s="42">
        <v>1.5143345016626224E-2</v>
      </c>
      <c r="M15" s="42" t="str">
        <f t="shared" si="3"/>
        <v/>
      </c>
      <c r="N15" s="43" t="str">
        <f>IF($B15=0,"",COUNTIFS('PART III-DEMOGRAPHICS'!$E$17:$E$2010,Data!$G$4,'PART III-DEMOGRAPHICS'!$Q$17:$Q$2010,$A15))</f>
        <v/>
      </c>
      <c r="O15" s="42" t="str">
        <f t="shared" si="4"/>
        <v/>
      </c>
      <c r="P15" s="42">
        <v>8.6725981845960278E-3</v>
      </c>
      <c r="Q15" s="42" t="str">
        <f t="shared" si="5"/>
        <v/>
      </c>
      <c r="R15" s="43" t="str">
        <f>IF($B15=0,"",COUNTIFS('PART III-DEMOGRAPHICS'!$E$17:$E$2010,Data!$G$5,'PART III-DEMOGRAPHICS'!$Q$17:$Q$2010,$A15))</f>
        <v/>
      </c>
      <c r="S15" s="42" t="str">
        <f t="shared" si="6"/>
        <v/>
      </c>
      <c r="T15" s="42">
        <v>1.4828794823402533E-3</v>
      </c>
      <c r="U15" s="42" t="str">
        <f t="shared" si="7"/>
        <v/>
      </c>
      <c r="V15" s="43" t="str">
        <f>IF($B15=0,"",COUNTIFS('PART III-DEMOGRAPHICS'!$F$17:$F$2010,"=Yes",'PART III-DEMOGRAPHICS'!$Q$17:$Q$2010,$A15))</f>
        <v/>
      </c>
      <c r="W15" s="42" t="str">
        <f t="shared" si="8"/>
        <v/>
      </c>
      <c r="X15" s="42">
        <v>5.066504897995866E-2</v>
      </c>
      <c r="Y15" s="42" t="str">
        <f t="shared" si="9"/>
        <v/>
      </c>
      <c r="Z15" s="43" t="str">
        <f>IF($B15=0,"",COUNTIFS('PART III-DEMOGRAPHICS'!$E$17:$E$2010,Data!$G$6,'PART III-DEMOGRAPHICS'!$Q$17:$Q$2010,$A15))</f>
        <v/>
      </c>
      <c r="AA15" s="42" t="str">
        <f t="shared" si="10"/>
        <v/>
      </c>
      <c r="AB15" s="42">
        <v>0.86847308349060848</v>
      </c>
      <c r="AC15" s="42" t="str">
        <f t="shared" si="11"/>
        <v/>
      </c>
      <c r="AD15" s="43" t="str">
        <f>IF($B15=0,"",COUNTIFS('PART III-DEMOGRAPHICS'!$E$17:$E$2010,Data!$G$8,'PART III-DEMOGRAPHICS'!$Q$17:$Q$2010,$A15))</f>
        <v/>
      </c>
      <c r="AE15" s="42" t="str">
        <f t="shared" si="12"/>
        <v/>
      </c>
      <c r="AF15" s="42">
        <v>2.0310955333872564E-2</v>
      </c>
      <c r="AG15" s="42" t="str">
        <f t="shared" si="13"/>
        <v/>
      </c>
      <c r="AH15" s="43" t="str">
        <f>IF($B15=0,"",COUNTIFS('PART III-DEMOGRAPHICS'!$E$17:$E$2010,Data!$G$7,'PART III-DEMOGRAPHICS'!$Q$17:$Q$2010,$A15))</f>
        <v/>
      </c>
      <c r="AI15" s="42" t="str">
        <f t="shared" si="14"/>
        <v/>
      </c>
      <c r="AJ15" s="42"/>
      <c r="AK15" s="3" t="str">
        <f>IF($B15=0,"",SUMIF('PART IV-V-SERVICES AND OUTCOMES'!$U$7:$U$2000,$A15,'PART IV-V-SERVICES AND OUTCOMES'!$T$7:$T$2000))</f>
        <v/>
      </c>
      <c r="AL15" s="2" t="e">
        <f t="shared" si="15"/>
        <v>#VALUE!</v>
      </c>
    </row>
    <row r="16" spans="1:38">
      <c r="A16" s="3" t="s">
        <v>296</v>
      </c>
      <c r="B16" s="3">
        <f>COUNTIF('PART III-DEMOGRAPHICS'!$Q$17:$Q$2010,A16)</f>
        <v>0</v>
      </c>
      <c r="C16" s="3" t="str" cm="1">
        <f t="array" ref="C16">IF(_xlfn.XLOOKUP('7-OB Report'!$C$2,Data!$C$51:$C$65,_xlfn.XLOOKUP($A16,Data!$F$50:$BM$50,Data!$F$51:$BM$65))=0,"",_xlfn.XLOOKUP('7-OB Report'!$C$2,Data!$C$51:$C$65,_xlfn.XLOOKUP($A16,Data!$F$50:$BM$50,Data!$F$51:$BM$65)))</f>
        <v/>
      </c>
      <c r="D16" s="42" t="str">
        <f t="shared" si="0"/>
        <v/>
      </c>
      <c r="F16" s="3" t="str">
        <f>IF($B16=0,"",COUNTIFS('PART III-DEMOGRAPHICS'!$E$17:$E$2010,Data!$G$2,'PART III-DEMOGRAPHICS'!$Q$17:$Q$2010,$A16))</f>
        <v/>
      </c>
      <c r="G16" s="42" t="str">
        <f t="shared" si="1"/>
        <v/>
      </c>
      <c r="H16" s="42">
        <v>1.0971527749080541E-2</v>
      </c>
      <c r="I16" s="42" t="str">
        <f t="shared" si="16"/>
        <v/>
      </c>
      <c r="J16" s="43" t="str">
        <f>IF($B16=0,"",COUNTIFS('PART III-DEMOGRAPHICS'!$E$17:$E$2010,Data!$G$3,'PART III-DEMOGRAPHICS'!$Q$17:$Q$2010,$A16))</f>
        <v/>
      </c>
      <c r="K16" s="42" t="str">
        <f t="shared" si="2"/>
        <v/>
      </c>
      <c r="L16" s="42">
        <v>1.309971486425059E-2</v>
      </c>
      <c r="M16" s="42" t="str">
        <f t="shared" si="3"/>
        <v/>
      </c>
      <c r="N16" s="43" t="str">
        <f>IF($B16=0,"",COUNTIFS('PART III-DEMOGRAPHICS'!$E$17:$E$2010,Data!$G$4,'PART III-DEMOGRAPHICS'!$Q$17:$Q$2010,$A16))</f>
        <v/>
      </c>
      <c r="O16" s="42" t="str">
        <f t="shared" si="4"/>
        <v/>
      </c>
      <c r="P16" s="42">
        <v>2.6302739782635646E-2</v>
      </c>
      <c r="Q16" s="42" t="str">
        <f t="shared" si="5"/>
        <v/>
      </c>
      <c r="R16" s="43" t="str">
        <f>IF($B16=0,"",COUNTIFS('PART III-DEMOGRAPHICS'!$E$17:$E$2010,Data!$G$5,'PART III-DEMOGRAPHICS'!$Q$17:$Q$2010,$A16))</f>
        <v/>
      </c>
      <c r="S16" s="42" t="str">
        <f t="shared" si="6"/>
        <v/>
      </c>
      <c r="T16" s="42">
        <v>7.6449440059506591E-4</v>
      </c>
      <c r="U16" s="42" t="str">
        <f t="shared" si="7"/>
        <v/>
      </c>
      <c r="V16" s="43" t="str">
        <f>IF($B16=0,"",COUNTIFS('PART III-DEMOGRAPHICS'!$F$17:$F$2010,"=Yes",'PART III-DEMOGRAPHICS'!$Q$17:$Q$2010,$A16))</f>
        <v/>
      </c>
      <c r="W16" s="42" t="str">
        <f t="shared" si="8"/>
        <v/>
      </c>
      <c r="X16" s="42">
        <v>0.72438943758006524</v>
      </c>
      <c r="Y16" s="42" t="str">
        <f t="shared" si="9"/>
        <v/>
      </c>
      <c r="Z16" s="43" t="str">
        <f>IF($B16=0,"",COUNTIFS('PART III-DEMOGRAPHICS'!$E$17:$E$2010,Data!$G$6,'PART III-DEMOGRAPHICS'!$Q$17:$Q$2010,$A16))</f>
        <v/>
      </c>
      <c r="AA16" s="42" t="str">
        <f t="shared" si="10"/>
        <v/>
      </c>
      <c r="AB16" s="42">
        <v>0.21856275052688129</v>
      </c>
      <c r="AC16" s="42" t="str">
        <f t="shared" si="11"/>
        <v/>
      </c>
      <c r="AD16" s="43" t="str">
        <f>IF($B16=0,"",COUNTIFS('PART III-DEMOGRAPHICS'!$E$17:$E$2010,Data!$G$8,'PART III-DEMOGRAPHICS'!$Q$17:$Q$2010,$A16))</f>
        <v/>
      </c>
      <c r="AE16" s="42" t="str">
        <f t="shared" si="12"/>
        <v/>
      </c>
      <c r="AF16" s="42">
        <v>5.9093350964915907E-3</v>
      </c>
      <c r="AG16" s="42" t="str">
        <f t="shared" si="13"/>
        <v/>
      </c>
      <c r="AH16" s="43" t="str">
        <f>IF($B16=0,"",COUNTIFS('PART III-DEMOGRAPHICS'!$E$17:$E$2010,Data!$G$7,'PART III-DEMOGRAPHICS'!$Q$17:$Q$2010,$A16))</f>
        <v/>
      </c>
      <c r="AI16" s="42" t="str">
        <f t="shared" si="14"/>
        <v/>
      </c>
      <c r="AJ16" s="42"/>
      <c r="AK16" s="3" t="str">
        <f>IF($B16=0,"",SUMIF('PART IV-V-SERVICES AND OUTCOMES'!$U$7:$U$2000,$A16,'PART IV-V-SERVICES AND OUTCOMES'!$T$7:$T$2000))</f>
        <v/>
      </c>
      <c r="AL16" s="2" t="e">
        <f t="shared" si="15"/>
        <v>#VALUE!</v>
      </c>
    </row>
    <row r="17" spans="1:38">
      <c r="A17" s="3" t="s">
        <v>297</v>
      </c>
      <c r="B17" s="3">
        <f>COUNTIF('PART III-DEMOGRAPHICS'!$Q$17:$Q$2010,A17)</f>
        <v>0</v>
      </c>
      <c r="C17" s="3" t="str" cm="1">
        <f t="array" ref="C17">IF(_xlfn.XLOOKUP('7-OB Report'!$C$2,Data!$C$51:$C$65,_xlfn.XLOOKUP($A17,Data!$F$50:$BM$50,Data!$F$51:$BM$65))=0,"",_xlfn.XLOOKUP('7-OB Report'!$C$2,Data!$C$51:$C$65,_xlfn.XLOOKUP($A17,Data!$F$50:$BM$50,Data!$F$51:$BM$65)))</f>
        <v/>
      </c>
      <c r="D17" s="42" t="str">
        <f t="shared" si="0"/>
        <v/>
      </c>
      <c r="F17" s="3" t="str">
        <f>IF($B17=0,"",COUNTIFS('PART III-DEMOGRAPHICS'!$E$17:$E$2010,Data!$G$2,'PART III-DEMOGRAPHICS'!$Q$17:$Q$2010,$A17))</f>
        <v/>
      </c>
      <c r="G17" s="42" t="str">
        <f t="shared" si="1"/>
        <v/>
      </c>
      <c r="H17" s="42">
        <v>6.7719519898926092E-2</v>
      </c>
      <c r="I17" s="42" t="str">
        <f t="shared" si="16"/>
        <v/>
      </c>
      <c r="J17" s="43" t="str">
        <f>IF($B17=0,"",COUNTIFS('PART III-DEMOGRAPHICS'!$E$17:$E$2010,Data!$G$3,'PART III-DEMOGRAPHICS'!$Q$17:$Q$2010,$A17))</f>
        <v/>
      </c>
      <c r="K17" s="42" t="str">
        <f t="shared" si="2"/>
        <v/>
      </c>
      <c r="L17" s="42">
        <v>1.0739102969046115E-2</v>
      </c>
      <c r="M17" s="42" t="str">
        <f t="shared" si="3"/>
        <v/>
      </c>
      <c r="N17" s="43" t="str">
        <f>IF($B17=0,"",COUNTIFS('PART III-DEMOGRAPHICS'!$E$17:$E$2010,Data!$G$4,'PART III-DEMOGRAPHICS'!$Q$17:$Q$2010,$A17))</f>
        <v/>
      </c>
      <c r="O17" s="42" t="str">
        <f t="shared" si="4"/>
        <v/>
      </c>
      <c r="P17" s="42">
        <v>3.1585596967782692E-3</v>
      </c>
      <c r="Q17" s="42" t="str">
        <f t="shared" si="5"/>
        <v/>
      </c>
      <c r="R17" s="43" t="str">
        <f>IF($B17=0,"",COUNTIFS('PART III-DEMOGRAPHICS'!$E$17:$E$2010,Data!$G$5,'PART III-DEMOGRAPHICS'!$Q$17:$Q$2010,$A17))</f>
        <v/>
      </c>
      <c r="S17" s="42" t="str">
        <f t="shared" si="6"/>
        <v/>
      </c>
      <c r="T17" s="42">
        <v>1.137081490840177E-3</v>
      </c>
      <c r="U17" s="42" t="str">
        <f t="shared" si="7"/>
        <v/>
      </c>
      <c r="V17" s="43" t="str">
        <f>IF($B17=0,"",COUNTIFS('PART III-DEMOGRAPHICS'!$F$17:$F$2010,"=Yes",'PART III-DEMOGRAPHICS'!$Q$17:$Q$2010,$A17))</f>
        <v/>
      </c>
      <c r="W17" s="42" t="str">
        <f t="shared" si="8"/>
        <v/>
      </c>
      <c r="X17" s="42">
        <v>9.9557801642451038E-2</v>
      </c>
      <c r="Y17" s="42" t="str">
        <f t="shared" si="9"/>
        <v/>
      </c>
      <c r="Z17" s="43" t="str">
        <f>IF($B17=0,"",COUNTIFS('PART III-DEMOGRAPHICS'!$E$17:$E$2010,Data!$G$6,'PART III-DEMOGRAPHICS'!$Q$17:$Q$2010,$A17))</f>
        <v/>
      </c>
      <c r="AA17" s="42" t="str">
        <f t="shared" si="10"/>
        <v/>
      </c>
      <c r="AB17" s="42">
        <v>0.80821225521162354</v>
      </c>
      <c r="AC17" s="42" t="str">
        <f t="shared" si="11"/>
        <v/>
      </c>
      <c r="AD17" s="43" t="str">
        <f>IF($B17=0,"",COUNTIFS('PART III-DEMOGRAPHICS'!$E$17:$E$2010,Data!$G$8,'PART III-DEMOGRAPHICS'!$Q$17:$Q$2010,$A17))</f>
        <v/>
      </c>
      <c r="AE17" s="42" t="str">
        <f t="shared" si="12"/>
        <v/>
      </c>
      <c r="AF17" s="42">
        <v>9.4756790903348081E-3</v>
      </c>
      <c r="AG17" s="42" t="str">
        <f t="shared" si="13"/>
        <v/>
      </c>
      <c r="AH17" s="43" t="str">
        <f>IF($B17=0,"",COUNTIFS('PART III-DEMOGRAPHICS'!$E$17:$E$2010,Data!$G$7,'PART III-DEMOGRAPHICS'!$Q$17:$Q$2010,$A17))</f>
        <v/>
      </c>
      <c r="AI17" s="42" t="str">
        <f t="shared" si="14"/>
        <v/>
      </c>
      <c r="AJ17" s="42"/>
      <c r="AK17" s="3" t="str">
        <f>IF($B17=0,"",SUMIF('PART IV-V-SERVICES AND OUTCOMES'!$U$7:$U$2000,$A17,'PART IV-V-SERVICES AND OUTCOMES'!$T$7:$T$2000))</f>
        <v/>
      </c>
      <c r="AL17" s="2" t="e">
        <f t="shared" si="15"/>
        <v>#VALUE!</v>
      </c>
    </row>
    <row r="18" spans="1:38" ht="18" customHeight="1">
      <c r="A18" s="3" t="s">
        <v>298</v>
      </c>
      <c r="B18" s="3">
        <f>COUNTIF('PART III-DEMOGRAPHICS'!$Q$17:$Q$2010,A18)</f>
        <v>0</v>
      </c>
      <c r="C18" s="3" t="str" cm="1">
        <f t="array" ref="C18">IF(_xlfn.XLOOKUP('7-OB Report'!$C$2,Data!$C$51:$C$65,_xlfn.XLOOKUP($A18,Data!$F$50:$BM$50,Data!$F$51:$BM$65))=0,"",_xlfn.XLOOKUP('7-OB Report'!$C$2,Data!$C$51:$C$65,_xlfn.XLOOKUP($A18,Data!$F$50:$BM$50,Data!$F$51:$BM$65)))</f>
        <v/>
      </c>
      <c r="D18" s="42" t="str">
        <f t="shared" si="0"/>
        <v/>
      </c>
      <c r="F18" s="3" t="str">
        <f>IF($B18=0,"",COUNTIFS('PART III-DEMOGRAPHICS'!$E$17:$E$2010,Data!$G$2,'PART III-DEMOGRAPHICS'!$Q$17:$Q$2010,$A18))</f>
        <v/>
      </c>
      <c r="G18" s="42" t="str">
        <f t="shared" si="1"/>
        <v/>
      </c>
      <c r="H18" s="42">
        <v>9.6460851363474129E-3</v>
      </c>
      <c r="I18" s="42" t="str">
        <f t="shared" si="16"/>
        <v/>
      </c>
      <c r="J18" s="43" t="str">
        <f>IF($B18=0,"",COUNTIFS('PART III-DEMOGRAPHICS'!$E$17:$E$2010,Data!$G$3,'PART III-DEMOGRAPHICS'!$Q$17:$Q$2010,$A18))</f>
        <v/>
      </c>
      <c r="K18" s="42" t="str">
        <f t="shared" si="2"/>
        <v/>
      </c>
      <c r="L18" s="42">
        <v>5.1235181201709286E-2</v>
      </c>
      <c r="M18" s="42" t="str">
        <f t="shared" si="3"/>
        <v/>
      </c>
      <c r="N18" s="43" t="str">
        <f>IF($B18=0,"",COUNTIFS('PART III-DEMOGRAPHICS'!$E$17:$E$2010,Data!$G$4,'PART III-DEMOGRAPHICS'!$Q$17:$Q$2010,$A18))</f>
        <v/>
      </c>
      <c r="O18" s="42" t="str">
        <f t="shared" si="4"/>
        <v/>
      </c>
      <c r="P18" s="42">
        <v>4.7588961020169962E-2</v>
      </c>
      <c r="Q18" s="42" t="str">
        <f t="shared" si="5"/>
        <v/>
      </c>
      <c r="R18" s="43" t="str">
        <f>IF($B18=0,"",COUNTIFS('PART III-DEMOGRAPHICS'!$E$17:$E$2010,Data!$G$5,'PART III-DEMOGRAPHICS'!$Q$17:$Q$2010,$A18))</f>
        <v/>
      </c>
      <c r="S18" s="42" t="str">
        <f t="shared" si="6"/>
        <v/>
      </c>
      <c r="T18" s="42">
        <v>1.2105836846116004E-3</v>
      </c>
      <c r="U18" s="42" t="str">
        <f t="shared" si="7"/>
        <v/>
      </c>
      <c r="V18" s="43" t="str">
        <f>IF($B18=0,"",COUNTIFS('PART III-DEMOGRAPHICS'!$F$17:$F$2010,"=Yes",'PART III-DEMOGRAPHICS'!$Q$17:$Q$2010,$A18))</f>
        <v/>
      </c>
      <c r="W18" s="42" t="str">
        <f t="shared" si="8"/>
        <v/>
      </c>
      <c r="X18" s="42">
        <v>0.34371895166346739</v>
      </c>
      <c r="Y18" s="42" t="str">
        <f t="shared" si="9"/>
        <v/>
      </c>
      <c r="Z18" s="43" t="str">
        <f>IF($B18=0,"",COUNTIFS('PART III-DEMOGRAPHICS'!$E$17:$E$2010,Data!$G$6,'PART III-DEMOGRAPHICS'!$Q$17:$Q$2010,$A18))</f>
        <v/>
      </c>
      <c r="AA18" s="42" t="str">
        <f t="shared" si="10"/>
        <v/>
      </c>
      <c r="AB18" s="42">
        <v>0.53984797769825121</v>
      </c>
      <c r="AC18" s="42" t="str">
        <f t="shared" si="11"/>
        <v/>
      </c>
      <c r="AD18" s="43" t="str">
        <f>IF($B18=0,"",COUNTIFS('PART III-DEMOGRAPHICS'!$E$17:$E$2010,Data!$G$8,'PART III-DEMOGRAPHICS'!$Q$17:$Q$2010,$A18))</f>
        <v/>
      </c>
      <c r="AE18" s="42" t="str">
        <f t="shared" si="12"/>
        <v/>
      </c>
      <c r="AF18" s="42">
        <v>6.7522595954431896E-3</v>
      </c>
      <c r="AG18" s="42" t="str">
        <f t="shared" si="13"/>
        <v/>
      </c>
      <c r="AH18" s="43" t="str">
        <f>IF($B18=0,"",COUNTIFS('PART III-DEMOGRAPHICS'!$E$17:$E$2010,Data!$G$7,'PART III-DEMOGRAPHICS'!$Q$17:$Q$2010,$A18))</f>
        <v/>
      </c>
      <c r="AI18" s="42" t="str">
        <f t="shared" si="14"/>
        <v/>
      </c>
      <c r="AJ18" s="42"/>
      <c r="AK18" s="3" t="str">
        <f>IF($B18=0,"",SUMIF('PART IV-V-SERVICES AND OUTCOMES'!$U$7:$U$2000,$A18,'PART IV-V-SERVICES AND OUTCOMES'!$T$7:$T$2000))</f>
        <v/>
      </c>
      <c r="AL18" s="2" t="e">
        <f t="shared" si="15"/>
        <v>#VALUE!</v>
      </c>
    </row>
    <row r="19" spans="1:38">
      <c r="A19" s="3" t="s">
        <v>299</v>
      </c>
      <c r="B19" s="3">
        <f>COUNTIF('PART III-DEMOGRAPHICS'!$Q$17:$Q$2010,A19)</f>
        <v>0</v>
      </c>
      <c r="C19" s="3" t="str" cm="1">
        <f t="array" ref="C19">IF(_xlfn.XLOOKUP('7-OB Report'!$C$2,Data!$C$51:$C$65,_xlfn.XLOOKUP($A19,Data!$F$50:$BM$50,Data!$F$51:$BM$65))=0,"",_xlfn.XLOOKUP('7-OB Report'!$C$2,Data!$C$51:$C$65,_xlfn.XLOOKUP($A19,Data!$F$50:$BM$50,Data!$F$51:$BM$65)))</f>
        <v/>
      </c>
      <c r="D19" s="42" t="str">
        <f t="shared" si="0"/>
        <v/>
      </c>
      <c r="F19" s="3" t="str">
        <f>IF($B19=0,"",COUNTIFS('PART III-DEMOGRAPHICS'!$E$17:$E$2010,Data!$G$2,'PART III-DEMOGRAPHICS'!$Q$17:$Q$2010,$A19))</f>
        <v/>
      </c>
      <c r="G19" s="42" t="str">
        <f t="shared" si="1"/>
        <v/>
      </c>
      <c r="H19" s="42">
        <v>8.5176535238356919E-3</v>
      </c>
      <c r="I19" s="42" t="str">
        <f t="shared" si="16"/>
        <v/>
      </c>
      <c r="J19" s="43" t="str">
        <f>IF($B19=0,"",COUNTIFS('PART III-DEMOGRAPHICS'!$E$17:$E$2010,Data!$G$3,'PART III-DEMOGRAPHICS'!$Q$17:$Q$2010,$A19))</f>
        <v/>
      </c>
      <c r="K19" s="42" t="str">
        <f t="shared" si="2"/>
        <v/>
      </c>
      <c r="L19" s="42">
        <v>4.8358290974034893E-2</v>
      </c>
      <c r="M19" s="42" t="str">
        <f t="shared" si="3"/>
        <v/>
      </c>
      <c r="N19" s="43" t="str">
        <f>IF($B19=0,"",COUNTIFS('PART III-DEMOGRAPHICS'!$E$17:$E$2010,Data!$G$4,'PART III-DEMOGRAPHICS'!$Q$17:$Q$2010,$A19))</f>
        <v/>
      </c>
      <c r="O19" s="42" t="str">
        <f t="shared" si="4"/>
        <v/>
      </c>
      <c r="P19" s="42">
        <v>8.0395658744333007E-2</v>
      </c>
      <c r="Q19" s="42" t="str">
        <f t="shared" si="5"/>
        <v/>
      </c>
      <c r="R19" s="43" t="str">
        <f>IF($B19=0,"",COUNTIFS('PART III-DEMOGRAPHICS'!$E$17:$E$2010,Data!$G$5,'PART III-DEMOGRAPHICS'!$Q$17:$Q$2010,$A19))</f>
        <v/>
      </c>
      <c r="S19" s="42" t="str">
        <f t="shared" si="6"/>
        <v/>
      </c>
      <c r="T19" s="42">
        <v>1.1540046709712874E-3</v>
      </c>
      <c r="U19" s="42" t="str">
        <f t="shared" si="7"/>
        <v/>
      </c>
      <c r="V19" s="43" t="str">
        <f>IF($B19=0,"",COUNTIFS('PART III-DEMOGRAPHICS'!$F$17:$F$2010,"=Yes",'PART III-DEMOGRAPHICS'!$Q$17:$Q$2010,$A19))</f>
        <v/>
      </c>
      <c r="W19" s="42" t="str">
        <f t="shared" si="8"/>
        <v/>
      </c>
      <c r="X19" s="42">
        <v>0.41821678802033246</v>
      </c>
      <c r="Y19" s="42" t="str">
        <f t="shared" si="9"/>
        <v/>
      </c>
      <c r="Z19" s="43" t="str">
        <f>IF($B19=0,"",COUNTIFS('PART III-DEMOGRAPHICS'!$E$17:$E$2010,Data!$G$6,'PART III-DEMOGRAPHICS'!$Q$17:$Q$2010,$A19))</f>
        <v/>
      </c>
      <c r="AA19" s="42" t="str">
        <f t="shared" si="10"/>
        <v/>
      </c>
      <c r="AB19" s="42">
        <v>0.43159774694326142</v>
      </c>
      <c r="AC19" s="42" t="str">
        <f t="shared" si="11"/>
        <v/>
      </c>
      <c r="AD19" s="43" t="str">
        <f>IF($B19=0,"",COUNTIFS('PART III-DEMOGRAPHICS'!$E$17:$E$2010,Data!$G$8,'PART III-DEMOGRAPHICS'!$Q$17:$Q$2010,$A19))</f>
        <v/>
      </c>
      <c r="AE19" s="42" t="str">
        <f t="shared" si="12"/>
        <v/>
      </c>
      <c r="AF19" s="42">
        <v>1.1759857123231214E-2</v>
      </c>
      <c r="AG19" s="42" t="str">
        <f t="shared" si="13"/>
        <v/>
      </c>
      <c r="AH19" s="43" t="str">
        <f>IF($B19=0,"",COUNTIFS('PART III-DEMOGRAPHICS'!$E$17:$E$2010,Data!$G$7,'PART III-DEMOGRAPHICS'!$Q$17:$Q$2010,$A19))</f>
        <v/>
      </c>
      <c r="AI19" s="42" t="str">
        <f t="shared" si="14"/>
        <v/>
      </c>
      <c r="AJ19" s="42"/>
      <c r="AK19" s="3" t="str">
        <f>IF($B19=0,"",SUMIF('PART IV-V-SERVICES AND OUTCOMES'!$U$7:$U$2000,$A19,'PART IV-V-SERVICES AND OUTCOMES'!$T$7:$T$2000))</f>
        <v/>
      </c>
      <c r="AL19" s="2" t="e">
        <f t="shared" si="15"/>
        <v>#VALUE!</v>
      </c>
    </row>
    <row r="20" spans="1:38">
      <c r="A20" s="3" t="s">
        <v>300</v>
      </c>
      <c r="B20" s="3">
        <f>COUNTIF('PART III-DEMOGRAPHICS'!$Q$17:$Q$2010,A20)</f>
        <v>0</v>
      </c>
      <c r="C20" s="3" t="str" cm="1">
        <f t="array" ref="C20">IF(_xlfn.XLOOKUP('7-OB Report'!$C$2,Data!$C$51:$C$65,_xlfn.XLOOKUP($A20,Data!$F$50:$BM$50,Data!$F$51:$BM$65))=0,"",_xlfn.XLOOKUP('7-OB Report'!$C$2,Data!$C$51:$C$65,_xlfn.XLOOKUP($A20,Data!$F$50:$BM$50,Data!$F$51:$BM$65)))</f>
        <v/>
      </c>
      <c r="D20" s="42" t="str">
        <f t="shared" si="0"/>
        <v/>
      </c>
      <c r="F20" s="3" t="str">
        <f>IF($B20=0,"",COUNTIFS('PART III-DEMOGRAPHICS'!$E$17:$E$2010,Data!$G$2,'PART III-DEMOGRAPHICS'!$Q$17:$Q$2010,$A20))</f>
        <v/>
      </c>
      <c r="G20" s="42" t="str">
        <f t="shared" si="1"/>
        <v/>
      </c>
      <c r="H20" s="42">
        <v>2.0458722928154718E-2</v>
      </c>
      <c r="I20" s="42" t="str">
        <f t="shared" si="16"/>
        <v/>
      </c>
      <c r="J20" s="43" t="str">
        <f>IF($B20=0,"",COUNTIFS('PART III-DEMOGRAPHICS'!$E$17:$E$2010,Data!$G$3,'PART III-DEMOGRAPHICS'!$Q$17:$Q$2010,$A20))</f>
        <v/>
      </c>
      <c r="K20" s="42" t="str">
        <f t="shared" si="2"/>
        <v/>
      </c>
      <c r="L20" s="42">
        <v>1.2387117397906178E-2</v>
      </c>
      <c r="M20" s="42" t="str">
        <f t="shared" si="3"/>
        <v/>
      </c>
      <c r="N20" s="43" t="str">
        <f>IF($B20=0,"",COUNTIFS('PART III-DEMOGRAPHICS'!$E$17:$E$2010,Data!$G$4,'PART III-DEMOGRAPHICS'!$Q$17:$Q$2010,$A20))</f>
        <v/>
      </c>
      <c r="O20" s="42" t="str">
        <f t="shared" si="4"/>
        <v/>
      </c>
      <c r="P20" s="42">
        <v>1.9140094301925998E-2</v>
      </c>
      <c r="Q20" s="42" t="str">
        <f t="shared" si="5"/>
        <v/>
      </c>
      <c r="R20" s="43" t="str">
        <f>IF($B20=0,"",COUNTIFS('PART III-DEMOGRAPHICS'!$E$17:$E$2010,Data!$G$5,'PART III-DEMOGRAPHICS'!$Q$17:$Q$2010,$A20))</f>
        <v/>
      </c>
      <c r="S20" s="42" t="str">
        <f t="shared" si="6"/>
        <v/>
      </c>
      <c r="T20" s="42">
        <v>1.7581715016382962E-3</v>
      </c>
      <c r="U20" s="42" t="str">
        <f t="shared" si="7"/>
        <v/>
      </c>
      <c r="V20" s="43" t="str">
        <f>IF($B20=0,"",COUNTIFS('PART III-DEMOGRAPHICS'!$F$17:$F$2010,"=Yes",'PART III-DEMOGRAPHICS'!$Q$17:$Q$2010,$A20))</f>
        <v/>
      </c>
      <c r="W20" s="42" t="str">
        <f t="shared" si="8"/>
        <v/>
      </c>
      <c r="X20" s="42">
        <v>9.506113641812515E-2</v>
      </c>
      <c r="Y20" s="42" t="str">
        <f t="shared" si="9"/>
        <v/>
      </c>
      <c r="Z20" s="43" t="str">
        <f>IF($B20=0,"",COUNTIFS('PART III-DEMOGRAPHICS'!$E$17:$E$2010,Data!$G$6,'PART III-DEMOGRAPHICS'!$Q$17:$Q$2010,$A20))</f>
        <v/>
      </c>
      <c r="AA20" s="42" t="str">
        <f t="shared" si="10"/>
        <v/>
      </c>
      <c r="AB20" s="42">
        <v>0.8383680971789339</v>
      </c>
      <c r="AC20" s="42" t="str">
        <f t="shared" si="11"/>
        <v/>
      </c>
      <c r="AD20" s="43" t="str">
        <f>IF($B20=0,"",COUNTIFS('PART III-DEMOGRAPHICS'!$E$17:$E$2010,Data!$G$8,'PART III-DEMOGRAPHICS'!$Q$17:$Q$2010,$A20))</f>
        <v/>
      </c>
      <c r="AE20" s="42" t="str">
        <f t="shared" si="12"/>
        <v/>
      </c>
      <c r="AF20" s="42">
        <v>1.2826660273315752E-2</v>
      </c>
      <c r="AG20" s="42" t="str">
        <f t="shared" si="13"/>
        <v/>
      </c>
      <c r="AH20" s="43" t="str">
        <f>IF($B20=0,"",COUNTIFS('PART III-DEMOGRAPHICS'!$E$17:$E$2010,Data!$G$7,'PART III-DEMOGRAPHICS'!$Q$17:$Q$2010,$A20))</f>
        <v/>
      </c>
      <c r="AI20" s="42" t="str">
        <f t="shared" si="14"/>
        <v/>
      </c>
      <c r="AJ20" s="42"/>
      <c r="AK20" s="3" t="str">
        <f>IF($B20=0,"",SUMIF('PART IV-V-SERVICES AND OUTCOMES'!$U$7:$U$2000,$A20,'PART IV-V-SERVICES AND OUTCOMES'!$T$7:$T$2000))</f>
        <v/>
      </c>
      <c r="AL20" s="2" t="e">
        <f t="shared" si="15"/>
        <v>#VALUE!</v>
      </c>
    </row>
    <row r="21" spans="1:38">
      <c r="A21" s="3" t="s">
        <v>301</v>
      </c>
      <c r="B21" s="3">
        <f>COUNTIF('PART III-DEMOGRAPHICS'!$Q$17:$Q$2010,A21)</f>
        <v>0</v>
      </c>
      <c r="C21" s="3" t="str" cm="1">
        <f t="array" ref="C21">IF(_xlfn.XLOOKUP('7-OB Report'!$C$2,Data!$C$51:$C$65,_xlfn.XLOOKUP($A21,Data!$F$50:$BM$50,Data!$F$51:$BM$65))=0,"",_xlfn.XLOOKUP('7-OB Report'!$C$2,Data!$C$51:$C$65,_xlfn.XLOOKUP($A21,Data!$F$50:$BM$50,Data!$F$51:$BM$65)))</f>
        <v/>
      </c>
      <c r="D21" s="42" t="str">
        <f t="shared" si="0"/>
        <v/>
      </c>
      <c r="F21" s="3" t="str">
        <f>IF($B21=0,"",COUNTIFS('PART III-DEMOGRAPHICS'!$E$17:$E$2010,Data!$G$2,'PART III-DEMOGRAPHICS'!$Q$17:$Q$2010,$A21))</f>
        <v/>
      </c>
      <c r="G21" s="42" t="str">
        <f t="shared" si="1"/>
        <v/>
      </c>
      <c r="H21" s="42">
        <v>2.7405457156534228E-2</v>
      </c>
      <c r="I21" s="42" t="str">
        <f t="shared" si="16"/>
        <v/>
      </c>
      <c r="J21" s="43" t="str">
        <f>IF($B21=0,"",COUNTIFS('PART III-DEMOGRAPHICS'!$E$17:$E$2010,Data!$G$3,'PART III-DEMOGRAPHICS'!$Q$17:$Q$2010,$A21))</f>
        <v/>
      </c>
      <c r="K21" s="42" t="str">
        <f t="shared" si="2"/>
        <v/>
      </c>
      <c r="L21" s="42">
        <v>8.0181905217807572E-3</v>
      </c>
      <c r="M21" s="42" t="str">
        <f t="shared" si="3"/>
        <v/>
      </c>
      <c r="N21" s="43" t="str">
        <f>IF($B21=0,"",COUNTIFS('PART III-DEMOGRAPHICS'!$E$17:$E$2010,Data!$G$4,'PART III-DEMOGRAPHICS'!$Q$17:$Q$2010,$A21))</f>
        <v/>
      </c>
      <c r="O21" s="42" t="str">
        <f t="shared" si="4"/>
        <v/>
      </c>
      <c r="P21" s="42">
        <v>3.0636668262326472E-2</v>
      </c>
      <c r="Q21" s="42" t="str">
        <f t="shared" si="5"/>
        <v/>
      </c>
      <c r="R21" s="43" t="str">
        <f>IF($B21=0,"",COUNTIFS('PART III-DEMOGRAPHICS'!$E$17:$E$2010,Data!$G$5,'PART III-DEMOGRAPHICS'!$Q$17:$Q$2010,$A21))</f>
        <v/>
      </c>
      <c r="S21" s="42" t="str">
        <f t="shared" si="6"/>
        <v/>
      </c>
      <c r="T21" s="42">
        <v>2.6328386787936812E-3</v>
      </c>
      <c r="U21" s="42" t="str">
        <f t="shared" si="7"/>
        <v/>
      </c>
      <c r="V21" s="43" t="str">
        <f>IF($B21=0,"",COUNTIFS('PART III-DEMOGRAPHICS'!$F$17:$F$2010,"=Yes",'PART III-DEMOGRAPHICS'!$Q$17:$Q$2010,$A21))</f>
        <v/>
      </c>
      <c r="W21" s="42" t="str">
        <f t="shared" si="8"/>
        <v/>
      </c>
      <c r="X21" s="42">
        <v>7.7309717568214462E-2</v>
      </c>
      <c r="Y21" s="42" t="str">
        <f t="shared" si="9"/>
        <v/>
      </c>
      <c r="Z21" s="43" t="str">
        <f>IF($B21=0,"",COUNTIFS('PART III-DEMOGRAPHICS'!$E$17:$E$2010,Data!$G$6,'PART III-DEMOGRAPHICS'!$Q$17:$Q$2010,$A21))</f>
        <v/>
      </c>
      <c r="AA21" s="42" t="str">
        <f t="shared" si="10"/>
        <v/>
      </c>
      <c r="AB21" s="42">
        <v>0.84047391096218282</v>
      </c>
      <c r="AC21" s="42" t="str">
        <f t="shared" si="11"/>
        <v/>
      </c>
      <c r="AD21" s="43" t="str">
        <f>IF($B21=0,"",COUNTIFS('PART III-DEMOGRAPHICS'!$E$17:$E$2010,Data!$G$8,'PART III-DEMOGRAPHICS'!$Q$17:$Q$2010,$A21))</f>
        <v/>
      </c>
      <c r="AE21" s="42" t="str">
        <f t="shared" si="12"/>
        <v/>
      </c>
      <c r="AF21" s="42">
        <v>1.3523216850167545E-2</v>
      </c>
      <c r="AG21" s="42" t="str">
        <f t="shared" si="13"/>
        <v/>
      </c>
      <c r="AH21" s="43" t="str">
        <f>IF($B21=0,"",COUNTIFS('PART III-DEMOGRAPHICS'!$E$17:$E$2010,Data!$G$7,'PART III-DEMOGRAPHICS'!$Q$17:$Q$2010,$A21))</f>
        <v/>
      </c>
      <c r="AI21" s="42" t="str">
        <f t="shared" si="14"/>
        <v/>
      </c>
      <c r="AJ21" s="42"/>
      <c r="AK21" s="3" t="str">
        <f>IF($B21=0,"",SUMIF('PART IV-V-SERVICES AND OUTCOMES'!$U$7:$U$2000,$A21,'PART IV-V-SERVICES AND OUTCOMES'!$T$7:$T$2000))</f>
        <v/>
      </c>
      <c r="AL21" s="2" t="e">
        <f t="shared" si="15"/>
        <v>#VALUE!</v>
      </c>
    </row>
    <row r="22" spans="1:38">
      <c r="A22" s="3" t="s">
        <v>302</v>
      </c>
      <c r="B22" s="3">
        <f>COUNTIF('PART III-DEMOGRAPHICS'!$Q$17:$Q$2010,A22)</f>
        <v>0</v>
      </c>
      <c r="C22" s="3" t="str" cm="1">
        <f t="array" ref="C22">IF(_xlfn.XLOOKUP('7-OB Report'!$C$2,Data!$C$51:$C$65,_xlfn.XLOOKUP($A22,Data!$F$50:$BM$50,Data!$F$51:$BM$65))=0,"",_xlfn.XLOOKUP('7-OB Report'!$C$2,Data!$C$51:$C$65,_xlfn.XLOOKUP($A22,Data!$F$50:$BM$50,Data!$F$51:$BM$65)))</f>
        <v/>
      </c>
      <c r="D22" s="42" t="str">
        <f t="shared" si="0"/>
        <v/>
      </c>
      <c r="F22" s="3" t="str">
        <f>IF($B22=0,"",COUNTIFS('PART III-DEMOGRAPHICS'!$E$17:$E$2010,Data!$G$2,'PART III-DEMOGRAPHICS'!$Q$17:$Q$2010,$A22))</f>
        <v/>
      </c>
      <c r="G22" s="42" t="str">
        <f t="shared" si="1"/>
        <v/>
      </c>
      <c r="H22" s="42">
        <v>2.6464848062029197E-3</v>
      </c>
      <c r="I22" s="42" t="str">
        <f t="shared" si="16"/>
        <v/>
      </c>
      <c r="J22" s="43" t="str">
        <f>IF($B22=0,"",COUNTIFS('PART III-DEMOGRAPHICS'!$E$17:$E$2010,Data!$G$3,'PART III-DEMOGRAPHICS'!$Q$17:$Q$2010,$A22))</f>
        <v/>
      </c>
      <c r="K22" s="42" t="str">
        <f t="shared" si="2"/>
        <v/>
      </c>
      <c r="L22" s="42">
        <v>0.16233421938059114</v>
      </c>
      <c r="M22" s="42" t="str">
        <f t="shared" si="3"/>
        <v/>
      </c>
      <c r="N22" s="43" t="str">
        <f>IF($B22=0,"",COUNTIFS('PART III-DEMOGRAPHICS'!$E$17:$E$2010,Data!$G$4,'PART III-DEMOGRAPHICS'!$Q$17:$Q$2010,$A22))</f>
        <v/>
      </c>
      <c r="O22" s="42" t="str">
        <f t="shared" si="4"/>
        <v/>
      </c>
      <c r="P22" s="42">
        <v>9.3280818107155786E-2</v>
      </c>
      <c r="Q22" s="42" t="str">
        <f t="shared" si="5"/>
        <v/>
      </c>
      <c r="R22" s="43" t="str">
        <f>IF($B22=0,"",COUNTIFS('PART III-DEMOGRAPHICS'!$E$17:$E$2010,Data!$G$5,'PART III-DEMOGRAPHICS'!$Q$17:$Q$2010,$A22))</f>
        <v/>
      </c>
      <c r="S22" s="42" t="str">
        <f t="shared" si="6"/>
        <v/>
      </c>
      <c r="T22" s="42">
        <v>1.8976129710253716E-3</v>
      </c>
      <c r="U22" s="42" t="str">
        <f t="shared" si="7"/>
        <v/>
      </c>
      <c r="V22" s="43" t="str">
        <f>IF($B22=0,"",COUNTIFS('PART III-DEMOGRAPHICS'!$F$17:$F$2010,"=Yes",'PART III-DEMOGRAPHICS'!$Q$17:$Q$2010,$A22))</f>
        <v/>
      </c>
      <c r="W22" s="42" t="str">
        <f t="shared" si="8"/>
        <v/>
      </c>
      <c r="X22" s="42">
        <v>0.37378030149156194</v>
      </c>
      <c r="Y22" s="42" t="str">
        <f t="shared" si="9"/>
        <v/>
      </c>
      <c r="Z22" s="43" t="str">
        <f>IF($B22=0,"",COUNTIFS('PART III-DEMOGRAPHICS'!$E$17:$E$2010,Data!$G$6,'PART III-DEMOGRAPHICS'!$Q$17:$Q$2010,$A22))</f>
        <v/>
      </c>
      <c r="AA22" s="42" t="str">
        <f t="shared" si="10"/>
        <v/>
      </c>
      <c r="AB22" s="42">
        <v>0.36397537907221139</v>
      </c>
      <c r="AC22" s="42" t="str">
        <f t="shared" si="11"/>
        <v/>
      </c>
      <c r="AD22" s="43" t="str">
        <f>IF($B22=0,"",COUNTIFS('PART III-DEMOGRAPHICS'!$E$17:$E$2010,Data!$G$8,'PART III-DEMOGRAPHICS'!$Q$17:$Q$2010,$A22))</f>
        <v/>
      </c>
      <c r="AE22" s="42" t="str">
        <f t="shared" si="12"/>
        <v/>
      </c>
      <c r="AF22" s="42">
        <v>2.0851841712514461E-3</v>
      </c>
      <c r="AG22" s="42" t="str">
        <f t="shared" si="13"/>
        <v/>
      </c>
      <c r="AH22" s="43" t="str">
        <f>IF($B22=0,"",COUNTIFS('PART III-DEMOGRAPHICS'!$E$17:$E$2010,Data!$G$7,'PART III-DEMOGRAPHICS'!$Q$17:$Q$2010,$A22))</f>
        <v/>
      </c>
      <c r="AI22" s="42" t="str">
        <f t="shared" si="14"/>
        <v/>
      </c>
      <c r="AJ22" s="42"/>
      <c r="AK22" s="3" t="str">
        <f>IF($B22=0,"",SUMIF('PART IV-V-SERVICES AND OUTCOMES'!$U$7:$U$2000,$A22,'PART IV-V-SERVICES AND OUTCOMES'!$T$7:$T$2000))</f>
        <v/>
      </c>
      <c r="AL22" s="2" t="e">
        <f t="shared" si="15"/>
        <v>#VALUE!</v>
      </c>
    </row>
    <row r="23" spans="1:38">
      <c r="A23" s="3" t="s">
        <v>303</v>
      </c>
      <c r="B23" s="3">
        <f>COUNTIF('PART III-DEMOGRAPHICS'!$Q$17:$Q$2010,A23)</f>
        <v>0</v>
      </c>
      <c r="C23" s="3" t="str" cm="1">
        <f t="array" ref="C23">IF(_xlfn.XLOOKUP('7-OB Report'!$C$2,Data!$C$51:$C$65,_xlfn.XLOOKUP($A23,Data!$F$50:$BM$50,Data!$F$51:$BM$65))=0,"",_xlfn.XLOOKUP('7-OB Report'!$C$2,Data!$C$51:$C$65,_xlfn.XLOOKUP($A23,Data!$F$50:$BM$50,Data!$F$51:$BM$65)))</f>
        <v/>
      </c>
      <c r="D23" s="42" t="str">
        <f t="shared" si="0"/>
        <v/>
      </c>
      <c r="F23" s="3" t="str">
        <f>IF($B23=0,"",COUNTIFS('PART III-DEMOGRAPHICS'!$E$17:$E$2010,Data!$G$2,'PART III-DEMOGRAPHICS'!$Q$17:$Q$2010,$A23))</f>
        <v/>
      </c>
      <c r="G23" s="42" t="str">
        <f t="shared" si="1"/>
        <v/>
      </c>
      <c r="H23" s="42">
        <v>1.5143412736995624E-2</v>
      </c>
      <c r="I23" s="42" t="str">
        <f t="shared" si="16"/>
        <v/>
      </c>
      <c r="J23" s="43" t="str">
        <f>IF($B23=0,"",COUNTIFS('PART III-DEMOGRAPHICS'!$E$17:$E$2010,Data!$G$3,'PART III-DEMOGRAPHICS'!$Q$17:$Q$2010,$A23))</f>
        <v/>
      </c>
      <c r="K23" s="42" t="str">
        <f t="shared" si="2"/>
        <v/>
      </c>
      <c r="L23" s="42">
        <v>2.0612542537676228E-2</v>
      </c>
      <c r="M23" s="42" t="str">
        <f t="shared" si="3"/>
        <v/>
      </c>
      <c r="N23" s="43" t="str">
        <f>IF($B23=0,"",COUNTIFS('PART III-DEMOGRAPHICS'!$E$17:$E$2010,Data!$G$4,'PART III-DEMOGRAPHICS'!$Q$17:$Q$2010,$A23))</f>
        <v/>
      </c>
      <c r="O23" s="42" t="str">
        <f t="shared" si="4"/>
        <v/>
      </c>
      <c r="P23" s="42">
        <v>2.8293631502187652E-2</v>
      </c>
      <c r="Q23" s="42" t="str">
        <f t="shared" si="5"/>
        <v/>
      </c>
      <c r="R23" s="43" t="str">
        <f>IF($B23=0,"",COUNTIFS('PART III-DEMOGRAPHICS'!$E$17:$E$2010,Data!$G$5,'PART III-DEMOGRAPHICS'!$Q$17:$Q$2010,$A23))</f>
        <v/>
      </c>
      <c r="S23" s="42" t="str">
        <f t="shared" si="6"/>
        <v/>
      </c>
      <c r="T23" s="42">
        <v>9.7228974234321824E-4</v>
      </c>
      <c r="U23" s="42" t="str">
        <f t="shared" si="7"/>
        <v/>
      </c>
      <c r="V23" s="43" t="str">
        <f>IF($B23=0,"",COUNTIFS('PART III-DEMOGRAPHICS'!$F$17:$F$2010,"=Yes",'PART III-DEMOGRAPHICS'!$Q$17:$Q$2010,$A23))</f>
        <v/>
      </c>
      <c r="W23" s="42" t="str">
        <f t="shared" si="8"/>
        <v/>
      </c>
      <c r="X23" s="42">
        <v>0.3396451142440447</v>
      </c>
      <c r="Y23" s="42" t="str">
        <f t="shared" si="9"/>
        <v/>
      </c>
      <c r="Z23" s="43" t="str">
        <f>IF($B23=0,"",COUNTIFS('PART III-DEMOGRAPHICS'!$E$17:$E$2010,Data!$G$6,'PART III-DEMOGRAPHICS'!$Q$17:$Q$2010,$A23))</f>
        <v/>
      </c>
      <c r="AA23" s="42" t="str">
        <f t="shared" si="10"/>
        <v/>
      </c>
      <c r="AB23" s="42">
        <v>0.58184248906174041</v>
      </c>
      <c r="AC23" s="42" t="str">
        <f t="shared" si="11"/>
        <v/>
      </c>
      <c r="AD23" s="43" t="str">
        <f>IF($B23=0,"",COUNTIFS('PART III-DEMOGRAPHICS'!$E$17:$E$2010,Data!$G$8,'PART III-DEMOGRAPHICS'!$Q$17:$Q$2010,$A23))</f>
        <v/>
      </c>
      <c r="AE23" s="42" t="str">
        <f t="shared" si="12"/>
        <v/>
      </c>
      <c r="AF23" s="42">
        <v>1.3490520175012153E-2</v>
      </c>
      <c r="AG23" s="42" t="str">
        <f t="shared" si="13"/>
        <v/>
      </c>
      <c r="AH23" s="43" t="str">
        <f>IF($B23=0,"",COUNTIFS('PART III-DEMOGRAPHICS'!$E$17:$E$2010,Data!$G$7,'PART III-DEMOGRAPHICS'!$Q$17:$Q$2010,$A23))</f>
        <v/>
      </c>
      <c r="AI23" s="42" t="str">
        <f t="shared" si="14"/>
        <v/>
      </c>
      <c r="AJ23" s="42"/>
      <c r="AK23" s="3" t="str">
        <f>IF($B23=0,"",SUMIF('PART IV-V-SERVICES AND OUTCOMES'!$U$7:$U$2000,$A23,'PART IV-V-SERVICES AND OUTCOMES'!$T$7:$T$2000))</f>
        <v/>
      </c>
      <c r="AL23" s="2" t="e">
        <f t="shared" si="15"/>
        <v>#VALUE!</v>
      </c>
    </row>
    <row r="24" spans="1:38">
      <c r="A24" s="3" t="s">
        <v>304</v>
      </c>
      <c r="B24" s="3">
        <f>COUNTIF('PART III-DEMOGRAPHICS'!$Q$17:$Q$2010,A24)</f>
        <v>0</v>
      </c>
      <c r="C24" s="3" t="str" cm="1">
        <f t="array" ref="C24">IF(_xlfn.XLOOKUP('7-OB Report'!$C$2,Data!$C$51:$C$65,_xlfn.XLOOKUP($A24,Data!$F$50:$BM$50,Data!$F$51:$BM$65))=0,"",_xlfn.XLOOKUP('7-OB Report'!$C$2,Data!$C$51:$C$65,_xlfn.XLOOKUP($A24,Data!$F$50:$BM$50,Data!$F$51:$BM$65)))</f>
        <v/>
      </c>
      <c r="D24" s="42" t="str">
        <f t="shared" si="0"/>
        <v/>
      </c>
      <c r="F24" s="3" t="str">
        <f>IF($B24=0,"",COUNTIFS('PART III-DEMOGRAPHICS'!$E$17:$E$2010,Data!$G$2,'PART III-DEMOGRAPHICS'!$Q$17:$Q$2010,$A24))</f>
        <v/>
      </c>
      <c r="G24" s="42" t="str">
        <f t="shared" si="1"/>
        <v/>
      </c>
      <c r="H24" s="42">
        <v>1.7868384994259897E-3</v>
      </c>
      <c r="I24" s="42" t="str">
        <f t="shared" si="16"/>
        <v/>
      </c>
      <c r="J24" s="43" t="str">
        <f>IF($B24=0,"",COUNTIFS('PART III-DEMOGRAPHICS'!$E$17:$E$2010,Data!$G$3,'PART III-DEMOGRAPHICS'!$Q$17:$Q$2010,$A24))</f>
        <v/>
      </c>
      <c r="K24" s="42" t="str">
        <f t="shared" si="2"/>
        <v/>
      </c>
      <c r="L24" s="42">
        <v>4.9874088064289154E-2</v>
      </c>
      <c r="M24" s="42" t="str">
        <f t="shared" si="3"/>
        <v/>
      </c>
      <c r="N24" s="43" t="str">
        <f>IF($B24=0,"",COUNTIFS('PART III-DEMOGRAPHICS'!$E$17:$E$2010,Data!$G$4,'PART III-DEMOGRAPHICS'!$Q$17:$Q$2010,$A24))</f>
        <v/>
      </c>
      <c r="O24" s="42" t="str">
        <f t="shared" si="4"/>
        <v/>
      </c>
      <c r="P24" s="42">
        <v>2.2904862422693774E-2</v>
      </c>
      <c r="Q24" s="42" t="str">
        <f t="shared" si="5"/>
        <v/>
      </c>
      <c r="R24" s="43" t="str">
        <f>IF($B24=0,"",COUNTIFS('PART III-DEMOGRAPHICS'!$E$17:$E$2010,Data!$G$5,'PART III-DEMOGRAPHICS'!$Q$17:$Q$2010,$A24))</f>
        <v/>
      </c>
      <c r="S24" s="42" t="str">
        <f t="shared" si="6"/>
        <v/>
      </c>
      <c r="T24" s="42">
        <v>1.8331296522608599E-3</v>
      </c>
      <c r="U24" s="42" t="str">
        <f t="shared" si="7"/>
        <v/>
      </c>
      <c r="V24" s="43" t="str">
        <f>IF($B24=0,"",COUNTIFS('PART III-DEMOGRAPHICS'!$F$17:$F$2010,"=Yes",'PART III-DEMOGRAPHICS'!$Q$17:$Q$2010,$A24))</f>
        <v/>
      </c>
      <c r="W24" s="42" t="str">
        <f t="shared" si="8"/>
        <v/>
      </c>
      <c r="X24" s="42">
        <v>7.3556641854608751E-2</v>
      </c>
      <c r="Y24" s="42" t="str">
        <f t="shared" si="9"/>
        <v/>
      </c>
      <c r="Z24" s="43" t="str">
        <f>IF($B24=0,"",COUNTIFS('PART III-DEMOGRAPHICS'!$E$17:$E$2010,Data!$G$6,'PART III-DEMOGRAPHICS'!$Q$17:$Q$2010,$A24))</f>
        <v/>
      </c>
      <c r="AA24" s="42" t="str">
        <f t="shared" si="10"/>
        <v/>
      </c>
      <c r="AB24" s="42">
        <v>0.8377772840054809</v>
      </c>
      <c r="AC24" s="42" t="str">
        <f t="shared" si="11"/>
        <v/>
      </c>
      <c r="AD24" s="43" t="str">
        <f>IF($B24=0,"",COUNTIFS('PART III-DEMOGRAPHICS'!$E$17:$E$2010,Data!$G$8,'PART III-DEMOGRAPHICS'!$Q$17:$Q$2010,$A24))</f>
        <v/>
      </c>
      <c r="AE24" s="42" t="str">
        <f t="shared" si="12"/>
        <v/>
      </c>
      <c r="AF24" s="42">
        <v>1.2267155501240603E-2</v>
      </c>
      <c r="AG24" s="42" t="str">
        <f t="shared" si="13"/>
        <v/>
      </c>
      <c r="AH24" s="43" t="str">
        <f>IF($B24=0,"",COUNTIFS('PART III-DEMOGRAPHICS'!$E$17:$E$2010,Data!$G$7,'PART III-DEMOGRAPHICS'!$Q$17:$Q$2010,$A24))</f>
        <v/>
      </c>
      <c r="AI24" s="42" t="str">
        <f t="shared" si="14"/>
        <v/>
      </c>
      <c r="AJ24" s="42"/>
      <c r="AK24" s="3" t="str">
        <f>IF($B24=0,"",SUMIF('PART IV-V-SERVICES AND OUTCOMES'!$U$7:$U$2000,$A24,'PART IV-V-SERVICES AND OUTCOMES'!$T$7:$T$2000))</f>
        <v/>
      </c>
      <c r="AL24" s="2" t="e">
        <f t="shared" si="15"/>
        <v>#VALUE!</v>
      </c>
    </row>
    <row r="25" spans="1:38">
      <c r="A25" s="3" t="s">
        <v>305</v>
      </c>
      <c r="B25" s="3">
        <f>COUNTIF('PART III-DEMOGRAPHICS'!$Q$17:$Q$2010,A25)</f>
        <v>0</v>
      </c>
      <c r="C25" s="3" t="str" cm="1">
        <f t="array" ref="C25">IF(_xlfn.XLOOKUP('7-OB Report'!$C$2,Data!$C$51:$C$65,_xlfn.XLOOKUP($A25,Data!$F$50:$BM$50,Data!$F$51:$BM$65))=0,"",_xlfn.XLOOKUP('7-OB Report'!$C$2,Data!$C$51:$C$65,_xlfn.XLOOKUP($A25,Data!$F$50:$BM$50,Data!$F$51:$BM$65)))</f>
        <v/>
      </c>
      <c r="D25" s="42" t="str">
        <f t="shared" si="0"/>
        <v/>
      </c>
      <c r="F25" s="3" t="str">
        <f>IF($B25=0,"",COUNTIFS('PART III-DEMOGRAPHICS'!$E$17:$E$2010,Data!$G$2,'PART III-DEMOGRAPHICS'!$Q$17:$Q$2010,$A25))</f>
        <v/>
      </c>
      <c r="G25" s="42" t="str">
        <f t="shared" si="1"/>
        <v/>
      </c>
      <c r="H25" s="42">
        <v>2.0336521002299962E-2</v>
      </c>
      <c r="I25" s="42" t="str">
        <f t="shared" si="16"/>
        <v/>
      </c>
      <c r="J25" s="43" t="str">
        <f>IF($B25=0,"",COUNTIFS('PART III-DEMOGRAPHICS'!$E$17:$E$2010,Data!$G$3,'PART III-DEMOGRAPHICS'!$Q$17:$Q$2010,$A25))</f>
        <v/>
      </c>
      <c r="K25" s="42" t="str">
        <f t="shared" si="2"/>
        <v/>
      </c>
      <c r="L25" s="42">
        <v>1.2952427066941049E-2</v>
      </c>
      <c r="M25" s="42" t="str">
        <f t="shared" si="3"/>
        <v/>
      </c>
      <c r="N25" s="43" t="str">
        <f>IF($B25=0,"",COUNTIFS('PART III-DEMOGRAPHICS'!$E$17:$E$2010,Data!$G$4,'PART III-DEMOGRAPHICS'!$Q$17:$Q$2010,$A25))</f>
        <v/>
      </c>
      <c r="O25" s="42" t="str">
        <f t="shared" si="4"/>
        <v/>
      </c>
      <c r="P25" s="42">
        <v>4.3578259290642778E-3</v>
      </c>
      <c r="Q25" s="42" t="str">
        <f t="shared" si="5"/>
        <v/>
      </c>
      <c r="R25" s="43" t="str">
        <f>IF($B25=0,"",COUNTIFS('PART III-DEMOGRAPHICS'!$E$17:$E$2010,Data!$G$5,'PART III-DEMOGRAPHICS'!$Q$17:$Q$2010,$A25))</f>
        <v/>
      </c>
      <c r="S25" s="42" t="str">
        <f t="shared" si="6"/>
        <v/>
      </c>
      <c r="T25" s="42">
        <v>1.8157608037767826E-3</v>
      </c>
      <c r="U25" s="42" t="str">
        <f t="shared" si="7"/>
        <v/>
      </c>
      <c r="V25" s="43" t="str">
        <f>IF($B25=0,"",COUNTIFS('PART III-DEMOGRAPHICS'!$F$17:$F$2010,"=Yes",'PART III-DEMOGRAPHICS'!$Q$17:$Q$2010,$A25))</f>
        <v/>
      </c>
      <c r="W25" s="42" t="str">
        <f t="shared" si="8"/>
        <v/>
      </c>
      <c r="X25" s="42">
        <v>5.5441229875317757E-2</v>
      </c>
      <c r="Y25" s="42" t="str">
        <f t="shared" si="9"/>
        <v/>
      </c>
      <c r="Z25" s="43" t="str">
        <f>IF($B25=0,"",COUNTIFS('PART III-DEMOGRAPHICS'!$E$17:$E$2010,Data!$G$6,'PART III-DEMOGRAPHICS'!$Q$17:$Q$2010,$A25))</f>
        <v/>
      </c>
      <c r="AA25" s="42" t="str">
        <f t="shared" si="10"/>
        <v/>
      </c>
      <c r="AB25" s="42">
        <v>0.89347536617842871</v>
      </c>
      <c r="AC25" s="42" t="str">
        <f t="shared" si="11"/>
        <v/>
      </c>
      <c r="AD25" s="43" t="str">
        <f>IF($B25=0,"",COUNTIFS('PART III-DEMOGRAPHICS'!$E$17:$E$2010,Data!$G$8,'PART III-DEMOGRAPHICS'!$Q$17:$Q$2010,$A25))</f>
        <v/>
      </c>
      <c r="AE25" s="42" t="str">
        <f t="shared" si="12"/>
        <v/>
      </c>
      <c r="AF25" s="42">
        <v>1.1620869144171408E-2</v>
      </c>
      <c r="AG25" s="42" t="str">
        <f t="shared" si="13"/>
        <v/>
      </c>
      <c r="AH25" s="43" t="str">
        <f>IF($B25=0,"",COUNTIFS('PART III-DEMOGRAPHICS'!$E$17:$E$2010,Data!$G$7,'PART III-DEMOGRAPHICS'!$Q$17:$Q$2010,$A25))</f>
        <v/>
      </c>
      <c r="AI25" s="42" t="str">
        <f t="shared" si="14"/>
        <v/>
      </c>
      <c r="AJ25" s="42"/>
      <c r="AK25" s="3" t="str">
        <f>IF($B25=0,"",SUMIF('PART IV-V-SERVICES AND OUTCOMES'!$U$7:$U$2000,$A25,'PART IV-V-SERVICES AND OUTCOMES'!$T$7:$T$2000))</f>
        <v/>
      </c>
      <c r="AL25" s="2" t="e">
        <f t="shared" si="15"/>
        <v>#VALUE!</v>
      </c>
    </row>
    <row r="26" spans="1:38">
      <c r="A26" s="3" t="s">
        <v>306</v>
      </c>
      <c r="B26" s="3">
        <f>COUNTIF('PART III-DEMOGRAPHICS'!$Q$17:$Q$2010,A26)</f>
        <v>0</v>
      </c>
      <c r="C26" s="3" t="str" cm="1">
        <f t="array" ref="C26">IF(_xlfn.XLOOKUP('7-OB Report'!$C$2,Data!$C$51:$C$65,_xlfn.XLOOKUP($A26,Data!$F$50:$BM$50,Data!$F$51:$BM$65))=0,"",_xlfn.XLOOKUP('7-OB Report'!$C$2,Data!$C$51:$C$65,_xlfn.XLOOKUP($A26,Data!$F$50:$BM$50,Data!$F$51:$BM$65)))</f>
        <v/>
      </c>
      <c r="D26" s="42" t="str">
        <f t="shared" si="0"/>
        <v/>
      </c>
      <c r="F26" s="3" t="str">
        <f>IF($B26=0,"",COUNTIFS('PART III-DEMOGRAPHICS'!$E$17:$E$2010,Data!$G$2,'PART III-DEMOGRAPHICS'!$Q$17:$Q$2010,$A26))</f>
        <v/>
      </c>
      <c r="G26" s="42" t="str">
        <f t="shared" si="1"/>
        <v/>
      </c>
      <c r="H26" s="42">
        <v>2.751547745606904E-2</v>
      </c>
      <c r="I26" s="42" t="str">
        <f t="shared" si="16"/>
        <v/>
      </c>
      <c r="J26" s="43" t="str">
        <f>IF($B26=0,"",COUNTIFS('PART III-DEMOGRAPHICS'!$E$17:$E$2010,Data!$G$3,'PART III-DEMOGRAPHICS'!$Q$17:$Q$2010,$A26))</f>
        <v/>
      </c>
      <c r="K26" s="42" t="str">
        <f t="shared" si="2"/>
        <v/>
      </c>
      <c r="L26" s="42">
        <v>1.5946469889312739E-2</v>
      </c>
      <c r="M26" s="42" t="str">
        <f t="shared" si="3"/>
        <v/>
      </c>
      <c r="N26" s="43" t="str">
        <f>IF($B26=0,"",COUNTIFS('PART III-DEMOGRAPHICS'!$E$17:$E$2010,Data!$G$4,'PART III-DEMOGRAPHICS'!$Q$17:$Q$2010,$A26))</f>
        <v/>
      </c>
      <c r="O26" s="42" t="str">
        <f t="shared" si="4"/>
        <v/>
      </c>
      <c r="P26" s="42">
        <v>4.0335188543555748E-3</v>
      </c>
      <c r="Q26" s="42" t="str">
        <f t="shared" si="5"/>
        <v/>
      </c>
      <c r="R26" s="43" t="str">
        <f>IF($B26=0,"",COUNTIFS('PART III-DEMOGRAPHICS'!$E$17:$E$2010,Data!$G$5,'PART III-DEMOGRAPHICS'!$Q$17:$Q$2010,$A26))</f>
        <v/>
      </c>
      <c r="S26" s="42" t="str">
        <f t="shared" si="6"/>
        <v/>
      </c>
      <c r="T26" s="42">
        <v>1.1256331686573698E-3</v>
      </c>
      <c r="U26" s="42" t="str">
        <f t="shared" si="7"/>
        <v/>
      </c>
      <c r="V26" s="43" t="str">
        <f>IF($B26=0,"",COUNTIFS('PART III-DEMOGRAPHICS'!$F$17:$F$2010,"=Yes",'PART III-DEMOGRAPHICS'!$Q$17:$Q$2010,$A26))</f>
        <v/>
      </c>
      <c r="W26" s="42" t="str">
        <f t="shared" si="8"/>
        <v/>
      </c>
      <c r="X26" s="42">
        <v>0.10346444875242324</v>
      </c>
      <c r="Y26" s="42" t="str">
        <f t="shared" si="9"/>
        <v/>
      </c>
      <c r="Z26" s="43" t="str">
        <f>IF($B26=0,"",COUNTIFS('PART III-DEMOGRAPHICS'!$E$17:$E$2010,Data!$G$6,'PART III-DEMOGRAPHICS'!$Q$17:$Q$2010,$A26))</f>
        <v/>
      </c>
      <c r="AA26" s="42" t="str">
        <f t="shared" si="10"/>
        <v/>
      </c>
      <c r="AB26" s="42">
        <v>0.83559502219998749</v>
      </c>
      <c r="AC26" s="42" t="str">
        <f t="shared" si="11"/>
        <v/>
      </c>
      <c r="AD26" s="43" t="str">
        <f>IF($B26=0,"",COUNTIFS('PART III-DEMOGRAPHICS'!$E$17:$E$2010,Data!$G$8,'PART III-DEMOGRAPHICS'!$Q$17:$Q$2010,$A26))</f>
        <v/>
      </c>
      <c r="AE26" s="42" t="str">
        <f t="shared" si="12"/>
        <v/>
      </c>
      <c r="AF26" s="42">
        <v>1.2319429679194548E-2</v>
      </c>
      <c r="AG26" s="42" t="str">
        <f t="shared" si="13"/>
        <v/>
      </c>
      <c r="AH26" s="43" t="str">
        <f>IF($B26=0,"",COUNTIFS('PART III-DEMOGRAPHICS'!$E$17:$E$2010,Data!$G$7,'PART III-DEMOGRAPHICS'!$Q$17:$Q$2010,$A26))</f>
        <v/>
      </c>
      <c r="AI26" s="42" t="str">
        <f t="shared" si="14"/>
        <v/>
      </c>
      <c r="AJ26" s="42"/>
      <c r="AK26" s="3" t="str">
        <f>IF($B26=0,"",SUMIF('PART IV-V-SERVICES AND OUTCOMES'!$U$7:$U$2000,$A26,'PART IV-V-SERVICES AND OUTCOMES'!$T$7:$T$2000))</f>
        <v/>
      </c>
      <c r="AL26" s="2" t="e">
        <f t="shared" si="15"/>
        <v>#VALUE!</v>
      </c>
    </row>
    <row r="27" spans="1:38">
      <c r="A27" s="3" t="s">
        <v>307</v>
      </c>
      <c r="B27" s="3">
        <f>COUNTIF('PART III-DEMOGRAPHICS'!$Q$17:$Q$2010,A27)</f>
        <v>0</v>
      </c>
      <c r="C27" s="3" t="str" cm="1">
        <f t="array" ref="C27">IF(_xlfn.XLOOKUP('7-OB Report'!$C$2,Data!$C$51:$C$65,_xlfn.XLOOKUP($A27,Data!$F$50:$BM$50,Data!$F$51:$BM$65))=0,"",_xlfn.XLOOKUP('7-OB Report'!$C$2,Data!$C$51:$C$65,_xlfn.XLOOKUP($A27,Data!$F$50:$BM$50,Data!$F$51:$BM$65)))</f>
        <v/>
      </c>
      <c r="D27" s="42" t="str">
        <f t="shared" si="0"/>
        <v/>
      </c>
      <c r="F27" s="3" t="str">
        <f>IF($B27=0,"",COUNTIFS('PART III-DEMOGRAPHICS'!$E$17:$E$2010,Data!$G$2,'PART III-DEMOGRAPHICS'!$Q$17:$Q$2010,$A27))</f>
        <v/>
      </c>
      <c r="G27" s="42" t="str">
        <f t="shared" si="1"/>
        <v/>
      </c>
      <c r="H27" s="42">
        <v>6.370335155692893E-3</v>
      </c>
      <c r="I27" s="42" t="str">
        <f t="shared" si="16"/>
        <v/>
      </c>
      <c r="J27" s="43" t="str">
        <f>IF($B27=0,"",COUNTIFS('PART III-DEMOGRAPHICS'!$E$17:$E$2010,Data!$G$3,'PART III-DEMOGRAPHICS'!$Q$17:$Q$2010,$A27))</f>
        <v/>
      </c>
      <c r="K27" s="42" t="str">
        <f t="shared" si="2"/>
        <v/>
      </c>
      <c r="L27" s="42">
        <v>5.940892163853894E-2</v>
      </c>
      <c r="M27" s="42" t="str">
        <f t="shared" si="3"/>
        <v/>
      </c>
      <c r="N27" s="43" t="str">
        <f>IF($B27=0,"",COUNTIFS('PART III-DEMOGRAPHICS'!$E$17:$E$2010,Data!$G$4,'PART III-DEMOGRAPHICS'!$Q$17:$Q$2010,$A27))</f>
        <v/>
      </c>
      <c r="O27" s="42" t="str">
        <f t="shared" si="4"/>
        <v/>
      </c>
      <c r="P27" s="42">
        <v>3.9347119879565802E-2</v>
      </c>
      <c r="Q27" s="42" t="str">
        <f t="shared" si="5"/>
        <v/>
      </c>
      <c r="R27" s="43" t="str">
        <f>IF($B27=0,"",COUNTIFS('PART III-DEMOGRAPHICS'!$E$17:$E$2010,Data!$G$5,'PART III-DEMOGRAPHICS'!$Q$17:$Q$2010,$A27))</f>
        <v/>
      </c>
      <c r="S27" s="42" t="str">
        <f t="shared" si="6"/>
        <v/>
      </c>
      <c r="T27" s="42">
        <v>1.9966722129783694E-3</v>
      </c>
      <c r="U27" s="42" t="str">
        <f t="shared" si="7"/>
        <v/>
      </c>
      <c r="V27" s="43" t="str">
        <f>IF($B27=0,"",COUNTIFS('PART III-DEMOGRAPHICS'!$F$17:$F$2010,"=Yes",'PART III-DEMOGRAPHICS'!$Q$17:$Q$2010,$A27))</f>
        <v/>
      </c>
      <c r="W27" s="42" t="str">
        <f t="shared" si="8"/>
        <v/>
      </c>
      <c r="X27" s="42">
        <v>0.40732113144758736</v>
      </c>
      <c r="Y27" s="42" t="str">
        <f t="shared" si="9"/>
        <v/>
      </c>
      <c r="Z27" s="43" t="str">
        <f>IF($B27=0,"",COUNTIFS('PART III-DEMOGRAPHICS'!$E$17:$E$2010,Data!$G$6,'PART III-DEMOGRAPHICS'!$Q$17:$Q$2010,$A27))</f>
        <v/>
      </c>
      <c r="AA27" s="42" t="str">
        <f t="shared" si="10"/>
        <v/>
      </c>
      <c r="AB27" s="42">
        <v>0.47498613422074321</v>
      </c>
      <c r="AC27" s="42" t="str">
        <f t="shared" si="11"/>
        <v/>
      </c>
      <c r="AD27" s="43" t="str">
        <f>IF($B27=0,"",COUNTIFS('PART III-DEMOGRAPHICS'!$E$17:$E$2010,Data!$G$8,'PART III-DEMOGRAPHICS'!$Q$17:$Q$2010,$A27))</f>
        <v/>
      </c>
      <c r="AE27" s="42" t="str">
        <f t="shared" si="12"/>
        <v/>
      </c>
      <c r="AF27" s="42">
        <v>1.0569685444893432E-2</v>
      </c>
      <c r="AG27" s="42" t="str">
        <f t="shared" si="13"/>
        <v/>
      </c>
      <c r="AH27" s="43" t="str">
        <f>IF($B27=0,"",COUNTIFS('PART III-DEMOGRAPHICS'!$E$17:$E$2010,Data!$G$7,'PART III-DEMOGRAPHICS'!$Q$17:$Q$2010,$A27))</f>
        <v/>
      </c>
      <c r="AI27" s="42" t="str">
        <f t="shared" si="14"/>
        <v/>
      </c>
      <c r="AJ27" s="42"/>
      <c r="AK27" s="3" t="str">
        <f>IF($B27=0,"",SUMIF('PART IV-V-SERVICES AND OUTCOMES'!$U$7:$U$2000,$A27,'PART IV-V-SERVICES AND OUTCOMES'!$T$7:$T$2000))</f>
        <v/>
      </c>
      <c r="AL27" s="2" t="e">
        <f t="shared" si="15"/>
        <v>#VALUE!</v>
      </c>
    </row>
    <row r="28" spans="1:38">
      <c r="A28" s="3" t="s">
        <v>308</v>
      </c>
      <c r="B28" s="3">
        <f>COUNTIF('PART III-DEMOGRAPHICS'!$Q$17:$Q$2010,A28)</f>
        <v>0</v>
      </c>
      <c r="C28" s="3" t="str" cm="1">
        <f t="array" ref="C28">IF(_xlfn.XLOOKUP('7-OB Report'!$C$2,Data!$C$51:$C$65,_xlfn.XLOOKUP($A28,Data!$F$50:$BM$50,Data!$F$51:$BM$65))=0,"",_xlfn.XLOOKUP('7-OB Report'!$C$2,Data!$C$51:$C$65,_xlfn.XLOOKUP($A28,Data!$F$50:$BM$50,Data!$F$51:$BM$65)))</f>
        <v/>
      </c>
      <c r="D28" s="42" t="str">
        <f t="shared" si="0"/>
        <v/>
      </c>
      <c r="F28" s="3" t="str">
        <f>IF($B28=0,"",COUNTIFS('PART III-DEMOGRAPHICS'!$E$17:$E$2010,Data!$G$2,'PART III-DEMOGRAPHICS'!$Q$17:$Q$2010,$A28))</f>
        <v/>
      </c>
      <c r="G28" s="42" t="str">
        <f t="shared" si="1"/>
        <v/>
      </c>
      <c r="H28" s="42">
        <v>2.5620280474649405E-2</v>
      </c>
      <c r="I28" s="42" t="str">
        <f t="shared" si="16"/>
        <v/>
      </c>
      <c r="J28" s="43" t="str">
        <f>IF($B28=0,"",COUNTIFS('PART III-DEMOGRAPHICS'!$E$17:$E$2010,Data!$G$3,'PART III-DEMOGRAPHICS'!$Q$17:$Q$2010,$A28))</f>
        <v/>
      </c>
      <c r="K28" s="42" t="str">
        <f t="shared" si="2"/>
        <v/>
      </c>
      <c r="L28" s="42">
        <v>7.8209277238403454E-3</v>
      </c>
      <c r="M28" s="42" t="str">
        <f t="shared" si="3"/>
        <v/>
      </c>
      <c r="N28" s="43" t="str">
        <f>IF($B28=0,"",COUNTIFS('PART III-DEMOGRAPHICS'!$E$17:$E$2010,Data!$G$4,'PART III-DEMOGRAPHICS'!$Q$17:$Q$2010,$A28))</f>
        <v/>
      </c>
      <c r="O28" s="42" t="str">
        <f t="shared" si="4"/>
        <v/>
      </c>
      <c r="P28" s="42">
        <v>3.7756202804746495E-3</v>
      </c>
      <c r="Q28" s="42" t="str">
        <f t="shared" si="5"/>
        <v/>
      </c>
      <c r="R28" s="43" t="str">
        <f>IF($B28=0,"",COUNTIFS('PART III-DEMOGRAPHICS'!$E$17:$E$2010,Data!$G$5,'PART III-DEMOGRAPHICS'!$Q$17:$Q$2010,$A28))</f>
        <v/>
      </c>
      <c r="S28" s="42" t="str">
        <f t="shared" si="6"/>
        <v/>
      </c>
      <c r="T28" s="42">
        <v>2.9665587918015104E-3</v>
      </c>
      <c r="U28" s="42" t="str">
        <f t="shared" si="7"/>
        <v/>
      </c>
      <c r="V28" s="43" t="str">
        <f>IF($B28=0,"",COUNTIFS('PART III-DEMOGRAPHICS'!$F$17:$F$2010,"=Yes",'PART III-DEMOGRAPHICS'!$Q$17:$Q$2010,$A28))</f>
        <v/>
      </c>
      <c r="W28" s="42" t="str">
        <f t="shared" si="8"/>
        <v/>
      </c>
      <c r="X28" s="42">
        <v>7.3354908306364611E-2</v>
      </c>
      <c r="Y28" s="42" t="str">
        <f t="shared" si="9"/>
        <v/>
      </c>
      <c r="Z28" s="43" t="str">
        <f>IF($B28=0,"",COUNTIFS('PART III-DEMOGRAPHICS'!$E$17:$E$2010,Data!$G$6,'PART III-DEMOGRAPHICS'!$Q$17:$Q$2010,$A28))</f>
        <v/>
      </c>
      <c r="AA28" s="42" t="str">
        <f t="shared" si="10"/>
        <v/>
      </c>
      <c r="AB28" s="42">
        <v>0.87162891046386193</v>
      </c>
      <c r="AC28" s="42" t="str">
        <f t="shared" si="11"/>
        <v/>
      </c>
      <c r="AD28" s="43" t="str">
        <f>IF($B28=0,"",COUNTIFS('PART III-DEMOGRAPHICS'!$E$17:$E$2010,Data!$G$8,'PART III-DEMOGRAPHICS'!$Q$17:$Q$2010,$A28))</f>
        <v/>
      </c>
      <c r="AE28" s="42" t="str">
        <f t="shared" si="12"/>
        <v/>
      </c>
      <c r="AF28" s="42">
        <v>1.4832793959007551E-2</v>
      </c>
      <c r="AG28" s="42" t="str">
        <f t="shared" si="13"/>
        <v/>
      </c>
      <c r="AH28" s="43" t="str">
        <f>IF($B28=0,"",COUNTIFS('PART III-DEMOGRAPHICS'!$E$17:$E$2010,Data!$G$7,'PART III-DEMOGRAPHICS'!$Q$17:$Q$2010,$A28))</f>
        <v/>
      </c>
      <c r="AI28" s="42" t="str">
        <f t="shared" si="14"/>
        <v/>
      </c>
      <c r="AJ28" s="42"/>
      <c r="AK28" s="3" t="str">
        <f>IF($B28=0,"",SUMIF('PART IV-V-SERVICES AND OUTCOMES'!$U$7:$U$2000,$A28,'PART IV-V-SERVICES AND OUTCOMES'!$T$7:$T$2000))</f>
        <v/>
      </c>
      <c r="AL28" s="2" t="e">
        <f t="shared" si="15"/>
        <v>#VALUE!</v>
      </c>
    </row>
    <row r="29" spans="1:38">
      <c r="A29" s="3" t="s">
        <v>309</v>
      </c>
      <c r="B29" s="3">
        <f>COUNTIF('PART III-DEMOGRAPHICS'!$Q$17:$Q$2010,A29)</f>
        <v>0</v>
      </c>
      <c r="C29" s="3" t="str" cm="1">
        <f t="array" ref="C29">IF(_xlfn.XLOOKUP('7-OB Report'!$C$2,Data!$C$51:$C$65,_xlfn.XLOOKUP($A29,Data!$F$50:$BM$50,Data!$F$51:$BM$65))=0,"",_xlfn.XLOOKUP('7-OB Report'!$C$2,Data!$C$51:$C$65,_xlfn.XLOOKUP($A29,Data!$F$50:$BM$50,Data!$F$51:$BM$65)))</f>
        <v/>
      </c>
      <c r="D29" s="42" t="str">
        <f t="shared" si="0"/>
        <v/>
      </c>
      <c r="F29" s="3" t="str">
        <f>IF($B29=0,"",COUNTIFS('PART III-DEMOGRAPHICS'!$E$17:$E$2010,Data!$G$2,'PART III-DEMOGRAPHICS'!$Q$17:$Q$2010,$A29))</f>
        <v/>
      </c>
      <c r="G29" s="42" t="str">
        <f t="shared" si="1"/>
        <v/>
      </c>
      <c r="H29" s="42">
        <v>1.3152220784821044E-2</v>
      </c>
      <c r="I29" s="42" t="str">
        <f t="shared" si="16"/>
        <v/>
      </c>
      <c r="J29" s="43" t="str">
        <f>IF($B29=0,"",COUNTIFS('PART III-DEMOGRAPHICS'!$E$17:$E$2010,Data!$G$3,'PART III-DEMOGRAPHICS'!$Q$17:$Q$2010,$A29))</f>
        <v/>
      </c>
      <c r="K29" s="42" t="str">
        <f t="shared" si="2"/>
        <v/>
      </c>
      <c r="L29" s="42">
        <v>1.6170763260025874E-2</v>
      </c>
      <c r="M29" s="42" t="str">
        <f t="shared" si="3"/>
        <v/>
      </c>
      <c r="N29" s="43" t="str">
        <f>IF($B29=0,"",COUNTIFS('PART III-DEMOGRAPHICS'!$E$17:$E$2010,Data!$G$4,'PART III-DEMOGRAPHICS'!$Q$17:$Q$2010,$A29))</f>
        <v/>
      </c>
      <c r="O29" s="42" t="str">
        <f t="shared" si="4"/>
        <v/>
      </c>
      <c r="P29" s="42">
        <v>0</v>
      </c>
      <c r="Q29" s="42" t="str">
        <f t="shared" si="5"/>
        <v/>
      </c>
      <c r="R29" s="43" t="str">
        <f>IF($B29=0,"",COUNTIFS('PART III-DEMOGRAPHICS'!$E$17:$E$2010,Data!$G$5,'PART III-DEMOGRAPHICS'!$Q$17:$Q$2010,$A29))</f>
        <v/>
      </c>
      <c r="S29" s="42" t="str">
        <f t="shared" si="6"/>
        <v/>
      </c>
      <c r="T29" s="42">
        <v>1.29366106080207E-3</v>
      </c>
      <c r="U29" s="42" t="str">
        <f t="shared" si="7"/>
        <v/>
      </c>
      <c r="V29" s="43" t="str">
        <f>IF($B29=0,"",COUNTIFS('PART III-DEMOGRAPHICS'!$F$17:$F$2010,"=Yes",'PART III-DEMOGRAPHICS'!$Q$17:$Q$2010,$A29))</f>
        <v/>
      </c>
      <c r="W29" s="42" t="str">
        <f t="shared" si="8"/>
        <v/>
      </c>
      <c r="X29" s="42">
        <v>9.1418714963346276E-2</v>
      </c>
      <c r="Y29" s="42" t="str">
        <f t="shared" si="9"/>
        <v/>
      </c>
      <c r="Z29" s="43" t="str">
        <f>IF($B29=0,"",COUNTIFS('PART III-DEMOGRAPHICS'!$E$17:$E$2010,Data!$G$6,'PART III-DEMOGRAPHICS'!$Q$17:$Q$2010,$A29))</f>
        <v/>
      </c>
      <c r="AA29" s="42" t="str">
        <f t="shared" si="10"/>
        <v/>
      </c>
      <c r="AB29" s="42">
        <v>0.87343682621819752</v>
      </c>
      <c r="AC29" s="42" t="str">
        <f t="shared" si="11"/>
        <v/>
      </c>
      <c r="AD29" s="43" t="str">
        <f>IF($B29=0,"",COUNTIFS('PART III-DEMOGRAPHICS'!$E$17:$E$2010,Data!$G$8,'PART III-DEMOGRAPHICS'!$Q$17:$Q$2010,$A29))</f>
        <v/>
      </c>
      <c r="AE29" s="42" t="str">
        <f t="shared" si="12"/>
        <v/>
      </c>
      <c r="AF29" s="42">
        <v>4.5278137128072441E-3</v>
      </c>
      <c r="AG29" s="42" t="str">
        <f t="shared" si="13"/>
        <v/>
      </c>
      <c r="AH29" s="43" t="str">
        <f>IF($B29=0,"",COUNTIFS('PART III-DEMOGRAPHICS'!$E$17:$E$2010,Data!$G$7,'PART III-DEMOGRAPHICS'!$Q$17:$Q$2010,$A29))</f>
        <v/>
      </c>
      <c r="AI29" s="42" t="str">
        <f t="shared" si="14"/>
        <v/>
      </c>
      <c r="AJ29" s="42"/>
      <c r="AK29" s="3" t="str">
        <f>IF($B29=0,"",SUMIF('PART IV-V-SERVICES AND OUTCOMES'!$U$7:$U$2000,$A29,'PART IV-V-SERVICES AND OUTCOMES'!$T$7:$T$2000))</f>
        <v/>
      </c>
      <c r="AL29" s="2" t="e">
        <f t="shared" si="15"/>
        <v>#VALUE!</v>
      </c>
    </row>
    <row r="30" spans="1:38">
      <c r="A30" s="3" t="s">
        <v>310</v>
      </c>
      <c r="B30" s="3">
        <f>COUNTIF('PART III-DEMOGRAPHICS'!$Q$17:$Q$2010,A30)</f>
        <v>0</v>
      </c>
      <c r="C30" s="3" t="str" cm="1">
        <f t="array" ref="C30">IF(_xlfn.XLOOKUP('7-OB Report'!$C$2,Data!$C$51:$C$65,_xlfn.XLOOKUP($A30,Data!$F$50:$BM$50,Data!$F$51:$BM$65))=0,"",_xlfn.XLOOKUP('7-OB Report'!$C$2,Data!$C$51:$C$65,_xlfn.XLOOKUP($A30,Data!$F$50:$BM$50,Data!$F$51:$BM$65)))</f>
        <v/>
      </c>
      <c r="D30" s="42" t="str">
        <f t="shared" si="0"/>
        <v/>
      </c>
      <c r="F30" s="3" t="str">
        <f>IF($B30=0,"",COUNTIFS('PART III-DEMOGRAPHICS'!$E$17:$E$2010,Data!$G$2,'PART III-DEMOGRAPHICS'!$Q$17:$Q$2010,$A30))</f>
        <v/>
      </c>
      <c r="G30" s="42" t="str">
        <f t="shared" si="1"/>
        <v/>
      </c>
      <c r="H30" s="42">
        <v>4.2513895422786755E-3</v>
      </c>
      <c r="I30" s="42" t="str">
        <f t="shared" si="16"/>
        <v/>
      </c>
      <c r="J30" s="43" t="str">
        <f>IF($B30=0,"",COUNTIFS('PART III-DEMOGRAPHICS'!$E$17:$E$2010,Data!$G$3,'PART III-DEMOGRAPHICS'!$Q$17:$Q$2010,$A30))</f>
        <v/>
      </c>
      <c r="K30" s="42" t="str">
        <f t="shared" si="2"/>
        <v/>
      </c>
      <c r="L30" s="42">
        <v>7.5566706741240219E-2</v>
      </c>
      <c r="M30" s="42" t="str">
        <f t="shared" si="3"/>
        <v/>
      </c>
      <c r="N30" s="43" t="str">
        <f>IF($B30=0,"",COUNTIFS('PART III-DEMOGRAPHICS'!$E$17:$E$2010,Data!$G$4,'PART III-DEMOGRAPHICS'!$Q$17:$Q$2010,$A30))</f>
        <v/>
      </c>
      <c r="O30" s="42" t="str">
        <f t="shared" si="4"/>
        <v/>
      </c>
      <c r="P30" s="42">
        <v>3.7478438137055044E-2</v>
      </c>
      <c r="Q30" s="42" t="str">
        <f t="shared" si="5"/>
        <v/>
      </c>
      <c r="R30" s="43" t="str">
        <f>IF($B30=0,"",COUNTIFS('PART III-DEMOGRAPHICS'!$E$17:$E$2010,Data!$G$5,'PART III-DEMOGRAPHICS'!$Q$17:$Q$2010,$A30))</f>
        <v/>
      </c>
      <c r="S30" s="42" t="str">
        <f t="shared" si="6"/>
        <v/>
      </c>
      <c r="T30" s="42">
        <v>5.7498301186555854E-3</v>
      </c>
      <c r="U30" s="42" t="str">
        <f t="shared" si="7"/>
        <v/>
      </c>
      <c r="V30" s="43" t="str">
        <f>IF($B30=0,"",COUNTIFS('PART III-DEMOGRAPHICS'!$F$17:$F$2010,"=Yes",'PART III-DEMOGRAPHICS'!$Q$17:$Q$2010,$A30))</f>
        <v/>
      </c>
      <c r="W30" s="42" t="str">
        <f t="shared" si="8"/>
        <v/>
      </c>
      <c r="X30" s="42">
        <v>0.37933197428257803</v>
      </c>
      <c r="Y30" s="42" t="str">
        <f t="shared" si="9"/>
        <v/>
      </c>
      <c r="Z30" s="43" t="str">
        <f>IF($B30=0,"",COUNTIFS('PART III-DEMOGRAPHICS'!$E$17:$E$2010,Data!$G$6,'PART III-DEMOGRAPHICS'!$Q$17:$Q$2010,$A30))</f>
        <v/>
      </c>
      <c r="AA30" s="42" t="str">
        <f t="shared" si="10"/>
        <v/>
      </c>
      <c r="AB30" s="42">
        <v>0.48321223842628891</v>
      </c>
      <c r="AC30" s="42" t="str">
        <f t="shared" si="11"/>
        <v/>
      </c>
      <c r="AD30" s="43" t="str">
        <f>IF($B30=0,"",COUNTIFS('PART III-DEMOGRAPHICS'!$E$17:$E$2010,Data!$G$8,'PART III-DEMOGRAPHICS'!$Q$17:$Q$2010,$A30))</f>
        <v/>
      </c>
      <c r="AE30" s="42" t="str">
        <f t="shared" si="12"/>
        <v/>
      </c>
      <c r="AF30" s="42">
        <v>1.4409422751903543E-2</v>
      </c>
      <c r="AG30" s="42" t="str">
        <f t="shared" si="13"/>
        <v/>
      </c>
      <c r="AH30" s="43" t="str">
        <f>IF($B30=0,"",COUNTIFS('PART III-DEMOGRAPHICS'!$E$17:$E$2010,Data!$G$7,'PART III-DEMOGRAPHICS'!$Q$17:$Q$2010,$A30))</f>
        <v/>
      </c>
      <c r="AI30" s="42" t="str">
        <f t="shared" si="14"/>
        <v/>
      </c>
      <c r="AJ30" s="42"/>
      <c r="AK30" s="3" t="str">
        <f>IF($B30=0,"",SUMIF('PART IV-V-SERVICES AND OUTCOMES'!$U$7:$U$2000,$A30,'PART IV-V-SERVICES AND OUTCOMES'!$T$7:$T$2000))</f>
        <v/>
      </c>
      <c r="AL30" s="2" t="e">
        <f t="shared" si="15"/>
        <v>#VALUE!</v>
      </c>
    </row>
    <row r="31" spans="1:38">
      <c r="A31" s="3" t="s">
        <v>311</v>
      </c>
      <c r="B31" s="3">
        <f>COUNTIF('PART III-DEMOGRAPHICS'!$Q$17:$Q$2010,A31)</f>
        <v>0</v>
      </c>
      <c r="C31" s="3" t="str" cm="1">
        <f t="array" ref="C31">IF(_xlfn.XLOOKUP('7-OB Report'!$C$2,Data!$C$51:$C$65,_xlfn.XLOOKUP($A31,Data!$F$50:$BM$50,Data!$F$51:$BM$65))=0,"",_xlfn.XLOOKUP('7-OB Report'!$C$2,Data!$C$51:$C$65,_xlfn.XLOOKUP($A31,Data!$F$50:$BM$50,Data!$F$51:$BM$65)))</f>
        <v/>
      </c>
      <c r="D31" s="42" t="str">
        <f t="shared" si="0"/>
        <v/>
      </c>
      <c r="F31" s="3" t="str">
        <f>IF($B31=0,"",COUNTIFS('PART III-DEMOGRAPHICS'!$E$17:$E$2010,Data!$G$2,'PART III-DEMOGRAPHICS'!$Q$17:$Q$2010,$A31))</f>
        <v/>
      </c>
      <c r="G31" s="42" t="str">
        <f t="shared" si="1"/>
        <v/>
      </c>
      <c r="H31" s="42">
        <v>4.7644482427091125E-3</v>
      </c>
      <c r="I31" s="42" t="str">
        <f t="shared" si="16"/>
        <v/>
      </c>
      <c r="J31" s="43" t="str">
        <f>IF($B31=0,"",COUNTIFS('PART III-DEMOGRAPHICS'!$E$17:$E$2010,Data!$G$3,'PART III-DEMOGRAPHICS'!$Q$17:$Q$2010,$A31))</f>
        <v/>
      </c>
      <c r="K31" s="42" t="str">
        <f t="shared" si="2"/>
        <v/>
      </c>
      <c r="L31" s="42">
        <v>6.505715201367375E-2</v>
      </c>
      <c r="M31" s="42" t="str">
        <f t="shared" si="3"/>
        <v/>
      </c>
      <c r="N31" s="43" t="str">
        <f>IF($B31=0,"",COUNTIFS('PART III-DEMOGRAPHICS'!$E$17:$E$2010,Data!$G$4,'PART III-DEMOGRAPHICS'!$Q$17:$Q$2010,$A31))</f>
        <v/>
      </c>
      <c r="O31" s="42" t="str">
        <f t="shared" si="4"/>
        <v/>
      </c>
      <c r="P31" s="42">
        <v>1.8630488195705588E-2</v>
      </c>
      <c r="Q31" s="42" t="str">
        <f t="shared" si="5"/>
        <v/>
      </c>
      <c r="R31" s="43" t="str">
        <f>IF($B31=0,"",COUNTIFS('PART III-DEMOGRAPHICS'!$E$17:$E$2010,Data!$G$5,'PART III-DEMOGRAPHICS'!$Q$17:$Q$2010,$A31))</f>
        <v/>
      </c>
      <c r="S31" s="42" t="str">
        <f t="shared" si="6"/>
        <v/>
      </c>
      <c r="T31" s="42">
        <v>1.7946800555496208E-3</v>
      </c>
      <c r="U31" s="42" t="str">
        <f t="shared" si="7"/>
        <v/>
      </c>
      <c r="V31" s="43" t="str">
        <f>IF($B31=0,"",COUNTIFS('PART III-DEMOGRAPHICS'!$F$17:$F$2010,"=Yes",'PART III-DEMOGRAPHICS'!$Q$17:$Q$2010,$A31))</f>
        <v/>
      </c>
      <c r="W31" s="42" t="str">
        <f t="shared" si="8"/>
        <v/>
      </c>
      <c r="X31" s="42">
        <v>0.17049460527721397</v>
      </c>
      <c r="Y31" s="42" t="str">
        <f t="shared" si="9"/>
        <v/>
      </c>
      <c r="Z31" s="43" t="str">
        <f>IF($B31=0,"",COUNTIFS('PART III-DEMOGRAPHICS'!$E$17:$E$2010,Data!$G$6,'PART III-DEMOGRAPHICS'!$Q$17:$Q$2010,$A31))</f>
        <v/>
      </c>
      <c r="AA31" s="42" t="str">
        <f t="shared" si="10"/>
        <v/>
      </c>
      <c r="AB31" s="42">
        <v>0.7292169639995727</v>
      </c>
      <c r="AC31" s="42" t="str">
        <f t="shared" si="11"/>
        <v/>
      </c>
      <c r="AD31" s="43" t="str">
        <f>IF($B31=0,"",COUNTIFS('PART III-DEMOGRAPHICS'!$E$17:$E$2010,Data!$G$8,'PART III-DEMOGRAPHICS'!$Q$17:$Q$2010,$A31))</f>
        <v/>
      </c>
      <c r="AE31" s="42" t="str">
        <f t="shared" si="12"/>
        <v/>
      </c>
      <c r="AF31" s="42">
        <v>1.0041662215575259E-2</v>
      </c>
      <c r="AG31" s="42" t="str">
        <f t="shared" si="13"/>
        <v/>
      </c>
      <c r="AH31" s="43" t="str">
        <f>IF($B31=0,"",COUNTIFS('PART III-DEMOGRAPHICS'!$E$17:$E$2010,Data!$G$7,'PART III-DEMOGRAPHICS'!$Q$17:$Q$2010,$A31))</f>
        <v/>
      </c>
      <c r="AI31" s="42" t="str">
        <f t="shared" si="14"/>
        <v/>
      </c>
      <c r="AJ31" s="42"/>
      <c r="AK31" s="3" t="str">
        <f>IF($B31=0,"",SUMIF('PART IV-V-SERVICES AND OUTCOMES'!$U$7:$U$2000,$A31,'PART IV-V-SERVICES AND OUTCOMES'!$T$7:$T$2000))</f>
        <v/>
      </c>
      <c r="AL31" s="2" t="e">
        <f t="shared" si="15"/>
        <v>#VALUE!</v>
      </c>
    </row>
    <row r="32" spans="1:38">
      <c r="A32" s="3" t="s">
        <v>312</v>
      </c>
      <c r="B32" s="3">
        <f>COUNTIF('PART III-DEMOGRAPHICS'!$Q$17:$Q$2010,A32)</f>
        <v>0</v>
      </c>
      <c r="C32" s="3" cm="1">
        <f t="array" ref="C32">IF(_xlfn.XLOOKUP('7-OB Report'!$C$2,Data!$C$51:$C$65,_xlfn.XLOOKUP($A32,Data!$F$50:$BM$50,Data!$F$51:$BM$65))=0,"",_xlfn.XLOOKUP('7-OB Report'!$C$2,Data!$C$51:$C$65,_xlfn.XLOOKUP($A32,Data!$F$50:$BM$50,Data!$F$51:$BM$65)))</f>
        <v>9</v>
      </c>
      <c r="D32" s="42">
        <f t="shared" si="0"/>
        <v>0</v>
      </c>
      <c r="F32" s="3" t="str">
        <f>IF($B32=0,"",COUNTIFS('PART III-DEMOGRAPHICS'!$E$17:$E$2010,Data!$G$2,'PART III-DEMOGRAPHICS'!$Q$17:$Q$2010,$A32))</f>
        <v/>
      </c>
      <c r="G32" s="42" t="str">
        <f t="shared" si="1"/>
        <v/>
      </c>
      <c r="H32" s="42">
        <v>8.1586144029170467E-3</v>
      </c>
      <c r="I32" s="42" t="str">
        <f t="shared" si="16"/>
        <v/>
      </c>
      <c r="J32" s="43" t="str">
        <f>IF($B32=0,"",COUNTIFS('PART III-DEMOGRAPHICS'!$E$17:$E$2010,Data!$G$3,'PART III-DEMOGRAPHICS'!$Q$17:$Q$2010,$A32))</f>
        <v/>
      </c>
      <c r="K32" s="42" t="str">
        <f t="shared" si="2"/>
        <v/>
      </c>
      <c r="L32" s="42">
        <v>1.09845031905196E-2</v>
      </c>
      <c r="M32" s="42" t="str">
        <f t="shared" si="3"/>
        <v/>
      </c>
      <c r="N32" s="43" t="str">
        <f>IF($B32=0,"",COUNTIFS('PART III-DEMOGRAPHICS'!$E$17:$E$2010,Data!$G$4,'PART III-DEMOGRAPHICS'!$Q$17:$Q$2010,$A32))</f>
        <v/>
      </c>
      <c r="O32" s="42" t="str">
        <f t="shared" si="4"/>
        <v/>
      </c>
      <c r="P32" s="42">
        <v>1.3673655423883319E-3</v>
      </c>
      <c r="Q32" s="42" t="str">
        <f t="shared" si="5"/>
        <v/>
      </c>
      <c r="R32" s="43" t="str">
        <f>IF($B32=0,"",COUNTIFS('PART III-DEMOGRAPHICS'!$E$17:$E$2010,Data!$G$5,'PART III-DEMOGRAPHICS'!$Q$17:$Q$2010,$A32))</f>
        <v/>
      </c>
      <c r="S32" s="42" t="str">
        <f t="shared" si="6"/>
        <v/>
      </c>
      <c r="T32" s="42">
        <v>6.8368277119416595E-4</v>
      </c>
      <c r="U32" s="42" t="str">
        <f t="shared" si="7"/>
        <v/>
      </c>
      <c r="V32" s="43" t="str">
        <f>IF($B32=0,"",COUNTIFS('PART III-DEMOGRAPHICS'!$F$17:$F$2010,"=Yes",'PART III-DEMOGRAPHICS'!$Q$17:$Q$2010,$A32))</f>
        <v/>
      </c>
      <c r="W32" s="42" t="str">
        <f t="shared" si="8"/>
        <v/>
      </c>
      <c r="X32" s="42">
        <v>4.617137648131267E-2</v>
      </c>
      <c r="Y32" s="42" t="str">
        <f t="shared" si="9"/>
        <v/>
      </c>
      <c r="Z32" s="43" t="str">
        <f>IF($B32=0,"",COUNTIFS('PART III-DEMOGRAPHICS'!$E$17:$E$2010,Data!$G$6,'PART III-DEMOGRAPHICS'!$Q$17:$Q$2010,$A32))</f>
        <v/>
      </c>
      <c r="AA32" s="42" t="str">
        <f t="shared" si="10"/>
        <v/>
      </c>
      <c r="AB32" s="42">
        <v>0.92278942570647216</v>
      </c>
      <c r="AC32" s="42" t="str">
        <f t="shared" si="11"/>
        <v/>
      </c>
      <c r="AD32" s="43" t="str">
        <f>IF($B32=0,"",COUNTIFS('PART III-DEMOGRAPHICS'!$E$17:$E$2010,Data!$G$8,'PART III-DEMOGRAPHICS'!$Q$17:$Q$2010,$A32))</f>
        <v/>
      </c>
      <c r="AE32" s="42" t="str">
        <f t="shared" si="12"/>
        <v/>
      </c>
      <c r="AF32" s="42">
        <v>9.8450319051959882E-3</v>
      </c>
      <c r="AG32" s="42" t="str">
        <f t="shared" si="13"/>
        <v/>
      </c>
      <c r="AH32" s="43" t="str">
        <f>IF($B32=0,"",COUNTIFS('PART III-DEMOGRAPHICS'!$E$17:$E$2010,Data!$G$7,'PART III-DEMOGRAPHICS'!$Q$17:$Q$2010,$A32))</f>
        <v/>
      </c>
      <c r="AI32" s="42" t="str">
        <f t="shared" si="14"/>
        <v/>
      </c>
      <c r="AJ32" s="42"/>
      <c r="AK32" s="3" t="str">
        <f>IF($B32=0,"",SUMIF('PART IV-V-SERVICES AND OUTCOMES'!$U$7:$U$2000,$A32,'PART IV-V-SERVICES AND OUTCOMES'!$T$7:$T$2000))</f>
        <v/>
      </c>
      <c r="AL32" s="2" t="e">
        <f t="shared" si="15"/>
        <v>#VALUE!</v>
      </c>
    </row>
    <row r="33" spans="1:38">
      <c r="A33" s="3" t="s">
        <v>313</v>
      </c>
      <c r="B33" s="3">
        <f>COUNTIF('PART III-DEMOGRAPHICS'!$Q$17:$Q$2010,A33)</f>
        <v>0</v>
      </c>
      <c r="C33" s="3" t="str" cm="1">
        <f t="array" ref="C33">IF(_xlfn.XLOOKUP('7-OB Report'!$C$2,Data!$C$51:$C$65,_xlfn.XLOOKUP($A33,Data!$F$50:$BM$50,Data!$F$51:$BM$65))=0,"",_xlfn.XLOOKUP('7-OB Report'!$C$2,Data!$C$51:$C$65,_xlfn.XLOOKUP($A33,Data!$F$50:$BM$50,Data!$F$51:$BM$65)))</f>
        <v/>
      </c>
      <c r="D33" s="42" t="str">
        <f t="shared" si="0"/>
        <v/>
      </c>
      <c r="F33" s="3" t="str">
        <f>IF($B33=0,"",COUNTIFS('PART III-DEMOGRAPHICS'!$E$17:$E$2010,Data!$G$2,'PART III-DEMOGRAPHICS'!$Q$17:$Q$2010,$A33))</f>
        <v/>
      </c>
      <c r="G33" s="42" t="str">
        <f t="shared" si="1"/>
        <v/>
      </c>
      <c r="H33" s="42">
        <v>2.6536564830406542E-3</v>
      </c>
      <c r="I33" s="42" t="str">
        <f t="shared" si="16"/>
        <v/>
      </c>
      <c r="J33" s="43" t="str">
        <f>IF($B33=0,"",COUNTIFS('PART III-DEMOGRAPHICS'!$E$17:$E$2010,Data!$G$3,'PART III-DEMOGRAPHICS'!$Q$17:$Q$2010,$A33))</f>
        <v/>
      </c>
      <c r="K33" s="42" t="str">
        <f t="shared" si="2"/>
        <v/>
      </c>
      <c r="L33" s="42">
        <v>0.18630365304649643</v>
      </c>
      <c r="M33" s="42" t="str">
        <f t="shared" si="3"/>
        <v/>
      </c>
      <c r="N33" s="43" t="str">
        <f>IF($B33=0,"",COUNTIFS('PART III-DEMOGRAPHICS'!$E$17:$E$2010,Data!$G$4,'PART III-DEMOGRAPHICS'!$Q$17:$Q$2010,$A33))</f>
        <v/>
      </c>
      <c r="O33" s="42" t="str">
        <f t="shared" si="4"/>
        <v/>
      </c>
      <c r="P33" s="42">
        <v>1.5571840956733909E-2</v>
      </c>
      <c r="Q33" s="42" t="str">
        <f t="shared" si="5"/>
        <v/>
      </c>
      <c r="R33" s="43" t="str">
        <f>IF($B33=0,"",COUNTIFS('PART III-DEMOGRAPHICS'!$E$17:$E$2010,Data!$G$5,'PART III-DEMOGRAPHICS'!$Q$17:$Q$2010,$A33))</f>
        <v/>
      </c>
      <c r="S33" s="42" t="str">
        <f t="shared" si="6"/>
        <v/>
      </c>
      <c r="T33" s="42">
        <v>3.046711227189938E-3</v>
      </c>
      <c r="U33" s="42" t="str">
        <f t="shared" si="7"/>
        <v/>
      </c>
      <c r="V33" s="43" t="str">
        <f>IF($B33=0,"",COUNTIFS('PART III-DEMOGRAPHICS'!$F$17:$F$2010,"=Yes",'PART III-DEMOGRAPHICS'!$Q$17:$Q$2010,$A33))</f>
        <v/>
      </c>
      <c r="W33" s="42" t="str">
        <f t="shared" si="8"/>
        <v/>
      </c>
      <c r="X33" s="42">
        <v>0.21493328808550122</v>
      </c>
      <c r="Y33" s="42" t="str">
        <f t="shared" si="9"/>
        <v/>
      </c>
      <c r="Z33" s="43" t="str">
        <f>IF($B33=0,"",COUNTIFS('PART III-DEMOGRAPHICS'!$E$17:$E$2010,Data!$G$6,'PART III-DEMOGRAPHICS'!$Q$17:$Q$2010,$A33))</f>
        <v/>
      </c>
      <c r="AA33" s="42" t="str">
        <f t="shared" si="10"/>
        <v/>
      </c>
      <c r="AB33" s="42">
        <v>0.57369883844805658</v>
      </c>
      <c r="AC33" s="42" t="str">
        <f t="shared" si="11"/>
        <v/>
      </c>
      <c r="AD33" s="43" t="str">
        <f>IF($B33=0,"",COUNTIFS('PART III-DEMOGRAPHICS'!$E$17:$E$2010,Data!$G$8,'PART III-DEMOGRAPHICS'!$Q$17:$Q$2010,$A33))</f>
        <v/>
      </c>
      <c r="AE33" s="42" t="str">
        <f t="shared" si="12"/>
        <v/>
      </c>
      <c r="AF33" s="42">
        <v>3.7920117529812022E-3</v>
      </c>
      <c r="AG33" s="42" t="str">
        <f t="shared" si="13"/>
        <v/>
      </c>
      <c r="AH33" s="43" t="str">
        <f>IF($B33=0,"",COUNTIFS('PART III-DEMOGRAPHICS'!$E$17:$E$2010,Data!$G$7,'PART III-DEMOGRAPHICS'!$Q$17:$Q$2010,$A33))</f>
        <v/>
      </c>
      <c r="AI33" s="42" t="str">
        <f t="shared" si="14"/>
        <v/>
      </c>
      <c r="AJ33" s="42"/>
      <c r="AK33" s="3" t="str">
        <f>IF($B33=0,"",SUMIF('PART IV-V-SERVICES AND OUTCOMES'!$U$7:$U$2000,$A33,'PART IV-V-SERVICES AND OUTCOMES'!$T$7:$T$2000))</f>
        <v/>
      </c>
      <c r="AL33" s="2" t="e">
        <f t="shared" si="15"/>
        <v>#VALUE!</v>
      </c>
    </row>
    <row r="34" spans="1:38">
      <c r="A34" s="3" t="s">
        <v>314</v>
      </c>
      <c r="B34" s="3">
        <f>COUNTIF('PART III-DEMOGRAPHICS'!$Q$17:$Q$2010,A34)</f>
        <v>0</v>
      </c>
      <c r="C34" s="3" cm="1">
        <f t="array" ref="C34">IF(_xlfn.XLOOKUP('7-OB Report'!$C$2,Data!$C$51:$C$65,_xlfn.XLOOKUP($A34,Data!$F$50:$BM$50,Data!$F$51:$BM$65))=0,"",_xlfn.XLOOKUP('7-OB Report'!$C$2,Data!$C$51:$C$65,_xlfn.XLOOKUP($A34,Data!$F$50:$BM$50,Data!$F$51:$BM$65)))</f>
        <v>52</v>
      </c>
      <c r="D34" s="42">
        <f t="shared" si="0"/>
        <v>0</v>
      </c>
      <c r="F34" s="3" t="str">
        <f>IF($B34=0,"",COUNTIFS('PART III-DEMOGRAPHICS'!$E$17:$E$2010,Data!$G$2,'PART III-DEMOGRAPHICS'!$Q$17:$Q$2010,$A34))</f>
        <v/>
      </c>
      <c r="G34" s="42" t="str">
        <f t="shared" si="1"/>
        <v/>
      </c>
      <c r="H34" s="42">
        <v>6.9670467544927861E-3</v>
      </c>
      <c r="I34" s="42" t="str">
        <f t="shared" si="16"/>
        <v/>
      </c>
      <c r="J34" s="43" t="str">
        <f>IF($B34=0,"",COUNTIFS('PART III-DEMOGRAPHICS'!$E$17:$E$2010,Data!$G$3,'PART III-DEMOGRAPHICS'!$Q$17:$Q$2010,$A34))</f>
        <v/>
      </c>
      <c r="K34" s="42" t="str">
        <f t="shared" si="2"/>
        <v/>
      </c>
      <c r="L34" s="42">
        <v>5.8747555260341713E-2</v>
      </c>
      <c r="M34" s="42" t="str">
        <f t="shared" si="3"/>
        <v/>
      </c>
      <c r="N34" s="43" t="str">
        <f>IF($B34=0,"",COUNTIFS('PART III-DEMOGRAPHICS'!$E$17:$E$2010,Data!$G$4,'PART III-DEMOGRAPHICS'!$Q$17:$Q$2010,$A34))</f>
        <v/>
      </c>
      <c r="O34" s="42" t="str">
        <f t="shared" si="4"/>
        <v/>
      </c>
      <c r="P34" s="42">
        <v>1.0635078785195026E-2</v>
      </c>
      <c r="Q34" s="42" t="str">
        <f t="shared" si="5"/>
        <v/>
      </c>
      <c r="R34" s="43" t="str">
        <f>IF($B34=0,"",COUNTIFS('PART III-DEMOGRAPHICS'!$E$17:$E$2010,Data!$G$5,'PART III-DEMOGRAPHICS'!$Q$17:$Q$2010,$A34))</f>
        <v/>
      </c>
      <c r="S34" s="42" t="str">
        <f t="shared" si="6"/>
        <v/>
      </c>
      <c r="T34" s="42">
        <v>1.7786634193143658E-3</v>
      </c>
      <c r="U34" s="42" t="str">
        <f t="shared" si="7"/>
        <v/>
      </c>
      <c r="V34" s="43" t="str">
        <f>IF($B34=0,"",COUNTIFS('PART III-DEMOGRAPHICS'!$F$17:$F$2010,"=Yes",'PART III-DEMOGRAPHICS'!$Q$17:$Q$2010,$A34))</f>
        <v/>
      </c>
      <c r="W34" s="42" t="str">
        <f t="shared" si="8"/>
        <v/>
      </c>
      <c r="X34" s="42">
        <v>7.6275877338647186E-2</v>
      </c>
      <c r="Y34" s="42" t="str">
        <f t="shared" si="9"/>
        <v/>
      </c>
      <c r="Z34" s="43" t="str">
        <f>IF($B34=0,"",COUNTIFS('PART III-DEMOGRAPHICS'!$E$17:$E$2010,Data!$G$6,'PART III-DEMOGRAPHICS'!$Q$17:$Q$2010,$A34))</f>
        <v/>
      </c>
      <c r="AA34" s="42" t="str">
        <f t="shared" si="10"/>
        <v/>
      </c>
      <c r="AB34" s="42">
        <v>0.83447359681169042</v>
      </c>
      <c r="AC34" s="42" t="str">
        <f t="shared" si="11"/>
        <v/>
      </c>
      <c r="AD34" s="43" t="str">
        <f>IF($B34=0,"",COUNTIFS('PART III-DEMOGRAPHICS'!$E$17:$E$2010,Data!$G$8,'PART III-DEMOGRAPHICS'!$Q$17:$Q$2010,$A34))</f>
        <v/>
      </c>
      <c r="AE34" s="42" t="str">
        <f t="shared" si="12"/>
        <v/>
      </c>
      <c r="AF34" s="42">
        <v>1.1122181630318462E-2</v>
      </c>
      <c r="AG34" s="42" t="str">
        <f t="shared" si="13"/>
        <v/>
      </c>
      <c r="AH34" s="43" t="str">
        <f>IF($B34=0,"",COUNTIFS('PART III-DEMOGRAPHICS'!$E$17:$E$2010,Data!$G$7,'PART III-DEMOGRAPHICS'!$Q$17:$Q$2010,$A34))</f>
        <v/>
      </c>
      <c r="AI34" s="42" t="str">
        <f t="shared" si="14"/>
        <v/>
      </c>
      <c r="AJ34" s="42"/>
      <c r="AK34" s="3" t="str">
        <f>IF($B34=0,"",SUMIF('PART IV-V-SERVICES AND OUTCOMES'!$U$7:$U$2000,$A34,'PART IV-V-SERVICES AND OUTCOMES'!$T$7:$T$2000))</f>
        <v/>
      </c>
      <c r="AL34" s="2" t="e">
        <f t="shared" si="15"/>
        <v>#VALUE!</v>
      </c>
    </row>
    <row r="35" spans="1:38">
      <c r="A35" s="3" t="s">
        <v>315</v>
      </c>
      <c r="B35" s="3">
        <f>COUNTIF('PART III-DEMOGRAPHICS'!$Q$17:$Q$2010,A35)</f>
        <v>0</v>
      </c>
      <c r="C35" s="3" t="str" cm="1">
        <f t="array" ref="C35">IF(_xlfn.XLOOKUP('7-OB Report'!$C$2,Data!$C$51:$C$65,_xlfn.XLOOKUP($A35,Data!$F$50:$BM$50,Data!$F$51:$BM$65))=0,"",_xlfn.XLOOKUP('7-OB Report'!$C$2,Data!$C$51:$C$65,_xlfn.XLOOKUP($A35,Data!$F$50:$BM$50,Data!$F$51:$BM$65)))</f>
        <v/>
      </c>
      <c r="D35" s="42" t="str">
        <f t="shared" si="0"/>
        <v/>
      </c>
      <c r="F35" s="3" t="str">
        <f>IF($B35=0,"",COUNTIFS('PART III-DEMOGRAPHICS'!$E$17:$E$2010,Data!$G$2,'PART III-DEMOGRAPHICS'!$Q$17:$Q$2010,$A35))</f>
        <v/>
      </c>
      <c r="G35" s="42" t="str">
        <f t="shared" si="1"/>
        <v/>
      </c>
      <c r="H35" s="42">
        <v>1.7985987660775908E-2</v>
      </c>
      <c r="I35" s="42" t="str">
        <f t="shared" si="16"/>
        <v/>
      </c>
      <c r="J35" s="43" t="str">
        <f>IF($B35=0,"",COUNTIFS('PART III-DEMOGRAPHICS'!$E$17:$E$2010,Data!$G$3,'PART III-DEMOGRAPHICS'!$Q$17:$Q$2010,$A35))</f>
        <v/>
      </c>
      <c r="K35" s="42" t="str">
        <f t="shared" si="2"/>
        <v/>
      </c>
      <c r="L35" s="42">
        <v>5.7513332636202029E-3</v>
      </c>
      <c r="M35" s="42" t="str">
        <f t="shared" si="3"/>
        <v/>
      </c>
      <c r="N35" s="43" t="str">
        <f>IF($B35=0,"",COUNTIFS('PART III-DEMOGRAPHICS'!$E$17:$E$2010,Data!$G$4,'PART III-DEMOGRAPHICS'!$Q$17:$Q$2010,$A35))</f>
        <v/>
      </c>
      <c r="O35" s="42" t="str">
        <f t="shared" si="4"/>
        <v/>
      </c>
      <c r="P35" s="42">
        <v>4.2873575237896058E-3</v>
      </c>
      <c r="Q35" s="42" t="str">
        <f t="shared" si="5"/>
        <v/>
      </c>
      <c r="R35" s="43" t="str">
        <f>IF($B35=0,"",COUNTIFS('PART III-DEMOGRAPHICS'!$E$17:$E$2010,Data!$G$5,'PART III-DEMOGRAPHICS'!$Q$17:$Q$2010,$A35))</f>
        <v/>
      </c>
      <c r="S35" s="42" t="str">
        <f t="shared" si="6"/>
        <v/>
      </c>
      <c r="T35" s="42">
        <v>9.4112726131966951E-4</v>
      </c>
      <c r="U35" s="42" t="str">
        <f t="shared" si="7"/>
        <v/>
      </c>
      <c r="V35" s="43" t="str">
        <f>IF($B35=0,"",COUNTIFS('PART III-DEMOGRAPHICS'!$F$17:$F$2010,"=Yes",'PART III-DEMOGRAPHICS'!$Q$17:$Q$2010,$A35))</f>
        <v/>
      </c>
      <c r="W35" s="42" t="str">
        <f t="shared" si="8"/>
        <v/>
      </c>
      <c r="X35" s="42">
        <v>5.2284847851092754E-2</v>
      </c>
      <c r="Y35" s="42" t="str">
        <f t="shared" si="9"/>
        <v/>
      </c>
      <c r="Z35" s="43" t="str">
        <f>IF($B35=0,"",COUNTIFS('PART III-DEMOGRAPHICS'!$E$17:$E$2010,Data!$G$6,'PART III-DEMOGRAPHICS'!$Q$17:$Q$2010,$A35))</f>
        <v/>
      </c>
      <c r="AA35" s="42" t="str">
        <f t="shared" si="10"/>
        <v/>
      </c>
      <c r="AB35" s="42">
        <v>0.90159991634424341</v>
      </c>
      <c r="AC35" s="42" t="str">
        <f t="shared" si="11"/>
        <v/>
      </c>
      <c r="AD35" s="43" t="str">
        <f>IF($B35=0,"",COUNTIFS('PART III-DEMOGRAPHICS'!$E$17:$E$2010,Data!$G$8,'PART III-DEMOGRAPHICS'!$Q$17:$Q$2010,$A35))</f>
        <v/>
      </c>
      <c r="AE35" s="42" t="str">
        <f t="shared" si="12"/>
        <v/>
      </c>
      <c r="AF35" s="42">
        <v>1.7149430095158423E-2</v>
      </c>
      <c r="AG35" s="42" t="str">
        <f t="shared" si="13"/>
        <v/>
      </c>
      <c r="AH35" s="43" t="str">
        <f>IF($B35=0,"",COUNTIFS('PART III-DEMOGRAPHICS'!$E$17:$E$2010,Data!$G$7,'PART III-DEMOGRAPHICS'!$Q$17:$Q$2010,$A35))</f>
        <v/>
      </c>
      <c r="AI35" s="42" t="str">
        <f t="shared" si="14"/>
        <v/>
      </c>
      <c r="AJ35" s="42"/>
      <c r="AK35" s="3" t="str">
        <f>IF($B35=0,"",SUMIF('PART IV-V-SERVICES AND OUTCOMES'!$U$7:$U$2000,$A35,'PART IV-V-SERVICES AND OUTCOMES'!$T$7:$T$2000))</f>
        <v/>
      </c>
      <c r="AL35" s="2" t="e">
        <f t="shared" si="15"/>
        <v>#VALUE!</v>
      </c>
    </row>
    <row r="36" spans="1:38">
      <c r="A36" s="3" t="s">
        <v>316</v>
      </c>
      <c r="B36" s="3">
        <f>COUNTIF('PART III-DEMOGRAPHICS'!$Q$17:$Q$2010,A36)</f>
        <v>0</v>
      </c>
      <c r="C36" s="3" t="str" cm="1">
        <f t="array" ref="C36">IF(_xlfn.XLOOKUP('7-OB Report'!$C$2,Data!$C$51:$C$65,_xlfn.XLOOKUP($A36,Data!$F$50:$BM$50,Data!$F$51:$BM$65))=0,"",_xlfn.XLOOKUP('7-OB Report'!$C$2,Data!$C$51:$C$65,_xlfn.XLOOKUP($A36,Data!$F$50:$BM$50,Data!$F$51:$BM$65)))</f>
        <v/>
      </c>
      <c r="D36" s="42" t="str">
        <f t="shared" ref="D36:D63" si="17">IF(C36="","",B36/C36)</f>
        <v/>
      </c>
      <c r="F36" s="3" t="str">
        <f>IF($B36=0,"",COUNTIFS('PART III-DEMOGRAPHICS'!$E$17:$E$2010,Data!$G$2,'PART III-DEMOGRAPHICS'!$Q$17:$Q$2010,$A36))</f>
        <v/>
      </c>
      <c r="G36" s="42" t="str">
        <f t="shared" ref="G36:G61" si="18">IF($B36=0,"",$F36/$B36)</f>
        <v/>
      </c>
      <c r="H36" s="42">
        <v>5.6284900048337401E-3</v>
      </c>
      <c r="I36" s="42" t="str">
        <f t="shared" ref="I36:I61" si="19">IF($B36=0,"",(IF(G36&gt;=H36,"Met","Unmet")))</f>
        <v/>
      </c>
      <c r="J36" s="43" t="str">
        <f>IF($B36=0,"",COUNTIFS('PART III-DEMOGRAPHICS'!$E$17:$E$2010,Data!$G$3,'PART III-DEMOGRAPHICS'!$Q$17:$Q$2010,$A36))</f>
        <v/>
      </c>
      <c r="K36" s="42" t="str">
        <f t="shared" ref="K36:K61" si="20">IF($B36=0,"",$J36/$B36)</f>
        <v/>
      </c>
      <c r="L36" s="42">
        <v>6.4193847805393028E-2</v>
      </c>
      <c r="M36" s="42" t="str">
        <f t="shared" ref="M36:M61" si="21">IF($B36=0,"",(IF(K36&gt;=L36,"Met","Unmet")))</f>
        <v/>
      </c>
      <c r="N36" s="43" t="str">
        <f>IF($B36=0,"",COUNTIFS('PART III-DEMOGRAPHICS'!$E$17:$E$2010,Data!$G$4,'PART III-DEMOGRAPHICS'!$Q$17:$Q$2010,$A36))</f>
        <v/>
      </c>
      <c r="O36" s="42" t="str">
        <f t="shared" ref="O36:O61" si="22">IF($B36=0,"",$N36/$B36)</f>
        <v/>
      </c>
      <c r="P36" s="42">
        <v>5.7890710026007298E-2</v>
      </c>
      <c r="Q36" s="42" t="str">
        <f t="shared" ref="Q36:Q61" si="23">IF($B36=0,"",(IF(O36&gt;=P36,"Met","Unmet")))</f>
        <v/>
      </c>
      <c r="R36" s="43" t="str">
        <f>IF($B36=0,"",COUNTIFS('PART III-DEMOGRAPHICS'!$E$17:$E$2010,Data!$G$5,'PART III-DEMOGRAPHICS'!$Q$17:$Q$2010,$A36))</f>
        <v/>
      </c>
      <c r="S36" s="42" t="str">
        <f t="shared" ref="S36:S61" si="24">IF($B36=0,"",$R36/$B36)</f>
        <v/>
      </c>
      <c r="T36" s="42">
        <v>2.3190090536248601E-3</v>
      </c>
      <c r="U36" s="42" t="str">
        <f t="shared" ref="U36:U61" si="25">IF($B36=0,"",(IF(S36&gt;=T36,"Met","Unmet")))</f>
        <v/>
      </c>
      <c r="V36" s="43" t="str">
        <f>IF($B36=0,"",COUNTIFS('PART III-DEMOGRAPHICS'!$F$17:$F$2010,"=Yes",'PART III-DEMOGRAPHICS'!$Q$17:$Q$2010,$A36))</f>
        <v/>
      </c>
      <c r="W36" s="42" t="str">
        <f t="shared" ref="W36:W61" si="26">IF($B36=0,"",$V36/$B36)</f>
        <v/>
      </c>
      <c r="X36" s="42">
        <v>0.29103415348755829</v>
      </c>
      <c r="Y36" s="42" t="str">
        <f t="shared" ref="Y36:Y61" si="27">IF($B36=0,"",(IF(W36&gt;=X36,"Met","Unmet")))</f>
        <v/>
      </c>
      <c r="Z36" s="43" t="str">
        <f>IF($B36=0,"",COUNTIFS('PART III-DEMOGRAPHICS'!$E$17:$E$2010,Data!$G$6,'PART III-DEMOGRAPHICS'!$Q$17:$Q$2010,$A36))</f>
        <v/>
      </c>
      <c r="AA36" s="42" t="str">
        <f t="shared" ref="AA36:AA61" si="28">IF($B36=0,"",$Z36/$B36)</f>
        <v/>
      </c>
      <c r="AB36" s="42">
        <v>0.57293461402733581</v>
      </c>
      <c r="AC36" s="42" t="str">
        <f t="shared" ref="AC36:AC61" si="29">IF($B36=0,"",(IF(AA36&gt;=AB36,"Met","Unmet")))</f>
        <v/>
      </c>
      <c r="AD36" s="43" t="str">
        <f>IF($B36=0,"",COUNTIFS('PART III-DEMOGRAPHICS'!$E$17:$E$2010,Data!$G$8,'PART III-DEMOGRAPHICS'!$Q$17:$Q$2010,$A36))</f>
        <v/>
      </c>
      <c r="AE36" s="42" t="str">
        <f t="shared" ref="AE36:AE61" si="30">IF($B36=0,"",$AD36/$B36)</f>
        <v/>
      </c>
      <c r="AF36" s="42">
        <v>5.999175595246921E-3</v>
      </c>
      <c r="AG36" s="42" t="str">
        <f t="shared" ref="AG36:AG61" si="31">IF($B36=0,"",(IF(AE36&gt;=AF36,"Met","Unmet")))</f>
        <v/>
      </c>
      <c r="AH36" s="43" t="str">
        <f>IF($B36=0,"",COUNTIFS('PART III-DEMOGRAPHICS'!$E$17:$E$2010,Data!$G$7,'PART III-DEMOGRAPHICS'!$Q$17:$Q$2010,$A36))</f>
        <v/>
      </c>
      <c r="AI36" s="42" t="str">
        <f t="shared" ref="AI36:AI61" si="32">IF($B36=0,"",$AH36/$B36)</f>
        <v/>
      </c>
      <c r="AJ36" s="42"/>
      <c r="AK36" s="3" t="str">
        <f>IF($B36=0,"",SUMIF('PART IV-V-SERVICES AND OUTCOMES'!$U$7:$U$2000,$A36,'PART IV-V-SERVICES AND OUTCOMES'!$T$7:$T$2000))</f>
        <v/>
      </c>
      <c r="AL36" s="2" t="e">
        <f t="shared" ref="AL36:AL63" si="33">$AK36/$B36</f>
        <v>#VALUE!</v>
      </c>
    </row>
    <row r="37" spans="1:38">
      <c r="A37" s="3" t="s">
        <v>317</v>
      </c>
      <c r="B37" s="3">
        <f>COUNTIF('PART III-DEMOGRAPHICS'!$Q$17:$Q$2010,A37)</f>
        <v>0</v>
      </c>
      <c r="C37" s="3" cm="1">
        <f t="array" ref="C37">IF(_xlfn.XLOOKUP('7-OB Report'!$C$2,Data!$C$51:$C$65,_xlfn.XLOOKUP($A37,Data!$F$50:$BM$50,Data!$F$51:$BM$65))=0,"",_xlfn.XLOOKUP('7-OB Report'!$C$2,Data!$C$51:$C$65,_xlfn.XLOOKUP($A37,Data!$F$50:$BM$50,Data!$F$51:$BM$65)))</f>
        <v>199</v>
      </c>
      <c r="D37" s="42">
        <f t="shared" si="17"/>
        <v>0</v>
      </c>
      <c r="F37" s="3" t="str">
        <f>IF($B37=0,"",COUNTIFS('PART III-DEMOGRAPHICS'!$E$17:$E$2010,Data!$G$2,'PART III-DEMOGRAPHICS'!$Q$17:$Q$2010,$A37))</f>
        <v/>
      </c>
      <c r="G37" s="42" t="str">
        <f t="shared" si="18"/>
        <v/>
      </c>
      <c r="H37" s="42">
        <v>6.8234039729857454E-3</v>
      </c>
      <c r="I37" s="42" t="str">
        <f t="shared" si="19"/>
        <v/>
      </c>
      <c r="J37" s="43" t="str">
        <f>IF($B37=0,"",COUNTIFS('PART III-DEMOGRAPHICS'!$E$17:$E$2010,Data!$G$3,'PART III-DEMOGRAPHICS'!$Q$17:$Q$2010,$A37))</f>
        <v/>
      </c>
      <c r="K37" s="42" t="str">
        <f t="shared" si="20"/>
        <v/>
      </c>
      <c r="L37" s="42">
        <v>0.14108219978535727</v>
      </c>
      <c r="M37" s="42" t="str">
        <f t="shared" si="21"/>
        <v/>
      </c>
      <c r="N37" s="43" t="str">
        <f>IF($B37=0,"",COUNTIFS('PART III-DEMOGRAPHICS'!$E$17:$E$2010,Data!$G$4,'PART III-DEMOGRAPHICS'!$Q$17:$Q$2010,$A37))</f>
        <v/>
      </c>
      <c r="O37" s="42" t="str">
        <f t="shared" si="22"/>
        <v/>
      </c>
      <c r="P37" s="42">
        <v>8.9242022483942529E-2</v>
      </c>
      <c r="Q37" s="42" t="str">
        <f t="shared" si="23"/>
        <v/>
      </c>
      <c r="R37" s="43" t="str">
        <f>IF($B37=0,"",COUNTIFS('PART III-DEMOGRAPHICS'!$E$17:$E$2010,Data!$G$5,'PART III-DEMOGRAPHICS'!$Q$17:$Q$2010,$A37))</f>
        <v/>
      </c>
      <c r="S37" s="42" t="str">
        <f t="shared" si="24"/>
        <v/>
      </c>
      <c r="T37" s="42">
        <v>9.7613554618659944E-3</v>
      </c>
      <c r="U37" s="42" t="str">
        <f t="shared" si="25"/>
        <v/>
      </c>
      <c r="V37" s="43" t="str">
        <f>IF($B37=0,"",COUNTIFS('PART III-DEMOGRAPHICS'!$F$17:$F$2010,"=Yes",'PART III-DEMOGRAPHICS'!$Q$17:$Q$2010,$A37))</f>
        <v/>
      </c>
      <c r="W37" s="42" t="str">
        <f t="shared" si="26"/>
        <v/>
      </c>
      <c r="X37" s="42">
        <v>0.13691738582845808</v>
      </c>
      <c r="Y37" s="42" t="str">
        <f t="shared" si="27"/>
        <v/>
      </c>
      <c r="Z37" s="43" t="str">
        <f>IF($B37=0,"",COUNTIFS('PART III-DEMOGRAPHICS'!$E$17:$E$2010,Data!$G$6,'PART III-DEMOGRAPHICS'!$Q$17:$Q$2010,$A37))</f>
        <v/>
      </c>
      <c r="AA37" s="42" t="str">
        <f t="shared" si="28"/>
        <v/>
      </c>
      <c r="AB37" s="42">
        <v>0.60096705629832081</v>
      </c>
      <c r="AC37" s="42" t="str">
        <f t="shared" si="29"/>
        <v/>
      </c>
      <c r="AD37" s="43" t="str">
        <f>IF($B37=0,"",COUNTIFS('PART III-DEMOGRAPHICS'!$E$17:$E$2010,Data!$G$8,'PART III-DEMOGRAPHICS'!$Q$17:$Q$2010,$A37))</f>
        <v/>
      </c>
      <c r="AE37" s="42" t="str">
        <f t="shared" si="30"/>
        <v/>
      </c>
      <c r="AF37" s="42">
        <v>1.5206576169069563E-2</v>
      </c>
      <c r="AG37" s="42" t="str">
        <f t="shared" si="31"/>
        <v/>
      </c>
      <c r="AH37" s="43" t="str">
        <f>IF($B37=0,"",COUNTIFS('PART III-DEMOGRAPHICS'!$E$17:$E$2010,Data!$G$7,'PART III-DEMOGRAPHICS'!$Q$17:$Q$2010,$A37))</f>
        <v/>
      </c>
      <c r="AI37" s="42" t="str">
        <f t="shared" si="32"/>
        <v/>
      </c>
      <c r="AJ37" s="42"/>
      <c r="AK37" s="3" t="str">
        <f>IF($B37=0,"",SUMIF('PART IV-V-SERVICES AND OUTCOMES'!$U$7:$U$2000,$A37,'PART IV-V-SERVICES AND OUTCOMES'!$T$7:$T$2000))</f>
        <v/>
      </c>
      <c r="AL37" s="2" t="e">
        <f t="shared" si="33"/>
        <v>#VALUE!</v>
      </c>
    </row>
    <row r="38" spans="1:38">
      <c r="A38" s="3" t="s">
        <v>318</v>
      </c>
      <c r="B38" s="3">
        <f>COUNTIF('PART III-DEMOGRAPHICS'!$Q$17:$Q$2010,A38)</f>
        <v>0</v>
      </c>
      <c r="C38" s="3" t="str" cm="1">
        <f t="array" ref="C38">IF(_xlfn.XLOOKUP('7-OB Report'!$C$2,Data!$C$51:$C$65,_xlfn.XLOOKUP($A38,Data!$F$50:$BM$50,Data!$F$51:$BM$65))=0,"",_xlfn.XLOOKUP('7-OB Report'!$C$2,Data!$C$51:$C$65,_xlfn.XLOOKUP($A38,Data!$F$50:$BM$50,Data!$F$51:$BM$65)))</f>
        <v/>
      </c>
      <c r="D38" s="42" t="str">
        <f t="shared" si="17"/>
        <v/>
      </c>
      <c r="F38" s="3" t="str">
        <f>IF($B38=0,"",COUNTIFS('PART III-DEMOGRAPHICS'!$E$17:$E$2010,Data!$G$2,'PART III-DEMOGRAPHICS'!$Q$17:$Q$2010,$A38))</f>
        <v/>
      </c>
      <c r="G38" s="42" t="str">
        <f t="shared" si="18"/>
        <v/>
      </c>
      <c r="H38" s="42">
        <v>5.7930258717660294E-3</v>
      </c>
      <c r="I38" s="42" t="str">
        <f t="shared" si="19"/>
        <v/>
      </c>
      <c r="J38" s="43" t="str">
        <f>IF($B38=0,"",COUNTIFS('PART III-DEMOGRAPHICS'!$E$17:$E$2010,Data!$G$3,'PART III-DEMOGRAPHICS'!$Q$17:$Q$2010,$A38))</f>
        <v/>
      </c>
      <c r="K38" s="42" t="str">
        <f t="shared" si="20"/>
        <v/>
      </c>
      <c r="L38" s="42">
        <v>3.1833520809898763E-2</v>
      </c>
      <c r="M38" s="42" t="str">
        <f t="shared" si="21"/>
        <v/>
      </c>
      <c r="N38" s="43" t="str">
        <f>IF($B38=0,"",COUNTIFS('PART III-DEMOGRAPHICS'!$E$17:$E$2010,Data!$G$4,'PART III-DEMOGRAPHICS'!$Q$17:$Q$2010,$A38))</f>
        <v/>
      </c>
      <c r="O38" s="42" t="str">
        <f t="shared" si="22"/>
        <v/>
      </c>
      <c r="P38" s="42">
        <v>9.6175478065241848E-3</v>
      </c>
      <c r="Q38" s="42" t="str">
        <f t="shared" si="23"/>
        <v/>
      </c>
      <c r="R38" s="43" t="str">
        <f>IF($B38=0,"",COUNTIFS('PART III-DEMOGRAPHICS'!$E$17:$E$2010,Data!$G$5,'PART III-DEMOGRAPHICS'!$Q$17:$Q$2010,$A38))</f>
        <v/>
      </c>
      <c r="S38" s="42" t="str">
        <f t="shared" si="24"/>
        <v/>
      </c>
      <c r="T38" s="42">
        <v>1.8560179977502812E-3</v>
      </c>
      <c r="U38" s="42" t="str">
        <f t="shared" si="25"/>
        <v/>
      </c>
      <c r="V38" s="43" t="str">
        <f>IF($B38=0,"",COUNTIFS('PART III-DEMOGRAPHICS'!$F$17:$F$2010,"=Yes",'PART III-DEMOGRAPHICS'!$Q$17:$Q$2010,$A38))</f>
        <v/>
      </c>
      <c r="W38" s="42" t="str">
        <f t="shared" si="26"/>
        <v/>
      </c>
      <c r="X38" s="42">
        <v>0.39730033745781779</v>
      </c>
      <c r="Y38" s="42" t="str">
        <f t="shared" si="27"/>
        <v/>
      </c>
      <c r="Z38" s="43" t="str">
        <f>IF($B38=0,"",COUNTIFS('PART III-DEMOGRAPHICS'!$E$17:$E$2010,Data!$G$6,'PART III-DEMOGRAPHICS'!$Q$17:$Q$2010,$A38))</f>
        <v/>
      </c>
      <c r="AA38" s="42" t="str">
        <f t="shared" si="28"/>
        <v/>
      </c>
      <c r="AB38" s="42">
        <v>0.54246344206974129</v>
      </c>
      <c r="AC38" s="42" t="str">
        <f t="shared" si="29"/>
        <v/>
      </c>
      <c r="AD38" s="43" t="str">
        <f>IF($B38=0,"",COUNTIFS('PART III-DEMOGRAPHICS'!$E$17:$E$2010,Data!$G$8,'PART III-DEMOGRAPHICS'!$Q$17:$Q$2010,$A38))</f>
        <v/>
      </c>
      <c r="AE38" s="42" t="str">
        <f t="shared" si="30"/>
        <v/>
      </c>
      <c r="AF38" s="42">
        <v>1.1136107986501687E-2</v>
      </c>
      <c r="AG38" s="42" t="str">
        <f t="shared" si="31"/>
        <v/>
      </c>
      <c r="AH38" s="43" t="str">
        <f>IF($B38=0,"",COUNTIFS('PART III-DEMOGRAPHICS'!$E$17:$E$2010,Data!$G$7,'PART III-DEMOGRAPHICS'!$Q$17:$Q$2010,$A38))</f>
        <v/>
      </c>
      <c r="AI38" s="42" t="str">
        <f t="shared" si="32"/>
        <v/>
      </c>
      <c r="AJ38" s="42"/>
      <c r="AK38" s="3" t="str">
        <f>IF($B38=0,"",SUMIF('PART IV-V-SERVICES AND OUTCOMES'!$U$7:$U$2000,$A38,'PART IV-V-SERVICES AND OUTCOMES'!$T$7:$T$2000))</f>
        <v/>
      </c>
      <c r="AL38" s="2" t="e">
        <f t="shared" si="33"/>
        <v>#VALUE!</v>
      </c>
    </row>
    <row r="39" spans="1:38">
      <c r="A39" s="3" t="s">
        <v>319</v>
      </c>
      <c r="B39" s="3">
        <f>COUNTIF('PART III-DEMOGRAPHICS'!$Q$17:$Q$2010,A39)</f>
        <v>0</v>
      </c>
      <c r="C39" s="3" t="str" cm="1">
        <f t="array" ref="C39">IF(_xlfn.XLOOKUP('7-OB Report'!$C$2,Data!$C$51:$C$65,_xlfn.XLOOKUP($A39,Data!$F$50:$BM$50,Data!$F$51:$BM$65))=0,"",_xlfn.XLOOKUP('7-OB Report'!$C$2,Data!$C$51:$C$65,_xlfn.XLOOKUP($A39,Data!$F$50:$BM$50,Data!$F$51:$BM$65)))</f>
        <v/>
      </c>
      <c r="D39" s="42" t="str">
        <f t="shared" si="17"/>
        <v/>
      </c>
      <c r="F39" s="3" t="str">
        <f>IF($B39=0,"",COUNTIFS('PART III-DEMOGRAPHICS'!$E$17:$E$2010,Data!$G$2,'PART III-DEMOGRAPHICS'!$Q$17:$Q$2010,$A39))</f>
        <v/>
      </c>
      <c r="G39" s="42" t="str">
        <f t="shared" si="18"/>
        <v/>
      </c>
      <c r="H39" s="42">
        <v>5.363318845226419E-3</v>
      </c>
      <c r="I39" s="42" t="str">
        <f t="shared" si="19"/>
        <v/>
      </c>
      <c r="J39" s="43" t="str">
        <f>IF($B39=0,"",COUNTIFS('PART III-DEMOGRAPHICS'!$E$17:$E$2010,Data!$G$3,'PART III-DEMOGRAPHICS'!$Q$17:$Q$2010,$A39))</f>
        <v/>
      </c>
      <c r="K39" s="42" t="str">
        <f t="shared" si="20"/>
        <v/>
      </c>
      <c r="L39" s="42">
        <v>7.808969472527931E-2</v>
      </c>
      <c r="M39" s="42" t="str">
        <f t="shared" si="21"/>
        <v/>
      </c>
      <c r="N39" s="43" t="str">
        <f>IF($B39=0,"",COUNTIFS('PART III-DEMOGRAPHICS'!$E$17:$E$2010,Data!$G$4,'PART III-DEMOGRAPHICS'!$Q$17:$Q$2010,$A39))</f>
        <v/>
      </c>
      <c r="O39" s="42" t="str">
        <f t="shared" si="22"/>
        <v/>
      </c>
      <c r="P39" s="42">
        <v>8.3276576127065308E-2</v>
      </c>
      <c r="Q39" s="42" t="str">
        <f t="shared" si="23"/>
        <v/>
      </c>
      <c r="R39" s="43" t="str">
        <f>IF($B39=0,"",COUNTIFS('PART III-DEMOGRAPHICS'!$E$17:$E$2010,Data!$G$5,'PART III-DEMOGRAPHICS'!$Q$17:$Q$2010,$A39))</f>
        <v/>
      </c>
      <c r="S39" s="42" t="str">
        <f t="shared" si="24"/>
        <v/>
      </c>
      <c r="T39" s="42">
        <v>2.8590454544592191E-3</v>
      </c>
      <c r="U39" s="42" t="str">
        <f t="shared" si="25"/>
        <v/>
      </c>
      <c r="V39" s="43" t="str">
        <f>IF($B39=0,"",COUNTIFS('PART III-DEMOGRAPHICS'!$F$17:$F$2010,"=Yes",'PART III-DEMOGRAPHICS'!$Q$17:$Q$2010,$A39))</f>
        <v/>
      </c>
      <c r="W39" s="42" t="str">
        <f t="shared" si="26"/>
        <v/>
      </c>
      <c r="X39" s="42">
        <v>0.36606595724901775</v>
      </c>
      <c r="Y39" s="42" t="str">
        <f t="shared" si="27"/>
        <v/>
      </c>
      <c r="Z39" s="43" t="str">
        <f>IF($B39=0,"",COUNTIFS('PART III-DEMOGRAPHICS'!$E$17:$E$2010,Data!$G$6,'PART III-DEMOGRAPHICS'!$Q$17:$Q$2010,$A39))</f>
        <v/>
      </c>
      <c r="AA39" s="42" t="str">
        <f t="shared" si="28"/>
        <v/>
      </c>
      <c r="AB39" s="42">
        <v>0.45841103853355819</v>
      </c>
      <c r="AC39" s="42" t="str">
        <f t="shared" si="29"/>
        <v/>
      </c>
      <c r="AD39" s="43" t="str">
        <f>IF($B39=0,"",COUNTIFS('PART III-DEMOGRAPHICS'!$E$17:$E$2010,Data!$G$8,'PART III-DEMOGRAPHICS'!$Q$17:$Q$2010,$A39))</f>
        <v/>
      </c>
      <c r="AE39" s="42" t="str">
        <f t="shared" si="30"/>
        <v/>
      </c>
      <c r="AF39" s="42">
        <v>5.9343690653937877E-3</v>
      </c>
      <c r="AG39" s="42" t="str">
        <f t="shared" si="31"/>
        <v/>
      </c>
      <c r="AH39" s="43" t="str">
        <f>IF($B39=0,"",COUNTIFS('PART III-DEMOGRAPHICS'!$E$17:$E$2010,Data!$G$7,'PART III-DEMOGRAPHICS'!$Q$17:$Q$2010,$A39))</f>
        <v/>
      </c>
      <c r="AI39" s="42" t="str">
        <f t="shared" si="32"/>
        <v/>
      </c>
      <c r="AJ39" s="42"/>
      <c r="AK39" s="3" t="str">
        <f>IF($B39=0,"",SUMIF('PART IV-V-SERVICES AND OUTCOMES'!$U$7:$U$2000,$A39,'PART IV-V-SERVICES AND OUTCOMES'!$T$7:$T$2000))</f>
        <v/>
      </c>
      <c r="AL39" s="2" t="e">
        <f t="shared" si="33"/>
        <v>#VALUE!</v>
      </c>
    </row>
    <row r="40" spans="1:38">
      <c r="A40" s="3" t="s">
        <v>320</v>
      </c>
      <c r="B40" s="3">
        <f>COUNTIF('PART III-DEMOGRAPHICS'!$Q$17:$Q$2010,A40)</f>
        <v>0</v>
      </c>
      <c r="C40" s="3" t="str" cm="1">
        <f t="array" ref="C40">IF(_xlfn.XLOOKUP('7-OB Report'!$C$2,Data!$C$51:$C$65,_xlfn.XLOOKUP($A40,Data!$F$50:$BM$50,Data!$F$51:$BM$65))=0,"",_xlfn.XLOOKUP('7-OB Report'!$C$2,Data!$C$51:$C$65,_xlfn.XLOOKUP($A40,Data!$F$50:$BM$50,Data!$F$51:$BM$65)))</f>
        <v/>
      </c>
      <c r="D40" s="42" t="str">
        <f t="shared" si="17"/>
        <v/>
      </c>
      <c r="F40" s="3" t="str">
        <f>IF($B40=0,"",COUNTIFS('PART III-DEMOGRAPHICS'!$E$17:$E$2010,Data!$G$2,'PART III-DEMOGRAPHICS'!$Q$17:$Q$2010,$A40))</f>
        <v/>
      </c>
      <c r="G40" s="42" t="str">
        <f t="shared" si="18"/>
        <v/>
      </c>
      <c r="H40" s="42">
        <v>4.4949412294841241E-3</v>
      </c>
      <c r="I40" s="42" t="str">
        <f t="shared" si="19"/>
        <v/>
      </c>
      <c r="J40" s="43" t="str">
        <f>IF($B40=0,"",COUNTIFS('PART III-DEMOGRAPHICS'!$E$17:$E$2010,Data!$G$3,'PART III-DEMOGRAPHICS'!$Q$17:$Q$2010,$A40))</f>
        <v/>
      </c>
      <c r="K40" s="42" t="str">
        <f t="shared" si="20"/>
        <v/>
      </c>
      <c r="L40" s="42">
        <v>0.11424773067119225</v>
      </c>
      <c r="M40" s="42" t="str">
        <f t="shared" si="21"/>
        <v/>
      </c>
      <c r="N40" s="43" t="str">
        <f>IF($B40=0,"",COUNTIFS('PART III-DEMOGRAPHICS'!$E$17:$E$2010,Data!$G$4,'PART III-DEMOGRAPHICS'!$Q$17:$Q$2010,$A40))</f>
        <v/>
      </c>
      <c r="O40" s="42" t="str">
        <f t="shared" si="22"/>
        <v/>
      </c>
      <c r="P40" s="42">
        <v>4.1500301530970257E-2</v>
      </c>
      <c r="Q40" s="42" t="str">
        <f t="shared" si="23"/>
        <v/>
      </c>
      <c r="R40" s="43" t="str">
        <f>IF($B40=0,"",COUNTIFS('PART III-DEMOGRAPHICS'!$E$17:$E$2010,Data!$G$5,'PART III-DEMOGRAPHICS'!$Q$17:$Q$2010,$A40))</f>
        <v/>
      </c>
      <c r="S40" s="42" t="str">
        <f t="shared" si="24"/>
        <v/>
      </c>
      <c r="T40" s="42">
        <v>6.4902019248661048E-3</v>
      </c>
      <c r="U40" s="42" t="str">
        <f t="shared" si="25"/>
        <v/>
      </c>
      <c r="V40" s="43" t="str">
        <f>IF($B40=0,"",COUNTIFS('PART III-DEMOGRAPHICS'!$F$17:$F$2010,"=Yes",'PART III-DEMOGRAPHICS'!$Q$17:$Q$2010,$A40))</f>
        <v/>
      </c>
      <c r="W40" s="42" t="str">
        <f t="shared" si="26"/>
        <v/>
      </c>
      <c r="X40" s="42">
        <v>0.23170357151664472</v>
      </c>
      <c r="Y40" s="42" t="str">
        <f t="shared" si="27"/>
        <v/>
      </c>
      <c r="Z40" s="43" t="str">
        <f>IF($B40=0,"",COUNTIFS('PART III-DEMOGRAPHICS'!$E$17:$E$2010,Data!$G$6,'PART III-DEMOGRAPHICS'!$Q$17:$Q$2010,$A40))</f>
        <v/>
      </c>
      <c r="AA40" s="42" t="str">
        <f t="shared" si="28"/>
        <v/>
      </c>
      <c r="AB40" s="42">
        <v>0.59666701789233212</v>
      </c>
      <c r="AC40" s="42" t="str">
        <f t="shared" si="29"/>
        <v/>
      </c>
      <c r="AD40" s="43" t="str">
        <f>IF($B40=0,"",COUNTIFS('PART III-DEMOGRAPHICS'!$E$17:$E$2010,Data!$G$8,'PART III-DEMOGRAPHICS'!$Q$17:$Q$2010,$A40))</f>
        <v/>
      </c>
      <c r="AE40" s="42" t="str">
        <f t="shared" si="30"/>
        <v/>
      </c>
      <c r="AF40" s="42">
        <v>4.8962352345103873E-3</v>
      </c>
      <c r="AG40" s="42" t="str">
        <f t="shared" si="31"/>
        <v/>
      </c>
      <c r="AH40" s="43" t="str">
        <f>IF($B40=0,"",COUNTIFS('PART III-DEMOGRAPHICS'!$E$17:$E$2010,Data!$G$7,'PART III-DEMOGRAPHICS'!$Q$17:$Q$2010,$A40))</f>
        <v/>
      </c>
      <c r="AI40" s="42" t="str">
        <f t="shared" si="32"/>
        <v/>
      </c>
      <c r="AJ40" s="42"/>
      <c r="AK40" s="3" t="str">
        <f>IF($B40=0,"",SUMIF('PART IV-V-SERVICES AND OUTCOMES'!$U$7:$U$2000,$A40,'PART IV-V-SERVICES AND OUTCOMES'!$T$7:$T$2000))</f>
        <v/>
      </c>
      <c r="AL40" s="2" t="e">
        <f t="shared" si="33"/>
        <v>#VALUE!</v>
      </c>
    </row>
    <row r="41" spans="1:38">
      <c r="A41" s="3" t="s">
        <v>321</v>
      </c>
      <c r="B41" s="3">
        <f>COUNTIF('PART III-DEMOGRAPHICS'!$Q$17:$Q$2010,A41)</f>
        <v>0</v>
      </c>
      <c r="C41" s="3" t="str" cm="1">
        <f t="array" ref="C41">IF(_xlfn.XLOOKUP('7-OB Report'!$C$2,Data!$C$51:$C$65,_xlfn.XLOOKUP($A41,Data!$F$50:$BM$50,Data!$F$51:$BM$65))=0,"",_xlfn.XLOOKUP('7-OB Report'!$C$2,Data!$C$51:$C$65,_xlfn.XLOOKUP($A41,Data!$F$50:$BM$50,Data!$F$51:$BM$65)))</f>
        <v/>
      </c>
      <c r="D41" s="42" t="str">
        <f t="shared" si="17"/>
        <v/>
      </c>
      <c r="F41" s="3" t="str">
        <f>IF($B41=0,"",COUNTIFS('PART III-DEMOGRAPHICS'!$E$17:$E$2010,Data!$G$2,'PART III-DEMOGRAPHICS'!$Q$17:$Q$2010,$A41))</f>
        <v/>
      </c>
      <c r="G41" s="42" t="str">
        <f t="shared" si="18"/>
        <v/>
      </c>
      <c r="H41" s="42">
        <v>2.7401242868045207E-3</v>
      </c>
      <c r="I41" s="42" t="str">
        <f t="shared" si="19"/>
        <v/>
      </c>
      <c r="J41" s="43" t="str">
        <f>IF($B41=0,"",COUNTIFS('PART III-DEMOGRAPHICS'!$E$17:$E$2010,Data!$G$3,'PART III-DEMOGRAPHICS'!$Q$17:$Q$2010,$A41))</f>
        <v/>
      </c>
      <c r="K41" s="42" t="str">
        <f t="shared" si="20"/>
        <v/>
      </c>
      <c r="L41" s="42">
        <v>0.3788821455827307</v>
      </c>
      <c r="M41" s="42" t="str">
        <f t="shared" si="21"/>
        <v/>
      </c>
      <c r="N41" s="43" t="str">
        <f>IF($B41=0,"",COUNTIFS('PART III-DEMOGRAPHICS'!$E$17:$E$2010,Data!$G$4,'PART III-DEMOGRAPHICS'!$Q$17:$Q$2010,$A41))</f>
        <v/>
      </c>
      <c r="O41" s="42" t="str">
        <f t="shared" si="22"/>
        <v/>
      </c>
      <c r="P41" s="42">
        <v>6.5446814696369524E-2</v>
      </c>
      <c r="Q41" s="42" t="str">
        <f t="shared" si="23"/>
        <v/>
      </c>
      <c r="R41" s="43" t="str">
        <f>IF($B41=0,"",COUNTIFS('PART III-DEMOGRAPHICS'!$E$17:$E$2010,Data!$G$5,'PART III-DEMOGRAPHICS'!$Q$17:$Q$2010,$A41))</f>
        <v/>
      </c>
      <c r="S41" s="42" t="str">
        <f t="shared" si="24"/>
        <v/>
      </c>
      <c r="T41" s="42">
        <v>4.7352545699022421E-3</v>
      </c>
      <c r="U41" s="42" t="str">
        <f t="shared" si="25"/>
        <v/>
      </c>
      <c r="V41" s="43" t="str">
        <f>IF($B41=0,"",COUNTIFS('PART III-DEMOGRAPHICS'!$F$17:$F$2010,"=Yes",'PART III-DEMOGRAPHICS'!$Q$17:$Q$2010,$A41))</f>
        <v/>
      </c>
      <c r="W41" s="42" t="str">
        <f t="shared" si="26"/>
        <v/>
      </c>
      <c r="X41" s="42">
        <v>0.12301849765599447</v>
      </c>
      <c r="Y41" s="42" t="str">
        <f t="shared" si="27"/>
        <v/>
      </c>
      <c r="Z41" s="43" t="str">
        <f>IF($B41=0,"",COUNTIFS('PART III-DEMOGRAPHICS'!$E$17:$E$2010,Data!$G$6,'PART III-DEMOGRAPHICS'!$Q$17:$Q$2010,$A41))</f>
        <v/>
      </c>
      <c r="AA41" s="42" t="str">
        <f t="shared" si="28"/>
        <v/>
      </c>
      <c r="AB41" s="42">
        <v>0.4142457389977105</v>
      </c>
      <c r="AC41" s="42" t="str">
        <f t="shared" si="29"/>
        <v/>
      </c>
      <c r="AD41" s="43" t="str">
        <f>IF($B41=0,"",COUNTIFS('PART III-DEMOGRAPHICS'!$E$17:$E$2010,Data!$G$8,'PART III-DEMOGRAPHICS'!$Q$17:$Q$2010,$A41))</f>
        <v/>
      </c>
      <c r="AE41" s="42" t="str">
        <f t="shared" si="30"/>
        <v/>
      </c>
      <c r="AF41" s="42">
        <v>1.0931424210488061E-2</v>
      </c>
      <c r="AG41" s="42" t="str">
        <f t="shared" si="31"/>
        <v/>
      </c>
      <c r="AH41" s="43" t="str">
        <f>IF($B41=0,"",COUNTIFS('PART III-DEMOGRAPHICS'!$E$17:$E$2010,Data!$G$7,'PART III-DEMOGRAPHICS'!$Q$17:$Q$2010,$A41))</f>
        <v/>
      </c>
      <c r="AI41" s="42" t="str">
        <f t="shared" si="32"/>
        <v/>
      </c>
      <c r="AJ41" s="42"/>
      <c r="AK41" s="3" t="str">
        <f>IF($B41=0,"",SUMIF('PART IV-V-SERVICES AND OUTCOMES'!$U$7:$U$2000,$A41,'PART IV-V-SERVICES AND OUTCOMES'!$T$7:$T$2000))</f>
        <v/>
      </c>
      <c r="AL41" s="2" t="e">
        <f t="shared" si="33"/>
        <v>#VALUE!</v>
      </c>
    </row>
    <row r="42" spans="1:38">
      <c r="A42" s="3" t="s">
        <v>322</v>
      </c>
      <c r="B42" s="3">
        <f>COUNTIF('PART III-DEMOGRAPHICS'!$Q$17:$Q$2010,A42)</f>
        <v>0</v>
      </c>
      <c r="C42" s="3" t="str" cm="1">
        <f t="array" ref="C42">IF(_xlfn.XLOOKUP('7-OB Report'!$C$2,Data!$C$51:$C$65,_xlfn.XLOOKUP($A42,Data!$F$50:$BM$50,Data!$F$51:$BM$65))=0,"",_xlfn.XLOOKUP('7-OB Report'!$C$2,Data!$C$51:$C$65,_xlfn.XLOOKUP($A42,Data!$F$50:$BM$50,Data!$F$51:$BM$65)))</f>
        <v/>
      </c>
      <c r="D42" s="42" t="str">
        <f t="shared" si="17"/>
        <v/>
      </c>
      <c r="F42" s="3" t="str">
        <f>IF($B42=0,"",COUNTIFS('PART III-DEMOGRAPHICS'!$E$17:$E$2010,Data!$G$2,'PART III-DEMOGRAPHICS'!$Q$17:$Q$2010,$A42))</f>
        <v/>
      </c>
      <c r="G42" s="42" t="str">
        <f t="shared" si="18"/>
        <v/>
      </c>
      <c r="H42" s="42">
        <v>6.1986863711001646E-3</v>
      </c>
      <c r="I42" s="42" t="str">
        <f t="shared" si="19"/>
        <v/>
      </c>
      <c r="J42" s="43" t="str">
        <f>IF($B42=0,"",COUNTIFS('PART III-DEMOGRAPHICS'!$E$17:$E$2010,Data!$G$3,'PART III-DEMOGRAPHICS'!$Q$17:$Q$2010,$A42))</f>
        <v/>
      </c>
      <c r="K42" s="42" t="str">
        <f t="shared" si="20"/>
        <v/>
      </c>
      <c r="L42" s="42">
        <v>0.15041564039408867</v>
      </c>
      <c r="M42" s="42" t="str">
        <f t="shared" si="21"/>
        <v/>
      </c>
      <c r="N42" s="43" t="str">
        <f>IF($B42=0,"",COUNTIFS('PART III-DEMOGRAPHICS'!$E$17:$E$2010,Data!$G$4,'PART III-DEMOGRAPHICS'!$Q$17:$Q$2010,$A42))</f>
        <v/>
      </c>
      <c r="O42" s="42" t="str">
        <f t="shared" si="22"/>
        <v/>
      </c>
      <c r="P42" s="42">
        <v>7.0720443349753692E-2</v>
      </c>
      <c r="Q42" s="42" t="str">
        <f t="shared" si="23"/>
        <v/>
      </c>
      <c r="R42" s="43" t="str">
        <f>IF($B42=0,"",COUNTIFS('PART III-DEMOGRAPHICS'!$E$17:$E$2010,Data!$G$5,'PART III-DEMOGRAPHICS'!$Q$17:$Q$2010,$A42))</f>
        <v/>
      </c>
      <c r="S42" s="42" t="str">
        <f t="shared" si="24"/>
        <v/>
      </c>
      <c r="T42" s="42">
        <v>5.1724137931034482E-3</v>
      </c>
      <c r="U42" s="42" t="str">
        <f t="shared" si="25"/>
        <v/>
      </c>
      <c r="V42" s="43" t="str">
        <f>IF($B42=0,"",COUNTIFS('PART III-DEMOGRAPHICS'!$F$17:$F$2010,"=Yes",'PART III-DEMOGRAPHICS'!$Q$17:$Q$2010,$A42))</f>
        <v/>
      </c>
      <c r="W42" s="42" t="str">
        <f t="shared" si="26"/>
        <v/>
      </c>
      <c r="X42" s="42">
        <v>0.2574661330049261</v>
      </c>
      <c r="Y42" s="42" t="str">
        <f t="shared" si="27"/>
        <v/>
      </c>
      <c r="Z42" s="43" t="str">
        <f>IF($B42=0,"",COUNTIFS('PART III-DEMOGRAPHICS'!$E$17:$E$2010,Data!$G$6,'PART III-DEMOGRAPHICS'!$Q$17:$Q$2010,$A42))</f>
        <v/>
      </c>
      <c r="AA42" s="42" t="str">
        <f t="shared" si="28"/>
        <v/>
      </c>
      <c r="AB42" s="42">
        <v>0.49567939244663384</v>
      </c>
      <c r="AC42" s="42" t="str">
        <f t="shared" si="29"/>
        <v/>
      </c>
      <c r="AD42" s="43" t="str">
        <f>IF($B42=0,"",COUNTIFS('PART III-DEMOGRAPHICS'!$E$17:$E$2010,Data!$G$8,'PART III-DEMOGRAPHICS'!$Q$17:$Q$2010,$A42))</f>
        <v/>
      </c>
      <c r="AE42" s="42" t="str">
        <f t="shared" si="30"/>
        <v/>
      </c>
      <c r="AF42" s="42">
        <v>1.4347290640394089E-2</v>
      </c>
      <c r="AG42" s="42" t="str">
        <f t="shared" si="31"/>
        <v/>
      </c>
      <c r="AH42" s="43" t="str">
        <f>IF($B42=0,"",COUNTIFS('PART III-DEMOGRAPHICS'!$E$17:$E$2010,Data!$G$7,'PART III-DEMOGRAPHICS'!$Q$17:$Q$2010,$A42))</f>
        <v/>
      </c>
      <c r="AI42" s="42" t="str">
        <f t="shared" si="32"/>
        <v/>
      </c>
      <c r="AJ42" s="42"/>
      <c r="AK42" s="3" t="str">
        <f>IF($B42=0,"",SUMIF('PART IV-V-SERVICES AND OUTCOMES'!$U$7:$U$2000,$A42,'PART IV-V-SERVICES AND OUTCOMES'!$T$7:$T$2000))</f>
        <v/>
      </c>
      <c r="AL42" s="2" t="e">
        <f t="shared" si="33"/>
        <v>#VALUE!</v>
      </c>
    </row>
    <row r="43" spans="1:38">
      <c r="A43" s="3" t="s">
        <v>323</v>
      </c>
      <c r="B43" s="3">
        <f>COUNTIF('PART III-DEMOGRAPHICS'!$Q$17:$Q$2010,A43)</f>
        <v>0</v>
      </c>
      <c r="C43" s="3" t="str" cm="1">
        <f t="array" ref="C43">IF(_xlfn.XLOOKUP('7-OB Report'!$C$2,Data!$C$51:$C$65,_xlfn.XLOOKUP($A43,Data!$F$50:$BM$50,Data!$F$51:$BM$65))=0,"",_xlfn.XLOOKUP('7-OB Report'!$C$2,Data!$C$51:$C$65,_xlfn.XLOOKUP($A43,Data!$F$50:$BM$50,Data!$F$51:$BM$65)))</f>
        <v/>
      </c>
      <c r="D43" s="42" t="str">
        <f t="shared" si="17"/>
        <v/>
      </c>
      <c r="F43" s="3" t="str">
        <f>IF($B43=0,"",COUNTIFS('PART III-DEMOGRAPHICS'!$E$17:$E$2010,Data!$G$2,'PART III-DEMOGRAPHICS'!$Q$17:$Q$2010,$A43))</f>
        <v/>
      </c>
      <c r="G43" s="42" t="str">
        <f t="shared" si="18"/>
        <v/>
      </c>
      <c r="H43" s="42">
        <v>6.782300449762824E-3</v>
      </c>
      <c r="I43" s="42" t="str">
        <f t="shared" si="19"/>
        <v/>
      </c>
      <c r="J43" s="43" t="str">
        <f>IF($B43=0,"",COUNTIFS('PART III-DEMOGRAPHICS'!$E$17:$E$2010,Data!$G$3,'PART III-DEMOGRAPHICS'!$Q$17:$Q$2010,$A43))</f>
        <v/>
      </c>
      <c r="K43" s="42" t="str">
        <f t="shared" si="20"/>
        <v/>
      </c>
      <c r="L43" s="42">
        <v>2.4721587591053921E-2</v>
      </c>
      <c r="M43" s="42" t="str">
        <f t="shared" si="21"/>
        <v/>
      </c>
      <c r="N43" s="43" t="str">
        <f>IF($B43=0,"",COUNTIFS('PART III-DEMOGRAPHICS'!$E$17:$E$2010,Data!$G$4,'PART III-DEMOGRAPHICS'!$Q$17:$Q$2010,$A43))</f>
        <v/>
      </c>
      <c r="O43" s="42" t="str">
        <f t="shared" si="22"/>
        <v/>
      </c>
      <c r="P43" s="42">
        <v>1.9178952329238681E-2</v>
      </c>
      <c r="Q43" s="42" t="str">
        <f t="shared" si="23"/>
        <v/>
      </c>
      <c r="R43" s="43" t="str">
        <f>IF($B43=0,"",COUNTIFS('PART III-DEMOGRAPHICS'!$E$17:$E$2010,Data!$G$5,'PART III-DEMOGRAPHICS'!$Q$17:$Q$2010,$A43))</f>
        <v/>
      </c>
      <c r="S43" s="42" t="str">
        <f t="shared" si="24"/>
        <v/>
      </c>
      <c r="T43" s="42">
        <v>9.0157468214369866E-4</v>
      </c>
      <c r="U43" s="42" t="str">
        <f t="shared" si="25"/>
        <v/>
      </c>
      <c r="V43" s="43" t="str">
        <f>IF($B43=0,"",COUNTIFS('PART III-DEMOGRAPHICS'!$F$17:$F$2010,"=Yes",'PART III-DEMOGRAPHICS'!$Q$17:$Q$2010,$A43))</f>
        <v/>
      </c>
      <c r="W43" s="42" t="str">
        <f t="shared" si="26"/>
        <v/>
      </c>
      <c r="X43" s="42">
        <v>0.1219994467609905</v>
      </c>
      <c r="Y43" s="42" t="str">
        <f t="shared" si="27"/>
        <v/>
      </c>
      <c r="Z43" s="43" t="str">
        <f>IF($B43=0,"",COUNTIFS('PART III-DEMOGRAPHICS'!$E$17:$E$2010,Data!$G$6,'PART III-DEMOGRAPHICS'!$Q$17:$Q$2010,$A43))</f>
        <v/>
      </c>
      <c r="AA43" s="42" t="str">
        <f t="shared" si="28"/>
        <v/>
      </c>
      <c r="AB43" s="42">
        <v>0.81415267347628761</v>
      </c>
      <c r="AC43" s="42" t="str">
        <f t="shared" si="29"/>
        <v/>
      </c>
      <c r="AD43" s="43" t="str">
        <f>IF($B43=0,"",COUNTIFS('PART III-DEMOGRAPHICS'!$E$17:$E$2010,Data!$G$8,'PART III-DEMOGRAPHICS'!$Q$17:$Q$2010,$A43))</f>
        <v/>
      </c>
      <c r="AE43" s="42" t="str">
        <f t="shared" si="30"/>
        <v/>
      </c>
      <c r="AF43" s="42">
        <v>1.2263464710522811E-2</v>
      </c>
      <c r="AG43" s="42" t="str">
        <f t="shared" si="31"/>
        <v/>
      </c>
      <c r="AH43" s="43" t="str">
        <f>IF($B43=0,"",COUNTIFS('PART III-DEMOGRAPHICS'!$E$17:$E$2010,Data!$G$7,'PART III-DEMOGRAPHICS'!$Q$17:$Q$2010,$A43))</f>
        <v/>
      </c>
      <c r="AI43" s="42" t="str">
        <f t="shared" si="32"/>
        <v/>
      </c>
      <c r="AJ43" s="42"/>
      <c r="AK43" s="3" t="str">
        <f>IF($B43=0,"",SUMIF('PART IV-V-SERVICES AND OUTCOMES'!$U$7:$U$2000,$A43,'PART IV-V-SERVICES AND OUTCOMES'!$T$7:$T$2000))</f>
        <v/>
      </c>
      <c r="AL43" s="2" t="e">
        <f t="shared" si="33"/>
        <v>#VALUE!</v>
      </c>
    </row>
    <row r="44" spans="1:38">
      <c r="A44" s="3" t="s">
        <v>324</v>
      </c>
      <c r="B44" s="3">
        <f>COUNTIF('PART III-DEMOGRAPHICS'!$Q$17:$Q$2010,A44)</f>
        <v>0</v>
      </c>
      <c r="C44" s="3" t="str" cm="1">
        <f t="array" ref="C44">IF(_xlfn.XLOOKUP('7-OB Report'!$C$2,Data!$C$51:$C$65,_xlfn.XLOOKUP($A44,Data!$F$50:$BM$50,Data!$F$51:$BM$65))=0,"",_xlfn.XLOOKUP('7-OB Report'!$C$2,Data!$C$51:$C$65,_xlfn.XLOOKUP($A44,Data!$F$50:$BM$50,Data!$F$51:$BM$65)))</f>
        <v/>
      </c>
      <c r="D44" s="42" t="str">
        <f t="shared" si="17"/>
        <v/>
      </c>
      <c r="F44" s="3" t="str">
        <f>IF($B44=0,"",COUNTIFS('PART III-DEMOGRAPHICS'!$E$17:$E$2010,Data!$G$2,'PART III-DEMOGRAPHICS'!$Q$17:$Q$2010,$A44))</f>
        <v/>
      </c>
      <c r="G44" s="42" t="str">
        <f t="shared" si="18"/>
        <v/>
      </c>
      <c r="H44" s="42">
        <v>1.9764083377036092E-3</v>
      </c>
      <c r="I44" s="42" t="str">
        <f t="shared" si="19"/>
        <v/>
      </c>
      <c r="J44" s="43" t="str">
        <f>IF($B44=0,"",COUNTIFS('PART III-DEMOGRAPHICS'!$E$17:$E$2010,Data!$G$3,'PART III-DEMOGRAPHICS'!$Q$17:$Q$2010,$A44))</f>
        <v/>
      </c>
      <c r="K44" s="42" t="str">
        <f t="shared" si="20"/>
        <v/>
      </c>
      <c r="L44" s="42">
        <v>0.25064771401958408</v>
      </c>
      <c r="M44" s="42" t="str">
        <f t="shared" si="21"/>
        <v/>
      </c>
      <c r="N44" s="43" t="str">
        <f>IF($B44=0,"",COUNTIFS('PART III-DEMOGRAPHICS'!$E$17:$E$2010,Data!$G$4,'PART III-DEMOGRAPHICS'!$Q$17:$Q$2010,$A44))</f>
        <v/>
      </c>
      <c r="O44" s="42" t="str">
        <f t="shared" si="22"/>
        <v/>
      </c>
      <c r="P44" s="42">
        <v>3.009619825136783E-2</v>
      </c>
      <c r="Q44" s="42" t="str">
        <f t="shared" si="23"/>
        <v/>
      </c>
      <c r="R44" s="43" t="str">
        <f>IF($B44=0,"",COUNTIFS('PART III-DEMOGRAPHICS'!$E$17:$E$2010,Data!$G$5,'PART III-DEMOGRAPHICS'!$Q$17:$Q$2010,$A44))</f>
        <v/>
      </c>
      <c r="S44" s="42" t="str">
        <f t="shared" si="24"/>
        <v/>
      </c>
      <c r="T44" s="42">
        <v>1.367048380910635E-2</v>
      </c>
      <c r="U44" s="42" t="str">
        <f t="shared" si="25"/>
        <v/>
      </c>
      <c r="V44" s="43" t="str">
        <f>IF($B44=0,"",COUNTIFS('PART III-DEMOGRAPHICS'!$F$17:$F$2010,"=Yes",'PART III-DEMOGRAPHICS'!$Q$17:$Q$2010,$A44))</f>
        <v/>
      </c>
      <c r="W44" s="42" t="str">
        <f t="shared" si="26"/>
        <v/>
      </c>
      <c r="X44" s="42">
        <v>0.16727459160750488</v>
      </c>
      <c r="Y44" s="42" t="str">
        <f t="shared" si="27"/>
        <v/>
      </c>
      <c r="Z44" s="43" t="str">
        <f>IF($B44=0,"",COUNTIFS('PART III-DEMOGRAPHICS'!$E$17:$E$2010,Data!$G$6,'PART III-DEMOGRAPHICS'!$Q$17:$Q$2010,$A44))</f>
        <v/>
      </c>
      <c r="AA44" s="42" t="str">
        <f t="shared" si="28"/>
        <v/>
      </c>
      <c r="AB44" s="42">
        <v>0.52643299388683207</v>
      </c>
      <c r="AC44" s="42" t="str">
        <f t="shared" si="29"/>
        <v/>
      </c>
      <c r="AD44" s="43" t="str">
        <f>IF($B44=0,"",COUNTIFS('PART III-DEMOGRAPHICS'!$E$17:$E$2010,Data!$G$8,'PART III-DEMOGRAPHICS'!$Q$17:$Q$2010,$A44))</f>
        <v/>
      </c>
      <c r="AE44" s="42" t="str">
        <f t="shared" si="30"/>
        <v/>
      </c>
      <c r="AF44" s="42">
        <v>9.9016100879012504E-3</v>
      </c>
      <c r="AG44" s="42" t="str">
        <f t="shared" si="31"/>
        <v/>
      </c>
      <c r="AH44" s="43" t="str">
        <f>IF($B44=0,"",COUNTIFS('PART III-DEMOGRAPHICS'!$E$17:$E$2010,Data!$G$7,'PART III-DEMOGRAPHICS'!$Q$17:$Q$2010,$A44))</f>
        <v/>
      </c>
      <c r="AI44" s="42" t="str">
        <f t="shared" si="32"/>
        <v/>
      </c>
      <c r="AJ44" s="42"/>
      <c r="AK44" s="3" t="str">
        <f>IF($B44=0,"",SUMIF('PART IV-V-SERVICES AND OUTCOMES'!$U$7:$U$2000,$A44,'PART IV-V-SERVICES AND OUTCOMES'!$T$7:$T$2000))</f>
        <v/>
      </c>
      <c r="AL44" s="2" t="e">
        <f t="shared" si="33"/>
        <v>#VALUE!</v>
      </c>
    </row>
    <row r="45" spans="1:38">
      <c r="A45" s="3" t="s">
        <v>325</v>
      </c>
      <c r="B45" s="3">
        <f>COUNTIF('PART III-DEMOGRAPHICS'!$Q$17:$Q$2010,A45)</f>
        <v>0</v>
      </c>
      <c r="C45" s="3" t="str" cm="1">
        <f t="array" ref="C45">IF(_xlfn.XLOOKUP('7-OB Report'!$C$2,Data!$C$51:$C$65,_xlfn.XLOOKUP($A45,Data!$F$50:$BM$50,Data!$F$51:$BM$65))=0,"",_xlfn.XLOOKUP('7-OB Report'!$C$2,Data!$C$51:$C$65,_xlfn.XLOOKUP($A45,Data!$F$50:$BM$50,Data!$F$51:$BM$65)))</f>
        <v/>
      </c>
      <c r="D45" s="42" t="str">
        <f t="shared" si="17"/>
        <v/>
      </c>
      <c r="F45" s="3" t="str">
        <f>IF($B45=0,"",COUNTIFS('PART III-DEMOGRAPHICS'!$E$17:$E$2010,Data!$G$2,'PART III-DEMOGRAPHICS'!$Q$17:$Q$2010,$A45))</f>
        <v/>
      </c>
      <c r="G45" s="42" t="str">
        <f t="shared" si="18"/>
        <v/>
      </c>
      <c r="H45" s="42">
        <v>5.6928630935851156E-3</v>
      </c>
      <c r="I45" s="42" t="str">
        <f t="shared" si="19"/>
        <v/>
      </c>
      <c r="J45" s="43" t="str">
        <f>IF($B45=0,"",COUNTIFS('PART III-DEMOGRAPHICS'!$E$17:$E$2010,Data!$G$3,'PART III-DEMOGRAPHICS'!$Q$17:$Q$2010,$A45))</f>
        <v/>
      </c>
      <c r="K45" s="42" t="str">
        <f t="shared" si="20"/>
        <v/>
      </c>
      <c r="L45" s="42">
        <v>4.2594377378832676E-2</v>
      </c>
      <c r="M45" s="42" t="str">
        <f t="shared" si="21"/>
        <v/>
      </c>
      <c r="N45" s="43" t="str">
        <f>IF($B45=0,"",COUNTIFS('PART III-DEMOGRAPHICS'!$E$17:$E$2010,Data!$G$4,'PART III-DEMOGRAPHICS'!$Q$17:$Q$2010,$A45))</f>
        <v/>
      </c>
      <c r="O45" s="42" t="str">
        <f t="shared" si="22"/>
        <v/>
      </c>
      <c r="P45" s="42">
        <v>1.6474182008265677E-2</v>
      </c>
      <c r="Q45" s="42" t="str">
        <f t="shared" si="23"/>
        <v/>
      </c>
      <c r="R45" s="43" t="str">
        <f>IF($B45=0,"",COUNTIFS('PART III-DEMOGRAPHICS'!$E$17:$E$2010,Data!$G$5,'PART III-DEMOGRAPHICS'!$Q$17:$Q$2010,$A45))</f>
        <v/>
      </c>
      <c r="S45" s="42" t="str">
        <f t="shared" si="24"/>
        <v/>
      </c>
      <c r="T45" s="42">
        <v>2.5564794093144061E-3</v>
      </c>
      <c r="U45" s="42" t="str">
        <f t="shared" si="25"/>
        <v/>
      </c>
      <c r="V45" s="43" t="str">
        <f>IF($B45=0,"",COUNTIFS('PART III-DEMOGRAPHICS'!$F$17:$F$2010,"=Yes",'PART III-DEMOGRAPHICS'!$Q$17:$Q$2010,$A45))</f>
        <v/>
      </c>
      <c r="W45" s="42" t="str">
        <f t="shared" si="26"/>
        <v/>
      </c>
      <c r="X45" s="42">
        <v>0.27664700981753432</v>
      </c>
      <c r="Y45" s="42" t="str">
        <f t="shared" si="27"/>
        <v/>
      </c>
      <c r="Z45" s="43" t="str">
        <f>IF($B45=0,"",COUNTIFS('PART III-DEMOGRAPHICS'!$E$17:$E$2010,Data!$G$6,'PART III-DEMOGRAPHICS'!$Q$17:$Q$2010,$A45))</f>
        <v/>
      </c>
      <c r="AA45" s="42" t="str">
        <f t="shared" si="28"/>
        <v/>
      </c>
      <c r="AB45" s="42">
        <v>0.64808794942581305</v>
      </c>
      <c r="AC45" s="42" t="str">
        <f t="shared" si="29"/>
        <v/>
      </c>
      <c r="AD45" s="43" t="str">
        <f>IF($B45=0,"",COUNTIFS('PART III-DEMOGRAPHICS'!$E$17:$E$2010,Data!$G$8,'PART III-DEMOGRAPHICS'!$Q$17:$Q$2010,$A45))</f>
        <v/>
      </c>
      <c r="AE45" s="42" t="str">
        <f t="shared" si="30"/>
        <v/>
      </c>
      <c r="AF45" s="42">
        <v>7.9471388666546867E-3</v>
      </c>
      <c r="AG45" s="42" t="str">
        <f t="shared" si="31"/>
        <v/>
      </c>
      <c r="AH45" s="43" t="str">
        <f>IF($B45=0,"",COUNTIFS('PART III-DEMOGRAPHICS'!$E$17:$E$2010,Data!$G$7,'PART III-DEMOGRAPHICS'!$Q$17:$Q$2010,$A45))</f>
        <v/>
      </c>
      <c r="AI45" s="42" t="str">
        <f t="shared" si="32"/>
        <v/>
      </c>
      <c r="AJ45" s="42"/>
      <c r="AK45" s="3" t="str">
        <f>IF($B45=0,"",SUMIF('PART IV-V-SERVICES AND OUTCOMES'!$U$7:$U$2000,$A45,'PART IV-V-SERVICES AND OUTCOMES'!$T$7:$T$2000))</f>
        <v/>
      </c>
      <c r="AL45" s="2" t="e">
        <f t="shared" si="33"/>
        <v>#VALUE!</v>
      </c>
    </row>
    <row r="46" spans="1:38">
      <c r="A46" s="3" t="s">
        <v>326</v>
      </c>
      <c r="B46" s="3">
        <f>COUNTIF('PART III-DEMOGRAPHICS'!$Q$17:$Q$2010,A46)</f>
        <v>0</v>
      </c>
      <c r="C46" s="3" t="str" cm="1">
        <f t="array" ref="C46">IF(_xlfn.XLOOKUP('7-OB Report'!$C$2,Data!$C$51:$C$65,_xlfn.XLOOKUP($A46,Data!$F$50:$BM$50,Data!$F$51:$BM$65))=0,"",_xlfn.XLOOKUP('7-OB Report'!$C$2,Data!$C$51:$C$65,_xlfn.XLOOKUP($A46,Data!$F$50:$BM$50,Data!$F$51:$BM$65)))</f>
        <v/>
      </c>
      <c r="D46" s="42" t="str">
        <f t="shared" si="17"/>
        <v/>
      </c>
      <c r="F46" s="3" t="str">
        <f>IF($B46=0,"",COUNTIFS('PART III-DEMOGRAPHICS'!$E$17:$E$2010,Data!$G$2,'PART III-DEMOGRAPHICS'!$Q$17:$Q$2010,$A46))</f>
        <v/>
      </c>
      <c r="G46" s="42" t="str">
        <f t="shared" si="18"/>
        <v/>
      </c>
      <c r="H46" s="42">
        <v>2.5646198782578035E-3</v>
      </c>
      <c r="I46" s="42" t="str">
        <f t="shared" si="19"/>
        <v/>
      </c>
      <c r="J46" s="43" t="str">
        <f>IF($B46=0,"",COUNTIFS('PART III-DEMOGRAPHICS'!$E$17:$E$2010,Data!$G$3,'PART III-DEMOGRAPHICS'!$Q$17:$Q$2010,$A46))</f>
        <v/>
      </c>
      <c r="K46" s="42" t="str">
        <f t="shared" si="20"/>
        <v/>
      </c>
      <c r="L46" s="42">
        <v>0.31666421291979518</v>
      </c>
      <c r="M46" s="42" t="str">
        <f t="shared" si="21"/>
        <v/>
      </c>
      <c r="N46" s="43" t="str">
        <f>IF($B46=0,"",COUNTIFS('PART III-DEMOGRAPHICS'!$E$17:$E$2010,Data!$G$4,'PART III-DEMOGRAPHICS'!$Q$17:$Q$2010,$A46))</f>
        <v/>
      </c>
      <c r="O46" s="42" t="str">
        <f t="shared" si="22"/>
        <v/>
      </c>
      <c r="P46" s="42">
        <v>2.3021598425239785E-2</v>
      </c>
      <c r="Q46" s="42" t="str">
        <f t="shared" si="23"/>
        <v/>
      </c>
      <c r="R46" s="43" t="str">
        <f>IF($B46=0,"",COUNTIFS('PART III-DEMOGRAPHICS'!$E$17:$E$2010,Data!$G$5,'PART III-DEMOGRAPHICS'!$Q$17:$Q$2010,$A46))</f>
        <v/>
      </c>
      <c r="S46" s="42" t="str">
        <f t="shared" si="24"/>
        <v/>
      </c>
      <c r="T46" s="42">
        <v>4.8929530207441575E-3</v>
      </c>
      <c r="U46" s="42" t="str">
        <f t="shared" si="25"/>
        <v/>
      </c>
      <c r="V46" s="43" t="str">
        <f>IF($B46=0,"",COUNTIFS('PART III-DEMOGRAPHICS'!$F$17:$F$2010,"=Yes",'PART III-DEMOGRAPHICS'!$Q$17:$Q$2010,$A46))</f>
        <v/>
      </c>
      <c r="W46" s="42" t="str">
        <f t="shared" si="26"/>
        <v/>
      </c>
      <c r="X46" s="42">
        <v>0.17971969122776404</v>
      </c>
      <c r="Y46" s="42" t="str">
        <f t="shared" si="27"/>
        <v/>
      </c>
      <c r="Z46" s="43" t="str">
        <f>IF($B46=0,"",COUNTIFS('PART III-DEMOGRAPHICS'!$E$17:$E$2010,Data!$G$6,'PART III-DEMOGRAPHICS'!$Q$17:$Q$2010,$A46))</f>
        <v/>
      </c>
      <c r="AA46" s="42" t="str">
        <f t="shared" si="28"/>
        <v/>
      </c>
      <c r="AB46" s="42">
        <v>0.47009973117839832</v>
      </c>
      <c r="AC46" s="42" t="str">
        <f t="shared" si="29"/>
        <v/>
      </c>
      <c r="AD46" s="43" t="str">
        <f>IF($B46=0,"",COUNTIFS('PART III-DEMOGRAPHICS'!$E$17:$E$2010,Data!$G$8,'PART III-DEMOGRAPHICS'!$Q$17:$Q$2010,$A46))</f>
        <v/>
      </c>
      <c r="AE46" s="42" t="str">
        <f t="shared" si="30"/>
        <v/>
      </c>
      <c r="AF46" s="42">
        <v>3.0371933498007011E-3</v>
      </c>
      <c r="AG46" s="42" t="str">
        <f t="shared" si="31"/>
        <v/>
      </c>
      <c r="AH46" s="43" t="str">
        <f>IF($B46=0,"",COUNTIFS('PART III-DEMOGRAPHICS'!$E$17:$E$2010,Data!$G$7,'PART III-DEMOGRAPHICS'!$Q$17:$Q$2010,$A46))</f>
        <v/>
      </c>
      <c r="AI46" s="42" t="str">
        <f t="shared" si="32"/>
        <v/>
      </c>
      <c r="AJ46" s="42"/>
      <c r="AK46" s="3" t="str">
        <f>IF($B46=0,"",SUMIF('PART IV-V-SERVICES AND OUTCOMES'!$U$7:$U$2000,$A46,'PART IV-V-SERVICES AND OUTCOMES'!$T$7:$T$2000))</f>
        <v/>
      </c>
      <c r="AL46" s="2" t="e">
        <f t="shared" si="33"/>
        <v>#VALUE!</v>
      </c>
    </row>
    <row r="47" spans="1:38">
      <c r="A47" s="3" t="s">
        <v>327</v>
      </c>
      <c r="B47" s="3">
        <f>COUNTIF('PART III-DEMOGRAPHICS'!$Q$17:$Q$2010,A47)</f>
        <v>0</v>
      </c>
      <c r="C47" s="3" t="str" cm="1">
        <f t="array" ref="C47">IF(_xlfn.XLOOKUP('7-OB Report'!$C$2,Data!$C$51:$C$65,_xlfn.XLOOKUP($A47,Data!$F$50:$BM$50,Data!$F$51:$BM$65))=0,"",_xlfn.XLOOKUP('7-OB Report'!$C$2,Data!$C$51:$C$65,_xlfn.XLOOKUP($A47,Data!$F$50:$BM$50,Data!$F$51:$BM$65)))</f>
        <v/>
      </c>
      <c r="D47" s="42" t="str">
        <f t="shared" si="17"/>
        <v/>
      </c>
      <c r="F47" s="3" t="str">
        <f>IF($B47=0,"",COUNTIFS('PART III-DEMOGRAPHICS'!$E$17:$E$2010,Data!$G$2,'PART III-DEMOGRAPHICS'!$Q$17:$Q$2010,$A47))</f>
        <v/>
      </c>
      <c r="G47" s="42" t="str">
        <f t="shared" si="18"/>
        <v/>
      </c>
      <c r="H47" s="42">
        <v>4.3108581227522804E-3</v>
      </c>
      <c r="I47" s="42" t="str">
        <f t="shared" si="19"/>
        <v/>
      </c>
      <c r="J47" s="43" t="str">
        <f>IF($B47=0,"",COUNTIFS('PART III-DEMOGRAPHICS'!$E$17:$E$2010,Data!$G$3,'PART III-DEMOGRAPHICS'!$Q$17:$Q$2010,$A47))</f>
        <v/>
      </c>
      <c r="K47" s="42" t="str">
        <f t="shared" si="20"/>
        <v/>
      </c>
      <c r="L47" s="42">
        <v>3.5630075975897305E-2</v>
      </c>
      <c r="M47" s="42" t="str">
        <f t="shared" si="21"/>
        <v/>
      </c>
      <c r="N47" s="43" t="str">
        <f>IF($B47=0,"",COUNTIFS('PART III-DEMOGRAPHICS'!$E$17:$E$2010,Data!$G$4,'PART III-DEMOGRAPHICS'!$Q$17:$Q$2010,$A47))</f>
        <v/>
      </c>
      <c r="O47" s="42" t="str">
        <f t="shared" si="22"/>
        <v/>
      </c>
      <c r="P47" s="42">
        <v>7.6333150737132923E-3</v>
      </c>
      <c r="Q47" s="42" t="str">
        <f t="shared" si="23"/>
        <v/>
      </c>
      <c r="R47" s="43" t="str">
        <f>IF($B47=0,"",COUNTIFS('PART III-DEMOGRAPHICS'!$E$17:$E$2010,Data!$G$5,'PART III-DEMOGRAPHICS'!$Q$17:$Q$2010,$A47))</f>
        <v/>
      </c>
      <c r="S47" s="42" t="str">
        <f t="shared" si="24"/>
        <v/>
      </c>
      <c r="T47" s="42">
        <v>1.3575630552313811E-3</v>
      </c>
      <c r="U47" s="42" t="str">
        <f t="shared" si="25"/>
        <v/>
      </c>
      <c r="V47" s="43" t="str">
        <f>IF($B47=0,"",COUNTIFS('PART III-DEMOGRAPHICS'!$F$17:$F$2010,"=Yes",'PART III-DEMOGRAPHICS'!$Q$17:$Q$2010,$A47))</f>
        <v/>
      </c>
      <c r="W47" s="42" t="str">
        <f t="shared" si="26"/>
        <v/>
      </c>
      <c r="X47" s="42">
        <v>0.18907042656060208</v>
      </c>
      <c r="Y47" s="42" t="str">
        <f t="shared" si="27"/>
        <v/>
      </c>
      <c r="Z47" s="43" t="str">
        <f>IF($B47=0,"",COUNTIFS('PART III-DEMOGRAPHICS'!$E$17:$E$2010,Data!$G$6,'PART III-DEMOGRAPHICS'!$Q$17:$Q$2010,$A47))</f>
        <v/>
      </c>
      <c r="AA47" s="42" t="str">
        <f t="shared" si="28"/>
        <v/>
      </c>
      <c r="AB47" s="42">
        <v>0.75285207326077119</v>
      </c>
      <c r="AC47" s="42" t="str">
        <f t="shared" si="29"/>
        <v/>
      </c>
      <c r="AD47" s="43" t="str">
        <f>IF($B47=0,"",COUNTIFS('PART III-DEMOGRAPHICS'!$E$17:$E$2010,Data!$G$8,'PART III-DEMOGRAPHICS'!$Q$17:$Q$2010,$A47))</f>
        <v/>
      </c>
      <c r="AE47" s="42" t="str">
        <f t="shared" si="30"/>
        <v/>
      </c>
      <c r="AF47" s="42">
        <v>9.1456879510324624E-3</v>
      </c>
      <c r="AG47" s="42" t="str">
        <f t="shared" si="31"/>
        <v/>
      </c>
      <c r="AH47" s="43" t="str">
        <f>IF($B47=0,"",COUNTIFS('PART III-DEMOGRAPHICS'!$E$17:$E$2010,Data!$G$7,'PART III-DEMOGRAPHICS'!$Q$17:$Q$2010,$A47))</f>
        <v/>
      </c>
      <c r="AI47" s="42" t="str">
        <f t="shared" si="32"/>
        <v/>
      </c>
      <c r="AJ47" s="42"/>
      <c r="AK47" s="3" t="str">
        <f>IF($B47=0,"",SUMIF('PART IV-V-SERVICES AND OUTCOMES'!$U$7:$U$2000,$A47,'PART IV-V-SERVICES AND OUTCOMES'!$T$7:$T$2000))</f>
        <v/>
      </c>
      <c r="AL47" s="2" t="e">
        <f t="shared" si="33"/>
        <v>#VALUE!</v>
      </c>
    </row>
    <row r="48" spans="1:38">
      <c r="A48" s="3" t="s">
        <v>328</v>
      </c>
      <c r="B48" s="3">
        <f>COUNTIF('PART III-DEMOGRAPHICS'!$Q$17:$Q$2010,A48)</f>
        <v>0</v>
      </c>
      <c r="C48" s="3" t="str" cm="1">
        <f t="array" ref="C48">IF(_xlfn.XLOOKUP('7-OB Report'!$C$2,Data!$C$51:$C$65,_xlfn.XLOOKUP($A48,Data!$F$50:$BM$50,Data!$F$51:$BM$65))=0,"",_xlfn.XLOOKUP('7-OB Report'!$C$2,Data!$C$51:$C$65,_xlfn.XLOOKUP($A48,Data!$F$50:$BM$50,Data!$F$51:$BM$65)))</f>
        <v/>
      </c>
      <c r="D48" s="42" t="str">
        <f t="shared" si="17"/>
        <v/>
      </c>
      <c r="F48" s="3" t="str">
        <f>IF($B48=0,"",COUNTIFS('PART III-DEMOGRAPHICS'!$E$17:$E$2010,Data!$G$2,'PART III-DEMOGRAPHICS'!$Q$17:$Q$2010,$A48))</f>
        <v/>
      </c>
      <c r="G48" s="42" t="str">
        <f t="shared" si="18"/>
        <v/>
      </c>
      <c r="H48" s="42">
        <v>1.9409229607725943E-2</v>
      </c>
      <c r="I48" s="42" t="str">
        <f t="shared" si="19"/>
        <v/>
      </c>
      <c r="J48" s="43" t="str">
        <f>IF($B48=0,"",COUNTIFS('PART III-DEMOGRAPHICS'!$E$17:$E$2010,Data!$G$3,'PART III-DEMOGRAPHICS'!$Q$17:$Q$2010,$A48))</f>
        <v/>
      </c>
      <c r="K48" s="42" t="str">
        <f t="shared" si="20"/>
        <v/>
      </c>
      <c r="L48" s="42">
        <v>1.9047469250369625E-2</v>
      </c>
      <c r="M48" s="42" t="str">
        <f t="shared" si="21"/>
        <v/>
      </c>
      <c r="N48" s="43" t="str">
        <f>IF($B48=0,"",COUNTIFS('PART III-DEMOGRAPHICS'!$E$17:$E$2010,Data!$G$4,'PART III-DEMOGRAPHICS'!$Q$17:$Q$2010,$A48))</f>
        <v/>
      </c>
      <c r="O48" s="42" t="str">
        <f t="shared" si="22"/>
        <v/>
      </c>
      <c r="P48" s="42">
        <v>5.1590172701248861E-3</v>
      </c>
      <c r="Q48" s="42" t="str">
        <f t="shared" si="23"/>
        <v/>
      </c>
      <c r="R48" s="43" t="str">
        <f>IF($B48=0,"",COUNTIFS('PART III-DEMOGRAPHICS'!$E$17:$E$2010,Data!$G$5,'PART III-DEMOGRAPHICS'!$Q$17:$Q$2010,$A48))</f>
        <v/>
      </c>
      <c r="S48" s="42" t="str">
        <f t="shared" si="24"/>
        <v/>
      </c>
      <c r="T48" s="42">
        <v>1.1481959168265752E-3</v>
      </c>
      <c r="U48" s="42" t="str">
        <f t="shared" si="25"/>
        <v/>
      </c>
      <c r="V48" s="43" t="str">
        <f>IF($B48=0,"",COUNTIFS('PART III-DEMOGRAPHICS'!$F$17:$F$2010,"=Yes",'PART III-DEMOGRAPHICS'!$Q$17:$Q$2010,$A48))</f>
        <v/>
      </c>
      <c r="W48" s="42" t="str">
        <f t="shared" si="26"/>
        <v/>
      </c>
      <c r="X48" s="42">
        <v>5.2706911195696628E-2</v>
      </c>
      <c r="Y48" s="42" t="str">
        <f t="shared" si="27"/>
        <v/>
      </c>
      <c r="Z48" s="43" t="str">
        <f>IF($B48=0,"",COUNTIFS('PART III-DEMOGRAPHICS'!$E$17:$E$2010,Data!$G$6,'PART III-DEMOGRAPHICS'!$Q$17:$Q$2010,$A48))</f>
        <v/>
      </c>
      <c r="AA48" s="42" t="str">
        <f t="shared" si="28"/>
        <v/>
      </c>
      <c r="AB48" s="42">
        <v>0.88181446412280973</v>
      </c>
      <c r="AC48" s="42" t="str">
        <f t="shared" si="29"/>
        <v/>
      </c>
      <c r="AD48" s="43" t="str">
        <f>IF($B48=0,"",COUNTIFS('PART III-DEMOGRAPHICS'!$E$17:$E$2010,Data!$G$8,'PART III-DEMOGRAPHICS'!$Q$17:$Q$2010,$A48))</f>
        <v/>
      </c>
      <c r="AE48" s="42" t="str">
        <f t="shared" si="30"/>
        <v/>
      </c>
      <c r="AF48" s="42">
        <v>2.0714712636446569E-2</v>
      </c>
      <c r="AG48" s="42" t="str">
        <f t="shared" si="31"/>
        <v/>
      </c>
      <c r="AH48" s="43" t="str">
        <f>IF($B48=0,"",COUNTIFS('PART III-DEMOGRAPHICS'!$E$17:$E$2010,Data!$G$7,'PART III-DEMOGRAPHICS'!$Q$17:$Q$2010,$A48))</f>
        <v/>
      </c>
      <c r="AI48" s="42" t="str">
        <f t="shared" si="32"/>
        <v/>
      </c>
      <c r="AJ48" s="42"/>
      <c r="AK48" s="3" t="str">
        <f>IF($B48=0,"",SUMIF('PART IV-V-SERVICES AND OUTCOMES'!$U$7:$U$2000,$A48,'PART IV-V-SERVICES AND OUTCOMES'!$T$7:$T$2000))</f>
        <v/>
      </c>
      <c r="AL48" s="2" t="e">
        <f t="shared" si="33"/>
        <v>#VALUE!</v>
      </c>
    </row>
    <row r="49" spans="1:38">
      <c r="A49" s="3" t="s">
        <v>329</v>
      </c>
      <c r="B49" s="3">
        <f>COUNTIF('PART III-DEMOGRAPHICS'!$Q$17:$Q$2010,A49)</f>
        <v>0</v>
      </c>
      <c r="C49" s="3" cm="1">
        <f t="array" ref="C49">IF(_xlfn.XLOOKUP('7-OB Report'!$C$2,Data!$C$51:$C$65,_xlfn.XLOOKUP($A49,Data!$F$50:$BM$50,Data!$F$51:$BM$65))=0,"",_xlfn.XLOOKUP('7-OB Report'!$C$2,Data!$C$51:$C$65,_xlfn.XLOOKUP($A49,Data!$F$50:$BM$50,Data!$F$51:$BM$65)))</f>
        <v>4</v>
      </c>
      <c r="D49" s="42">
        <f t="shared" si="17"/>
        <v>0</v>
      </c>
      <c r="F49" s="3" t="str">
        <f>IF($B49=0,"",COUNTIFS('PART III-DEMOGRAPHICS'!$E$17:$E$2010,Data!$G$2,'PART III-DEMOGRAPHICS'!$Q$17:$Q$2010,$A49))</f>
        <v/>
      </c>
      <c r="G49" s="42" t="str">
        <f t="shared" si="18"/>
        <v/>
      </c>
      <c r="H49" s="42">
        <v>1.5024038461538462E-2</v>
      </c>
      <c r="I49" s="42" t="str">
        <f t="shared" si="19"/>
        <v/>
      </c>
      <c r="J49" s="43" t="str">
        <f>IF($B49=0,"",COUNTIFS('PART III-DEMOGRAPHICS'!$E$17:$E$2010,Data!$G$3,'PART III-DEMOGRAPHICS'!$Q$17:$Q$2010,$A49))</f>
        <v/>
      </c>
      <c r="K49" s="42" t="str">
        <f t="shared" si="20"/>
        <v/>
      </c>
      <c r="L49" s="42">
        <v>4.807692307692308E-3</v>
      </c>
      <c r="M49" s="42" t="str">
        <f t="shared" si="21"/>
        <v/>
      </c>
      <c r="N49" s="43" t="str">
        <f>IF($B49=0,"",COUNTIFS('PART III-DEMOGRAPHICS'!$E$17:$E$2010,Data!$G$4,'PART III-DEMOGRAPHICS'!$Q$17:$Q$2010,$A49))</f>
        <v/>
      </c>
      <c r="O49" s="42" t="str">
        <f t="shared" si="22"/>
        <v/>
      </c>
      <c r="P49" s="42">
        <v>1.8028846153846155E-3</v>
      </c>
      <c r="Q49" s="42" t="str">
        <f t="shared" si="23"/>
        <v/>
      </c>
      <c r="R49" s="43" t="str">
        <f>IF($B49=0,"",COUNTIFS('PART III-DEMOGRAPHICS'!$E$17:$E$2010,Data!$G$5,'PART III-DEMOGRAPHICS'!$Q$17:$Q$2010,$A49))</f>
        <v/>
      </c>
      <c r="S49" s="42" t="str">
        <f t="shared" si="24"/>
        <v/>
      </c>
      <c r="T49" s="42">
        <v>1.201923076923077E-3</v>
      </c>
      <c r="U49" s="42" t="str">
        <f t="shared" si="25"/>
        <v/>
      </c>
      <c r="V49" s="43" t="str">
        <f>IF($B49=0,"",COUNTIFS('PART III-DEMOGRAPHICS'!$F$17:$F$2010,"=Yes",'PART III-DEMOGRAPHICS'!$Q$17:$Q$2010,$A49))</f>
        <v/>
      </c>
      <c r="W49" s="42" t="str">
        <f t="shared" si="26"/>
        <v/>
      </c>
      <c r="X49" s="42">
        <v>6.0697115384615384E-2</v>
      </c>
      <c r="Y49" s="42" t="str">
        <f t="shared" si="27"/>
        <v/>
      </c>
      <c r="Z49" s="43" t="str">
        <f>IF($B49=0,"",COUNTIFS('PART III-DEMOGRAPHICS'!$E$17:$E$2010,Data!$G$6,'PART III-DEMOGRAPHICS'!$Q$17:$Q$2010,$A49))</f>
        <v/>
      </c>
      <c r="AA49" s="42" t="str">
        <f t="shared" si="28"/>
        <v/>
      </c>
      <c r="AB49" s="42">
        <v>0.90985576923076927</v>
      </c>
      <c r="AC49" s="42" t="str">
        <f t="shared" si="29"/>
        <v/>
      </c>
      <c r="AD49" s="43" t="str">
        <f>IF($B49=0,"",COUNTIFS('PART III-DEMOGRAPHICS'!$E$17:$E$2010,Data!$G$8,'PART III-DEMOGRAPHICS'!$Q$17:$Q$2010,$A49))</f>
        <v/>
      </c>
      <c r="AE49" s="42" t="str">
        <f t="shared" si="30"/>
        <v/>
      </c>
      <c r="AF49" s="42">
        <v>6.610576923076923E-3</v>
      </c>
      <c r="AG49" s="42" t="str">
        <f t="shared" si="31"/>
        <v/>
      </c>
      <c r="AH49" s="43" t="str">
        <f>IF($B49=0,"",COUNTIFS('PART III-DEMOGRAPHICS'!$E$17:$E$2010,Data!$G$7,'PART III-DEMOGRAPHICS'!$Q$17:$Q$2010,$A49))</f>
        <v/>
      </c>
      <c r="AI49" s="42" t="str">
        <f t="shared" si="32"/>
        <v/>
      </c>
      <c r="AJ49" s="42"/>
      <c r="AK49" s="3" t="str">
        <f>IF($B49=0,"",SUMIF('PART IV-V-SERVICES AND OUTCOMES'!$U$7:$U$2000,$A49,'PART IV-V-SERVICES AND OUTCOMES'!$T$7:$T$2000))</f>
        <v/>
      </c>
      <c r="AL49" s="2" t="e">
        <f t="shared" si="33"/>
        <v>#VALUE!</v>
      </c>
    </row>
    <row r="50" spans="1:38">
      <c r="A50" s="3" t="s">
        <v>330</v>
      </c>
      <c r="B50" s="3">
        <f>COUNTIF('PART III-DEMOGRAPHICS'!$Q$17:$Q$2010,A50)</f>
        <v>0</v>
      </c>
      <c r="C50" s="3" t="str" cm="1">
        <f t="array" ref="C50">IF(_xlfn.XLOOKUP('7-OB Report'!$C$2,Data!$C$51:$C$65,_xlfn.XLOOKUP($A50,Data!$F$50:$BM$50,Data!$F$51:$BM$65))=0,"",_xlfn.XLOOKUP('7-OB Report'!$C$2,Data!$C$51:$C$65,_xlfn.XLOOKUP($A50,Data!$F$50:$BM$50,Data!$F$51:$BM$65)))</f>
        <v/>
      </c>
      <c r="D50" s="42" t="str">
        <f t="shared" si="17"/>
        <v/>
      </c>
      <c r="F50" s="3" t="str">
        <f>IF($B50=0,"",COUNTIFS('PART III-DEMOGRAPHICS'!$E$17:$E$2010,Data!$G$2,'PART III-DEMOGRAPHICS'!$Q$17:$Q$2010,$A50))</f>
        <v/>
      </c>
      <c r="G50" s="42" t="str">
        <f t="shared" si="18"/>
        <v/>
      </c>
      <c r="H50" s="42">
        <v>2.7737871588020775E-2</v>
      </c>
      <c r="I50" s="42" t="str">
        <f t="shared" si="19"/>
        <v/>
      </c>
      <c r="J50" s="43" t="str">
        <f>IF($B50=0,"",COUNTIFS('PART III-DEMOGRAPHICS'!$E$17:$E$2010,Data!$G$3,'PART III-DEMOGRAPHICS'!$Q$17:$Q$2010,$A50))</f>
        <v/>
      </c>
      <c r="K50" s="42" t="str">
        <f t="shared" si="20"/>
        <v/>
      </c>
      <c r="L50" s="42">
        <v>1.1437727925737651E-2</v>
      </c>
      <c r="M50" s="42" t="str">
        <f t="shared" si="21"/>
        <v/>
      </c>
      <c r="N50" s="43" t="str">
        <f>IF($B50=0,"",COUNTIFS('PART III-DEMOGRAPHICS'!$E$17:$E$2010,Data!$G$4,'PART III-DEMOGRAPHICS'!$Q$17:$Q$2010,$A50))</f>
        <v/>
      </c>
      <c r="O50" s="42" t="str">
        <f t="shared" si="22"/>
        <v/>
      </c>
      <c r="P50" s="42">
        <v>5.6359818764504365E-3</v>
      </c>
      <c r="Q50" s="42" t="str">
        <f t="shared" si="23"/>
        <v/>
      </c>
      <c r="R50" s="43" t="str">
        <f>IF($B50=0,"",COUNTIFS('PART III-DEMOGRAPHICS'!$E$17:$E$2010,Data!$G$5,'PART III-DEMOGRAPHICS'!$Q$17:$Q$2010,$A50))</f>
        <v/>
      </c>
      <c r="S50" s="42" t="str">
        <f t="shared" si="24"/>
        <v/>
      </c>
      <c r="T50" s="42">
        <v>9.3933031274173945E-4</v>
      </c>
      <c r="U50" s="42" t="str">
        <f t="shared" si="25"/>
        <v/>
      </c>
      <c r="V50" s="43" t="str">
        <f>IF($B50=0,"",COUNTIFS('PART III-DEMOGRAPHICS'!$F$17:$F$2010,"=Yes",'PART III-DEMOGRAPHICS'!$Q$17:$Q$2010,$A50))</f>
        <v/>
      </c>
      <c r="W50" s="42" t="str">
        <f t="shared" si="26"/>
        <v/>
      </c>
      <c r="X50" s="42">
        <v>6.5090065200574643E-2</v>
      </c>
      <c r="Y50" s="42" t="str">
        <f t="shared" si="27"/>
        <v/>
      </c>
      <c r="Z50" s="43" t="str">
        <f>IF($B50=0,"",COUNTIFS('PART III-DEMOGRAPHICS'!$E$17:$E$2010,Data!$G$6,'PART III-DEMOGRAPHICS'!$Q$17:$Q$2010,$A50))</f>
        <v/>
      </c>
      <c r="AA50" s="42" t="str">
        <f t="shared" si="28"/>
        <v/>
      </c>
      <c r="AB50" s="42">
        <v>0.8672781522820201</v>
      </c>
      <c r="AC50" s="42" t="str">
        <f t="shared" si="29"/>
        <v/>
      </c>
      <c r="AD50" s="43" t="str">
        <f>IF($B50=0,"",COUNTIFS('PART III-DEMOGRAPHICS'!$E$17:$E$2010,Data!$G$8,'PART III-DEMOGRAPHICS'!$Q$17:$Q$2010,$A50))</f>
        <v/>
      </c>
      <c r="AE50" s="42" t="str">
        <f t="shared" si="30"/>
        <v/>
      </c>
      <c r="AF50" s="42">
        <v>2.1880870814454636E-2</v>
      </c>
      <c r="AG50" s="42" t="str">
        <f t="shared" si="31"/>
        <v/>
      </c>
      <c r="AH50" s="43" t="str">
        <f>IF($B50=0,"",COUNTIFS('PART III-DEMOGRAPHICS'!$E$17:$E$2010,Data!$G$7,'PART III-DEMOGRAPHICS'!$Q$17:$Q$2010,$A50))</f>
        <v/>
      </c>
      <c r="AI50" s="42" t="str">
        <f t="shared" si="32"/>
        <v/>
      </c>
      <c r="AJ50" s="42"/>
      <c r="AK50" s="3" t="str">
        <f>IF($B50=0,"",SUMIF('PART IV-V-SERVICES AND OUTCOMES'!$U$7:$U$2000,$A50,'PART IV-V-SERVICES AND OUTCOMES'!$T$7:$T$2000))</f>
        <v/>
      </c>
      <c r="AL50" s="2" t="e">
        <f t="shared" si="33"/>
        <v>#VALUE!</v>
      </c>
    </row>
    <row r="51" spans="1:38">
      <c r="A51" s="3" t="s">
        <v>331</v>
      </c>
      <c r="B51" s="3">
        <f>COUNTIF('PART III-DEMOGRAPHICS'!$Q$17:$Q$2010,A51)</f>
        <v>0</v>
      </c>
      <c r="C51" s="3" cm="1">
        <f t="array" ref="C51">IF(_xlfn.XLOOKUP('7-OB Report'!$C$2,Data!$C$51:$C$65,_xlfn.XLOOKUP($A51,Data!$F$50:$BM$50,Data!$F$51:$BM$65))=0,"",_xlfn.XLOOKUP('7-OB Report'!$C$2,Data!$C$51:$C$65,_xlfn.XLOOKUP($A51,Data!$F$50:$BM$50,Data!$F$51:$BM$65)))</f>
        <v>49</v>
      </c>
      <c r="D51" s="42">
        <f t="shared" si="17"/>
        <v>0</v>
      </c>
      <c r="F51" s="3" t="str">
        <f>IF($B51=0,"",COUNTIFS('PART III-DEMOGRAPHICS'!$E$17:$E$2010,Data!$G$2,'PART III-DEMOGRAPHICS'!$Q$17:$Q$2010,$A51))</f>
        <v/>
      </c>
      <c r="G51" s="42" t="str">
        <f t="shared" si="18"/>
        <v/>
      </c>
      <c r="H51" s="42">
        <v>5.8322117541498427E-3</v>
      </c>
      <c r="I51" s="42" t="str">
        <f t="shared" si="19"/>
        <v/>
      </c>
      <c r="J51" s="43" t="str">
        <f>IF($B51=0,"",COUNTIFS('PART III-DEMOGRAPHICS'!$E$17:$E$2010,Data!$G$3,'PART III-DEMOGRAPHICS'!$Q$17:$Q$2010,$A51))</f>
        <v/>
      </c>
      <c r="K51" s="42" t="str">
        <f t="shared" si="20"/>
        <v/>
      </c>
      <c r="L51" s="42">
        <v>0.17214217946737859</v>
      </c>
      <c r="M51" s="42" t="str">
        <f t="shared" si="21"/>
        <v/>
      </c>
      <c r="N51" s="43" t="str">
        <f>IF($B51=0,"",COUNTIFS('PART III-DEMOGRAPHICS'!$E$17:$E$2010,Data!$G$4,'PART III-DEMOGRAPHICS'!$Q$17:$Q$2010,$A51))</f>
        <v/>
      </c>
      <c r="O51" s="42" t="str">
        <f t="shared" si="22"/>
        <v/>
      </c>
      <c r="P51" s="42">
        <v>0.14540814450352654</v>
      </c>
      <c r="Q51" s="42" t="str">
        <f t="shared" si="23"/>
        <v/>
      </c>
      <c r="R51" s="43" t="str">
        <f>IF($B51=0,"",COUNTIFS('PART III-DEMOGRAPHICS'!$E$17:$E$2010,Data!$G$5,'PART III-DEMOGRAPHICS'!$Q$17:$Q$2010,$A51))</f>
        <v/>
      </c>
      <c r="S51" s="42" t="str">
        <f t="shared" si="24"/>
        <v/>
      </c>
      <c r="T51" s="42">
        <v>7.5531922717678298E-3</v>
      </c>
      <c r="U51" s="42" t="str">
        <f t="shared" si="25"/>
        <v/>
      </c>
      <c r="V51" s="43" t="str">
        <f>IF($B51=0,"",COUNTIFS('PART III-DEMOGRAPHICS'!$F$17:$F$2010,"=Yes",'PART III-DEMOGRAPHICS'!$Q$17:$Q$2010,$A51))</f>
        <v/>
      </c>
      <c r="W51" s="42" t="str">
        <f t="shared" si="26"/>
        <v/>
      </c>
      <c r="X51" s="42">
        <v>0.15391008244526325</v>
      </c>
      <c r="Y51" s="42" t="str">
        <f t="shared" si="27"/>
        <v/>
      </c>
      <c r="Z51" s="43" t="str">
        <f>IF($B51=0,"",COUNTIFS('PART III-DEMOGRAPHICS'!$E$17:$E$2010,Data!$G$6,'PART III-DEMOGRAPHICS'!$Q$17:$Q$2010,$A51))</f>
        <v/>
      </c>
      <c r="AA51" s="42" t="str">
        <f t="shared" si="28"/>
        <v/>
      </c>
      <c r="AB51" s="42">
        <v>0.49879016540534976</v>
      </c>
      <c r="AC51" s="42" t="str">
        <f t="shared" si="29"/>
        <v/>
      </c>
      <c r="AD51" s="43" t="str">
        <f>IF($B51=0,"",COUNTIFS('PART III-DEMOGRAPHICS'!$E$17:$E$2010,Data!$G$8,'PART III-DEMOGRAPHICS'!$Q$17:$Q$2010,$A51))</f>
        <v/>
      </c>
      <c r="AE51" s="42" t="str">
        <f t="shared" si="30"/>
        <v/>
      </c>
      <c r="AF51" s="42">
        <v>1.6364024152564188E-2</v>
      </c>
      <c r="AG51" s="42" t="str">
        <f t="shared" si="31"/>
        <v/>
      </c>
      <c r="AH51" s="43" t="str">
        <f>IF($B51=0,"",COUNTIFS('PART III-DEMOGRAPHICS'!$E$17:$E$2010,Data!$G$7,'PART III-DEMOGRAPHICS'!$Q$17:$Q$2010,$A51))</f>
        <v/>
      </c>
      <c r="AI51" s="42" t="str">
        <f t="shared" si="32"/>
        <v/>
      </c>
      <c r="AJ51" s="42"/>
      <c r="AK51" s="3" t="str">
        <f>IF($B51=0,"",SUMIF('PART IV-V-SERVICES AND OUTCOMES'!$U$7:$U$2000,$A51,'PART IV-V-SERVICES AND OUTCOMES'!$T$7:$T$2000))</f>
        <v/>
      </c>
      <c r="AL51" s="2" t="e">
        <f t="shared" si="33"/>
        <v>#VALUE!</v>
      </c>
    </row>
    <row r="52" spans="1:38">
      <c r="A52" s="3" t="s">
        <v>332</v>
      </c>
      <c r="B52" s="3">
        <f>COUNTIF('PART III-DEMOGRAPHICS'!$Q$17:$Q$2010,A52)</f>
        <v>0</v>
      </c>
      <c r="C52" s="3" t="str" cm="1">
        <f t="array" ref="C52">IF(_xlfn.XLOOKUP('7-OB Report'!$C$2,Data!$C$51:$C$65,_xlfn.XLOOKUP($A52,Data!$F$50:$BM$50,Data!$F$51:$BM$65))=0,"",_xlfn.XLOOKUP('7-OB Report'!$C$2,Data!$C$51:$C$65,_xlfn.XLOOKUP($A52,Data!$F$50:$BM$50,Data!$F$51:$BM$65)))</f>
        <v/>
      </c>
      <c r="D52" s="42" t="str">
        <f t="shared" si="17"/>
        <v/>
      </c>
      <c r="F52" s="3" t="str">
        <f>IF($B52=0,"",COUNTIFS('PART III-DEMOGRAPHICS'!$E$17:$E$2010,Data!$G$2,'PART III-DEMOGRAPHICS'!$Q$17:$Q$2010,$A52))</f>
        <v/>
      </c>
      <c r="G52" s="42" t="str">
        <f t="shared" si="18"/>
        <v/>
      </c>
      <c r="H52" s="42">
        <v>7.1444518865818266E-3</v>
      </c>
      <c r="I52" s="42" t="str">
        <f t="shared" si="19"/>
        <v/>
      </c>
      <c r="J52" s="43" t="str">
        <f>IF($B52=0,"",COUNTIFS('PART III-DEMOGRAPHICS'!$E$17:$E$2010,Data!$G$3,'PART III-DEMOGRAPHICS'!$Q$17:$Q$2010,$A52))</f>
        <v/>
      </c>
      <c r="K52" s="42" t="str">
        <f t="shared" si="20"/>
        <v/>
      </c>
      <c r="L52" s="42">
        <v>3.5882551622672183E-2</v>
      </c>
      <c r="M52" s="42" t="str">
        <f t="shared" si="21"/>
        <v/>
      </c>
      <c r="N52" s="43" t="str">
        <f>IF($B52=0,"",COUNTIFS('PART III-DEMOGRAPHICS'!$E$17:$E$2010,Data!$G$4,'PART III-DEMOGRAPHICS'!$Q$17:$Q$2010,$A52))</f>
        <v/>
      </c>
      <c r="O52" s="42" t="str">
        <f t="shared" si="22"/>
        <v/>
      </c>
      <c r="P52" s="42">
        <v>1.2714605480847945E-2</v>
      </c>
      <c r="Q52" s="42" t="str">
        <f t="shared" si="23"/>
        <v/>
      </c>
      <c r="R52" s="43" t="str">
        <f>IF($B52=0,"",COUNTIFS('PART III-DEMOGRAPHICS'!$E$17:$E$2010,Data!$G$5,'PART III-DEMOGRAPHICS'!$Q$17:$Q$2010,$A52))</f>
        <v/>
      </c>
      <c r="S52" s="42" t="str">
        <f t="shared" si="24"/>
        <v/>
      </c>
      <c r="T52" s="42">
        <v>3.1886696320721775E-3</v>
      </c>
      <c r="U52" s="42" t="str">
        <f t="shared" si="25"/>
        <v/>
      </c>
      <c r="V52" s="43" t="str">
        <f>IF($B52=0,"",COUNTIFS('PART III-DEMOGRAPHICS'!$F$17:$F$2010,"=Yes",'PART III-DEMOGRAPHICS'!$Q$17:$Q$2010,$A52))</f>
        <v/>
      </c>
      <c r="W52" s="42" t="str">
        <f t="shared" si="26"/>
        <v/>
      </c>
      <c r="X52" s="42">
        <v>0.12103205271323154</v>
      </c>
      <c r="Y52" s="42" t="str">
        <f t="shared" si="27"/>
        <v/>
      </c>
      <c r="Z52" s="43" t="str">
        <f>IF($B52=0,"",COUNTIFS('PART III-DEMOGRAPHICS'!$E$17:$E$2010,Data!$G$6,'PART III-DEMOGRAPHICS'!$Q$17:$Q$2010,$A52))</f>
        <v/>
      </c>
      <c r="AA52" s="42" t="str">
        <f t="shared" si="28"/>
        <v/>
      </c>
      <c r="AB52" s="42">
        <v>0.81175399728648223</v>
      </c>
      <c r="AC52" s="42" t="str">
        <f t="shared" si="29"/>
        <v/>
      </c>
      <c r="AD52" s="43" t="str">
        <f>IF($B52=0,"",COUNTIFS('PART III-DEMOGRAPHICS'!$E$17:$E$2010,Data!$G$8,'PART III-DEMOGRAPHICS'!$Q$17:$Q$2010,$A52))</f>
        <v/>
      </c>
      <c r="AE52" s="42" t="str">
        <f t="shared" si="30"/>
        <v/>
      </c>
      <c r="AF52" s="42">
        <v>8.2836713781121018E-3</v>
      </c>
      <c r="AG52" s="42" t="str">
        <f t="shared" si="31"/>
        <v/>
      </c>
      <c r="AH52" s="43" t="str">
        <f>IF($B52=0,"",COUNTIFS('PART III-DEMOGRAPHICS'!$E$17:$E$2010,Data!$G$7,'PART III-DEMOGRAPHICS'!$Q$17:$Q$2010,$A52))</f>
        <v/>
      </c>
      <c r="AI52" s="42" t="str">
        <f t="shared" si="32"/>
        <v/>
      </c>
      <c r="AJ52" s="42"/>
      <c r="AK52" s="3" t="str">
        <f>IF($B52=0,"",SUMIF('PART IV-V-SERVICES AND OUTCOMES'!$U$7:$U$2000,$A52,'PART IV-V-SERVICES AND OUTCOMES'!$T$7:$T$2000))</f>
        <v/>
      </c>
      <c r="AL52" s="2" t="e">
        <f t="shared" si="33"/>
        <v>#VALUE!</v>
      </c>
    </row>
    <row r="53" spans="1:38">
      <c r="A53" s="3" t="s">
        <v>333</v>
      </c>
      <c r="B53" s="3">
        <f>COUNTIF('PART III-DEMOGRAPHICS'!$Q$17:$Q$2010,A53)</f>
        <v>0</v>
      </c>
      <c r="C53" s="3" t="str" cm="1">
        <f t="array" ref="C53">IF(_xlfn.XLOOKUP('7-OB Report'!$C$2,Data!$C$51:$C$65,_xlfn.XLOOKUP($A53,Data!$F$50:$BM$50,Data!$F$51:$BM$65))=0,"",_xlfn.XLOOKUP('7-OB Report'!$C$2,Data!$C$51:$C$65,_xlfn.XLOOKUP($A53,Data!$F$50:$BM$50,Data!$F$51:$BM$65)))</f>
        <v/>
      </c>
      <c r="D53" s="42" t="str">
        <f t="shared" si="17"/>
        <v/>
      </c>
      <c r="F53" s="3" t="str">
        <f>IF($B53=0,"",COUNTIFS('PART III-DEMOGRAPHICS'!$E$17:$E$2010,Data!$G$2,'PART III-DEMOGRAPHICS'!$Q$17:$Q$2010,$A53))</f>
        <v/>
      </c>
      <c r="G53" s="42" t="str">
        <f t="shared" si="18"/>
        <v/>
      </c>
      <c r="H53" s="42">
        <v>7.9625911077451129E-3</v>
      </c>
      <c r="I53" s="42" t="str">
        <f t="shared" si="19"/>
        <v/>
      </c>
      <c r="J53" s="43" t="str">
        <f>IF($B53=0,"",COUNTIFS('PART III-DEMOGRAPHICS'!$E$17:$E$2010,Data!$G$3,'PART III-DEMOGRAPHICS'!$Q$17:$Q$2010,$A53))</f>
        <v/>
      </c>
      <c r="K53" s="42" t="str">
        <f t="shared" si="20"/>
        <v/>
      </c>
      <c r="L53" s="42">
        <v>5.2944977522703114E-2</v>
      </c>
      <c r="M53" s="42" t="str">
        <f t="shared" si="21"/>
        <v/>
      </c>
      <c r="N53" s="43" t="str">
        <f>IF($B53=0,"",COUNTIFS('PART III-DEMOGRAPHICS'!$E$17:$E$2010,Data!$G$4,'PART III-DEMOGRAPHICS'!$Q$17:$Q$2010,$A53))</f>
        <v/>
      </c>
      <c r="O53" s="42" t="str">
        <f t="shared" si="22"/>
        <v/>
      </c>
      <c r="P53" s="42">
        <v>2.509675312493486E-2</v>
      </c>
      <c r="Q53" s="42" t="str">
        <f t="shared" si="23"/>
        <v/>
      </c>
      <c r="R53" s="43" t="str">
        <f>IF($B53=0,"",COUNTIFS('PART III-DEMOGRAPHICS'!$E$17:$E$2010,Data!$G$5,'PART III-DEMOGRAPHICS'!$Q$17:$Q$2010,$A53))</f>
        <v/>
      </c>
      <c r="S53" s="42" t="str">
        <f t="shared" si="24"/>
        <v/>
      </c>
      <c r="T53" s="42">
        <v>7.1635527330586495E-3</v>
      </c>
      <c r="U53" s="42" t="str">
        <f t="shared" si="25"/>
        <v/>
      </c>
      <c r="V53" s="43" t="str">
        <f>IF($B53=0,"",COUNTIFS('PART III-DEMOGRAPHICS'!$F$17:$F$2010,"=Yes",'PART III-DEMOGRAPHICS'!$Q$17:$Q$2010,$A53))</f>
        <v/>
      </c>
      <c r="W53" s="42" t="str">
        <f t="shared" si="26"/>
        <v/>
      </c>
      <c r="X53" s="42">
        <v>0.29261480096996312</v>
      </c>
      <c r="Y53" s="42" t="str">
        <f t="shared" si="27"/>
        <v/>
      </c>
      <c r="Z53" s="43" t="str">
        <f>IF($B53=0,"",COUNTIFS('PART III-DEMOGRAPHICS'!$E$17:$E$2010,Data!$G$6,'PART III-DEMOGRAPHICS'!$Q$17:$Q$2010,$A53))</f>
        <v/>
      </c>
      <c r="AA53" s="42" t="str">
        <f t="shared" si="28"/>
        <v/>
      </c>
      <c r="AB53" s="42">
        <v>0.60075179088818331</v>
      </c>
      <c r="AC53" s="42" t="str">
        <f t="shared" si="29"/>
        <v/>
      </c>
      <c r="AD53" s="43" t="str">
        <f>IF($B53=0,"",COUNTIFS('PART III-DEMOGRAPHICS'!$E$17:$E$2010,Data!$G$8,'PART III-DEMOGRAPHICS'!$Q$17:$Q$2010,$A53))</f>
        <v/>
      </c>
      <c r="AE53" s="42" t="str">
        <f t="shared" si="30"/>
        <v/>
      </c>
      <c r="AF53" s="42">
        <v>1.3465533653411894E-2</v>
      </c>
      <c r="AG53" s="42" t="str">
        <f t="shared" si="31"/>
        <v/>
      </c>
      <c r="AH53" s="43" t="str">
        <f>IF($B53=0,"",COUNTIFS('PART III-DEMOGRAPHICS'!$E$17:$E$2010,Data!$G$7,'PART III-DEMOGRAPHICS'!$Q$17:$Q$2010,$A53))</f>
        <v/>
      </c>
      <c r="AI53" s="42" t="str">
        <f t="shared" si="32"/>
        <v/>
      </c>
      <c r="AJ53" s="42"/>
      <c r="AK53" s="3" t="str">
        <f>IF($B53=0,"",SUMIF('PART IV-V-SERVICES AND OUTCOMES'!$U$7:$U$2000,$A53,'PART IV-V-SERVICES AND OUTCOMES'!$T$7:$T$2000))</f>
        <v/>
      </c>
      <c r="AL53" s="2" t="e">
        <f t="shared" si="33"/>
        <v>#VALUE!</v>
      </c>
    </row>
    <row r="54" spans="1:38">
      <c r="A54" s="3" t="s">
        <v>334</v>
      </c>
      <c r="B54" s="3">
        <f>COUNTIF('PART III-DEMOGRAPHICS'!$Q$17:$Q$2010,A54)</f>
        <v>0</v>
      </c>
      <c r="C54" s="3" cm="1">
        <f t="array" ref="C54">IF(_xlfn.XLOOKUP('7-OB Report'!$C$2,Data!$C$51:$C$65,_xlfn.XLOOKUP($A54,Data!$F$50:$BM$50,Data!$F$51:$BM$65))=0,"",_xlfn.XLOOKUP('7-OB Report'!$C$2,Data!$C$51:$C$65,_xlfn.XLOOKUP($A54,Data!$F$50:$BM$50,Data!$F$51:$BM$65)))</f>
        <v>5</v>
      </c>
      <c r="D54" s="42">
        <f t="shared" si="17"/>
        <v>0</v>
      </c>
      <c r="F54" s="3" t="str">
        <f>IF($B54=0,"",COUNTIFS('PART III-DEMOGRAPHICS'!$E$17:$E$2010,Data!$G$2,'PART III-DEMOGRAPHICS'!$Q$17:$Q$2010,$A54))</f>
        <v/>
      </c>
      <c r="G54" s="42" t="str">
        <f t="shared" si="18"/>
        <v/>
      </c>
      <c r="H54" s="42">
        <v>1.0787908997044897E-2</v>
      </c>
      <c r="I54" s="42" t="str">
        <f t="shared" si="19"/>
        <v/>
      </c>
      <c r="J54" s="43" t="str">
        <f>IF($B54=0,"",COUNTIFS('PART III-DEMOGRAPHICS'!$E$17:$E$2010,Data!$G$3,'PART III-DEMOGRAPHICS'!$Q$17:$Q$2010,$A54))</f>
        <v/>
      </c>
      <c r="K54" s="42" t="str">
        <f t="shared" si="20"/>
        <v/>
      </c>
      <c r="L54" s="42">
        <v>0.15035425641755973</v>
      </c>
      <c r="M54" s="42" t="str">
        <f t="shared" si="21"/>
        <v/>
      </c>
      <c r="N54" s="43" t="str">
        <f>IF($B54=0,"",COUNTIFS('PART III-DEMOGRAPHICS'!$E$17:$E$2010,Data!$G$4,'PART III-DEMOGRAPHICS'!$Q$17:$Q$2010,$A54))</f>
        <v/>
      </c>
      <c r="O54" s="42" t="str">
        <f t="shared" si="22"/>
        <v/>
      </c>
      <c r="P54" s="42">
        <v>1.7801830028126891E-2</v>
      </c>
      <c r="Q54" s="42" t="str">
        <f t="shared" si="23"/>
        <v/>
      </c>
      <c r="R54" s="43" t="str">
        <f>IF($B54=0,"",COUNTIFS('PART III-DEMOGRAPHICS'!$E$17:$E$2010,Data!$G$5,'PART III-DEMOGRAPHICS'!$Q$17:$Q$2010,$A54))</f>
        <v/>
      </c>
      <c r="S54" s="42" t="str">
        <f t="shared" si="24"/>
        <v/>
      </c>
      <c r="T54" s="42">
        <v>3.311140385231602E-3</v>
      </c>
      <c r="U54" s="42" t="str">
        <f t="shared" si="25"/>
        <v/>
      </c>
      <c r="V54" s="43" t="str">
        <f>IF($B54=0,"",COUNTIFS('PART III-DEMOGRAPHICS'!$F$17:$F$2010,"=Yes",'PART III-DEMOGRAPHICS'!$Q$17:$Q$2010,$A54))</f>
        <v/>
      </c>
      <c r="W54" s="42" t="str">
        <f t="shared" si="26"/>
        <v/>
      </c>
      <c r="X54" s="42">
        <v>0.18688361163527611</v>
      </c>
      <c r="Y54" s="42" t="str">
        <f t="shared" si="27"/>
        <v/>
      </c>
      <c r="Z54" s="43" t="str">
        <f>IF($B54=0,"",COUNTIFS('PART III-DEMOGRAPHICS'!$E$17:$E$2010,Data!$G$6,'PART III-DEMOGRAPHICS'!$Q$17:$Q$2010,$A54))</f>
        <v/>
      </c>
      <c r="AA54" s="42" t="str">
        <f t="shared" si="28"/>
        <v/>
      </c>
      <c r="AB54" s="42">
        <v>0.61430555061060277</v>
      </c>
      <c r="AC54" s="42" t="str">
        <f t="shared" si="29"/>
        <v/>
      </c>
      <c r="AD54" s="43" t="str">
        <f>IF($B54=0,"",COUNTIFS('PART III-DEMOGRAPHICS'!$E$17:$E$2010,Data!$G$8,'PART III-DEMOGRAPHICS'!$Q$17:$Q$2010,$A54))</f>
        <v/>
      </c>
      <c r="AE54" s="42" t="str">
        <f t="shared" si="30"/>
        <v/>
      </c>
      <c r="AF54" s="42">
        <v>1.655570192615801E-2</v>
      </c>
      <c r="AG54" s="42" t="str">
        <f t="shared" si="31"/>
        <v/>
      </c>
      <c r="AH54" s="43" t="str">
        <f>IF($B54=0,"",COUNTIFS('PART III-DEMOGRAPHICS'!$E$17:$E$2010,Data!$G$7,'PART III-DEMOGRAPHICS'!$Q$17:$Q$2010,$A54))</f>
        <v/>
      </c>
      <c r="AI54" s="42" t="str">
        <f t="shared" si="32"/>
        <v/>
      </c>
      <c r="AJ54" s="42"/>
      <c r="AK54" s="3" t="str">
        <f>IF($B54=0,"",SUMIF('PART IV-V-SERVICES AND OUTCOMES'!$U$7:$U$2000,$A54,'PART IV-V-SERVICES AND OUTCOMES'!$T$7:$T$2000))</f>
        <v/>
      </c>
      <c r="AL54" s="2" t="e">
        <f t="shared" si="33"/>
        <v>#VALUE!</v>
      </c>
    </row>
    <row r="55" spans="1:38">
      <c r="A55" s="3" t="s">
        <v>335</v>
      </c>
      <c r="B55" s="3">
        <f>COUNTIF('PART III-DEMOGRAPHICS'!$Q$17:$Q$2010,A55)</f>
        <v>0</v>
      </c>
      <c r="C55" s="3" t="str" cm="1">
        <f t="array" ref="C55">IF(_xlfn.XLOOKUP('7-OB Report'!$C$2,Data!$C$51:$C$65,_xlfn.XLOOKUP($A55,Data!$F$50:$BM$50,Data!$F$51:$BM$65))=0,"",_xlfn.XLOOKUP('7-OB Report'!$C$2,Data!$C$51:$C$65,_xlfn.XLOOKUP($A55,Data!$F$50:$BM$50,Data!$F$51:$BM$65)))</f>
        <v/>
      </c>
      <c r="D55" s="42" t="str">
        <f t="shared" si="17"/>
        <v/>
      </c>
      <c r="F55" s="3" t="str">
        <f>IF($B55=0,"",COUNTIFS('PART III-DEMOGRAPHICS'!$E$17:$E$2010,Data!$G$2,'PART III-DEMOGRAPHICS'!$Q$17:$Q$2010,$A55))</f>
        <v/>
      </c>
      <c r="G55" s="42" t="str">
        <f t="shared" si="18"/>
        <v/>
      </c>
      <c r="H55" s="42">
        <v>1.9882146552111915E-2</v>
      </c>
      <c r="I55" s="42" t="str">
        <f t="shared" si="19"/>
        <v/>
      </c>
      <c r="J55" s="43" t="str">
        <f>IF($B55=0,"",COUNTIFS('PART III-DEMOGRAPHICS'!$E$17:$E$2010,Data!$G$3,'PART III-DEMOGRAPHICS'!$Q$17:$Q$2010,$A55))</f>
        <v/>
      </c>
      <c r="K55" s="42" t="str">
        <f t="shared" si="20"/>
        <v/>
      </c>
      <c r="L55" s="42">
        <v>8.2317484593585535E-3</v>
      </c>
      <c r="M55" s="42" t="str">
        <f t="shared" si="21"/>
        <v/>
      </c>
      <c r="N55" s="43" t="str">
        <f>IF($B55=0,"",COUNTIFS('PART III-DEMOGRAPHICS'!$E$17:$E$2010,Data!$G$4,'PART III-DEMOGRAPHICS'!$Q$17:$Q$2010,$A55))</f>
        <v/>
      </c>
      <c r="O55" s="42" t="str">
        <f t="shared" si="22"/>
        <v/>
      </c>
      <c r="P55" s="42">
        <v>4.3182942737618642E-3</v>
      </c>
      <c r="Q55" s="42" t="str">
        <f t="shared" si="23"/>
        <v/>
      </c>
      <c r="R55" s="43" t="str">
        <f>IF($B55=0,"",COUNTIFS('PART III-DEMOGRAPHICS'!$E$17:$E$2010,Data!$G$5,'PART III-DEMOGRAPHICS'!$Q$17:$Q$2010,$A55))</f>
        <v/>
      </c>
      <c r="S55" s="42" t="str">
        <f t="shared" si="24"/>
        <v/>
      </c>
      <c r="T55" s="42">
        <v>1.3044847285322298E-3</v>
      </c>
      <c r="U55" s="42" t="str">
        <f t="shared" si="25"/>
        <v/>
      </c>
      <c r="V55" s="43" t="str">
        <f>IF($B55=0,"",COUNTIFS('PART III-DEMOGRAPHICS'!$F$17:$F$2010,"=Yes",'PART III-DEMOGRAPHICS'!$Q$17:$Q$2010,$A55))</f>
        <v/>
      </c>
      <c r="W55" s="42" t="str">
        <f t="shared" si="26"/>
        <v/>
      </c>
      <c r="X55" s="42">
        <v>0.11951779047276326</v>
      </c>
      <c r="Y55" s="42" t="str">
        <f t="shared" si="27"/>
        <v/>
      </c>
      <c r="Z55" s="43" t="str">
        <f>IF($B55=0,"",COUNTIFS('PART III-DEMOGRAPHICS'!$E$17:$E$2010,Data!$G$6,'PART III-DEMOGRAPHICS'!$Q$17:$Q$2010,$A55))</f>
        <v/>
      </c>
      <c r="AA55" s="42" t="str">
        <f t="shared" si="28"/>
        <v/>
      </c>
      <c r="AB55" s="42">
        <v>0.82794296252980071</v>
      </c>
      <c r="AC55" s="42" t="str">
        <f t="shared" si="29"/>
        <v/>
      </c>
      <c r="AD55" s="43" t="str">
        <f>IF($B55=0,"",COUNTIFS('PART III-DEMOGRAPHICS'!$E$17:$E$2010,Data!$G$8,'PART III-DEMOGRAPHICS'!$Q$17:$Q$2010,$A55))</f>
        <v/>
      </c>
      <c r="AE55" s="42" t="str">
        <f t="shared" si="30"/>
        <v/>
      </c>
      <c r="AF55" s="42">
        <v>1.880257298367145E-2</v>
      </c>
      <c r="AG55" s="42" t="str">
        <f t="shared" si="31"/>
        <v/>
      </c>
      <c r="AH55" s="43" t="str">
        <f>IF($B55=0,"",COUNTIFS('PART III-DEMOGRAPHICS'!$E$17:$E$2010,Data!$G$7,'PART III-DEMOGRAPHICS'!$Q$17:$Q$2010,$A55))</f>
        <v/>
      </c>
      <c r="AI55" s="42" t="str">
        <f t="shared" si="32"/>
        <v/>
      </c>
      <c r="AJ55" s="42"/>
      <c r="AK55" s="3" t="str">
        <f>IF($B55=0,"",SUMIF('PART IV-V-SERVICES AND OUTCOMES'!$U$7:$U$2000,$A55,'PART IV-V-SERVICES AND OUTCOMES'!$T$7:$T$2000))</f>
        <v/>
      </c>
      <c r="AL55" s="2" t="e">
        <f t="shared" si="33"/>
        <v>#VALUE!</v>
      </c>
    </row>
    <row r="56" spans="1:38">
      <c r="A56" s="3" t="s">
        <v>336</v>
      </c>
      <c r="B56" s="3">
        <f>COUNTIF('PART III-DEMOGRAPHICS'!$Q$17:$Q$2010,A56)</f>
        <v>0</v>
      </c>
      <c r="C56" s="3" t="str" cm="1">
        <f t="array" ref="C56">IF(_xlfn.XLOOKUP('7-OB Report'!$C$2,Data!$C$51:$C$65,_xlfn.XLOOKUP($A56,Data!$F$50:$BM$50,Data!$F$51:$BM$65))=0,"",_xlfn.XLOOKUP('7-OB Report'!$C$2,Data!$C$51:$C$65,_xlfn.XLOOKUP($A56,Data!$F$50:$BM$50,Data!$F$51:$BM$65)))</f>
        <v/>
      </c>
      <c r="D56" s="42" t="str">
        <f t="shared" si="17"/>
        <v/>
      </c>
      <c r="F56" s="3" t="str">
        <f>IF($B56=0,"",COUNTIFS('PART III-DEMOGRAPHICS'!$E$17:$E$2010,Data!$G$2,'PART III-DEMOGRAPHICS'!$Q$17:$Q$2010,$A56))</f>
        <v/>
      </c>
      <c r="G56" s="42" t="str">
        <f t="shared" si="18"/>
        <v/>
      </c>
      <c r="H56" s="42">
        <v>3.7707616339967082E-2</v>
      </c>
      <c r="I56" s="42" t="str">
        <f t="shared" si="19"/>
        <v/>
      </c>
      <c r="J56" s="43" t="str">
        <f>IF($B56=0,"",COUNTIFS('PART III-DEMOGRAPHICS'!$E$17:$E$2010,Data!$G$3,'PART III-DEMOGRAPHICS'!$Q$17:$Q$2010,$A56))</f>
        <v/>
      </c>
      <c r="K56" s="42" t="str">
        <f t="shared" si="20"/>
        <v/>
      </c>
      <c r="L56" s="42">
        <v>5.6860691306299567E-3</v>
      </c>
      <c r="M56" s="42" t="str">
        <f t="shared" si="21"/>
        <v/>
      </c>
      <c r="N56" s="43" t="str">
        <f>IF($B56=0,"",COUNTIFS('PART III-DEMOGRAPHICS'!$E$17:$E$2010,Data!$G$4,'PART III-DEMOGRAPHICS'!$Q$17:$Q$2010,$A56))</f>
        <v/>
      </c>
      <c r="O56" s="42" t="str">
        <f t="shared" si="22"/>
        <v/>
      </c>
      <c r="P56" s="42">
        <v>1.0474337872213078E-3</v>
      </c>
      <c r="Q56" s="42" t="str">
        <f t="shared" si="23"/>
        <v/>
      </c>
      <c r="R56" s="43" t="str">
        <f>IF($B56=0,"",COUNTIFS('PART III-DEMOGRAPHICS'!$E$17:$E$2010,Data!$G$5,'PART III-DEMOGRAPHICS'!$Q$17:$Q$2010,$A56))</f>
        <v/>
      </c>
      <c r="S56" s="42" t="str">
        <f t="shared" si="24"/>
        <v/>
      </c>
      <c r="T56" s="42">
        <v>5.9853359269789017E-4</v>
      </c>
      <c r="U56" s="42" t="str">
        <f t="shared" si="25"/>
        <v/>
      </c>
      <c r="V56" s="43" t="str">
        <f>IF($B56=0,"",COUNTIFS('PART III-DEMOGRAPHICS'!$F$17:$F$2010,"=Yes",'PART III-DEMOGRAPHICS'!$Q$17:$Q$2010,$A56))</f>
        <v/>
      </c>
      <c r="W56" s="42" t="str">
        <f t="shared" si="26"/>
        <v/>
      </c>
      <c r="X56" s="42">
        <v>3.9952117312584169E-2</v>
      </c>
      <c r="Y56" s="42" t="str">
        <f t="shared" si="27"/>
        <v/>
      </c>
      <c r="Z56" s="43" t="str">
        <f>IF($B56=0,"",COUNTIFS('PART III-DEMOGRAPHICS'!$E$17:$E$2010,Data!$G$6,'PART III-DEMOGRAPHICS'!$Q$17:$Q$2010,$A56))</f>
        <v/>
      </c>
      <c r="AA56" s="42" t="str">
        <f t="shared" si="28"/>
        <v/>
      </c>
      <c r="AB56" s="42">
        <v>0.88163998204399219</v>
      </c>
      <c r="AC56" s="42" t="str">
        <f t="shared" si="29"/>
        <v/>
      </c>
      <c r="AD56" s="43" t="str">
        <f>IF($B56=0,"",COUNTIFS('PART III-DEMOGRAPHICS'!$E$17:$E$2010,Data!$G$8,'PART III-DEMOGRAPHICS'!$Q$17:$Q$2010,$A56))</f>
        <v/>
      </c>
      <c r="AE56" s="42" t="str">
        <f t="shared" si="30"/>
        <v/>
      </c>
      <c r="AF56" s="42">
        <v>3.3368247792907375E-2</v>
      </c>
      <c r="AG56" s="42" t="str">
        <f t="shared" si="31"/>
        <v/>
      </c>
      <c r="AH56" s="43" t="str">
        <f>IF($B56=0,"",COUNTIFS('PART III-DEMOGRAPHICS'!$E$17:$E$2010,Data!$G$7,'PART III-DEMOGRAPHICS'!$Q$17:$Q$2010,$A56))</f>
        <v/>
      </c>
      <c r="AI56" s="42" t="str">
        <f t="shared" si="32"/>
        <v/>
      </c>
      <c r="AJ56" s="42"/>
      <c r="AK56" s="3" t="str">
        <f>IF($B56=0,"",SUMIF('PART IV-V-SERVICES AND OUTCOMES'!$U$7:$U$2000,$A56,'PART IV-V-SERVICES AND OUTCOMES'!$T$7:$T$2000))</f>
        <v/>
      </c>
      <c r="AL56" s="2" t="e">
        <f t="shared" si="33"/>
        <v>#VALUE!</v>
      </c>
    </row>
    <row r="57" spans="1:38">
      <c r="A57" s="3" t="s">
        <v>337</v>
      </c>
      <c r="B57" s="3">
        <f>COUNTIF('PART III-DEMOGRAPHICS'!$Q$17:$Q$2010,A57)</f>
        <v>0</v>
      </c>
      <c r="C57" s="3" t="str" cm="1">
        <f t="array" ref="C57">IF(_xlfn.XLOOKUP('7-OB Report'!$C$2,Data!$C$51:$C$65,_xlfn.XLOOKUP($A57,Data!$F$50:$BM$50,Data!$F$51:$BM$65))=0,"",_xlfn.XLOOKUP('7-OB Report'!$C$2,Data!$C$51:$C$65,_xlfn.XLOOKUP($A57,Data!$F$50:$BM$50,Data!$F$51:$BM$65)))</f>
        <v/>
      </c>
      <c r="D57" s="42" t="str">
        <f t="shared" si="17"/>
        <v/>
      </c>
      <c r="F57" s="3" t="str">
        <f>IF($B57=0,"",COUNTIFS('PART III-DEMOGRAPHICS'!$E$17:$E$2010,Data!$G$2,'PART III-DEMOGRAPHICS'!$Q$17:$Q$2010,$A57))</f>
        <v/>
      </c>
      <c r="G57" s="42" t="str">
        <f t="shared" si="18"/>
        <v/>
      </c>
      <c r="H57" s="42">
        <v>9.1014103925623688E-3</v>
      </c>
      <c r="I57" s="42" t="str">
        <f t="shared" si="19"/>
        <v/>
      </c>
      <c r="J57" s="43" t="str">
        <f>IF($B57=0,"",COUNTIFS('PART III-DEMOGRAPHICS'!$E$17:$E$2010,Data!$G$3,'PART III-DEMOGRAPHICS'!$Q$17:$Q$2010,$A57))</f>
        <v/>
      </c>
      <c r="K57" s="42" t="str">
        <f t="shared" si="20"/>
        <v/>
      </c>
      <c r="L57" s="42">
        <v>4.1212527714120692E-2</v>
      </c>
      <c r="M57" s="42" t="str">
        <f t="shared" si="21"/>
        <v/>
      </c>
      <c r="N57" s="43" t="str">
        <f>IF($B57=0,"",COUNTIFS('PART III-DEMOGRAPHICS'!$E$17:$E$2010,Data!$G$4,'PART III-DEMOGRAPHICS'!$Q$17:$Q$2010,$A57))</f>
        <v/>
      </c>
      <c r="O57" s="42" t="str">
        <f t="shared" si="22"/>
        <v/>
      </c>
      <c r="P57" s="42">
        <v>1.3638142082611368E-2</v>
      </c>
      <c r="Q57" s="42" t="str">
        <f t="shared" si="23"/>
        <v/>
      </c>
      <c r="R57" s="43" t="str">
        <f>IF($B57=0,"",COUNTIFS('PART III-DEMOGRAPHICS'!$E$17:$E$2010,Data!$G$5,'PART III-DEMOGRAPHICS'!$Q$17:$Q$2010,$A57))</f>
        <v/>
      </c>
      <c r="S57" s="42" t="str">
        <f t="shared" si="24"/>
        <v/>
      </c>
      <c r="T57" s="42">
        <v>7.9183201982374748E-4</v>
      </c>
      <c r="U57" s="42" t="str">
        <f t="shared" si="25"/>
        <v/>
      </c>
      <c r="V57" s="43" t="str">
        <f>IF($B57=0,"",COUNTIFS('PART III-DEMOGRAPHICS'!$F$17:$F$2010,"=Yes",'PART III-DEMOGRAPHICS'!$Q$17:$Q$2010,$A57))</f>
        <v/>
      </c>
      <c r="W57" s="42" t="str">
        <f t="shared" si="26"/>
        <v/>
      </c>
      <c r="X57" s="42">
        <v>0.43626218023959906</v>
      </c>
      <c r="Y57" s="42" t="str">
        <f t="shared" si="27"/>
        <v/>
      </c>
      <c r="Z57" s="43" t="str">
        <f>IF($B57=0,"",COUNTIFS('PART III-DEMOGRAPHICS'!$E$17:$E$2010,Data!$G$6,'PART III-DEMOGRAPHICS'!$Q$17:$Q$2010,$A57))</f>
        <v/>
      </c>
      <c r="AA57" s="42" t="str">
        <f t="shared" si="28"/>
        <v/>
      </c>
      <c r="AB57" s="42">
        <v>0.49192331339779777</v>
      </c>
      <c r="AC57" s="42" t="str">
        <f t="shared" si="29"/>
        <v/>
      </c>
      <c r="AD57" s="43" t="str">
        <f>IF($B57=0,"",COUNTIFS('PART III-DEMOGRAPHICS'!$E$17:$E$2010,Data!$G$8,'PART III-DEMOGRAPHICS'!$Q$17:$Q$2010,$A57))</f>
        <v/>
      </c>
      <c r="AE57" s="42" t="str">
        <f t="shared" si="30"/>
        <v/>
      </c>
      <c r="AF57" s="42">
        <v>7.0705941534849924E-3</v>
      </c>
      <c r="AG57" s="42" t="str">
        <f t="shared" si="31"/>
        <v/>
      </c>
      <c r="AH57" s="43" t="str">
        <f>IF($B57=0,"",COUNTIFS('PART III-DEMOGRAPHICS'!$E$17:$E$2010,Data!$G$7,'PART III-DEMOGRAPHICS'!$Q$17:$Q$2010,$A57))</f>
        <v/>
      </c>
      <c r="AI57" s="42" t="str">
        <f t="shared" si="32"/>
        <v/>
      </c>
      <c r="AJ57" s="42"/>
      <c r="AK57" s="3" t="str">
        <f>IF($B57=0,"",SUMIF('PART IV-V-SERVICES AND OUTCOMES'!$U$7:$U$2000,$A57,'PART IV-V-SERVICES AND OUTCOMES'!$T$7:$T$2000))</f>
        <v/>
      </c>
      <c r="AL57" s="2" t="e">
        <f t="shared" si="33"/>
        <v>#VALUE!</v>
      </c>
    </row>
    <row r="58" spans="1:38">
      <c r="A58" s="3" t="s">
        <v>338</v>
      </c>
      <c r="B58" s="3">
        <f>COUNTIF('PART III-DEMOGRAPHICS'!$Q$17:$Q$2010,A58)</f>
        <v>0</v>
      </c>
      <c r="C58" s="3" t="str" cm="1">
        <f t="array" ref="C58">IF(_xlfn.XLOOKUP('7-OB Report'!$C$2,Data!$C$51:$C$65,_xlfn.XLOOKUP($A58,Data!$F$50:$BM$50,Data!$F$51:$BM$65))=0,"",_xlfn.XLOOKUP('7-OB Report'!$C$2,Data!$C$51:$C$65,_xlfn.XLOOKUP($A58,Data!$F$50:$BM$50,Data!$F$51:$BM$65)))</f>
        <v/>
      </c>
      <c r="D58" s="42" t="str">
        <f t="shared" si="17"/>
        <v/>
      </c>
      <c r="F58" s="3" t="str">
        <f>IF($B58=0,"",COUNTIFS('PART III-DEMOGRAPHICS'!$E$17:$E$2010,Data!$G$2,'PART III-DEMOGRAPHICS'!$Q$17:$Q$2010,$A58))</f>
        <v/>
      </c>
      <c r="G58" s="42" t="str">
        <f t="shared" si="18"/>
        <v/>
      </c>
      <c r="H58" s="42">
        <v>1.3218622574718824E-2</v>
      </c>
      <c r="I58" s="42" t="str">
        <f t="shared" si="19"/>
        <v/>
      </c>
      <c r="J58" s="43" t="str">
        <f>IF($B58=0,"",COUNTIFS('PART III-DEMOGRAPHICS'!$E$17:$E$2010,Data!$G$3,'PART III-DEMOGRAPHICS'!$Q$17:$Q$2010,$A58))</f>
        <v/>
      </c>
      <c r="K58" s="42" t="str">
        <f t="shared" si="20"/>
        <v/>
      </c>
      <c r="L58" s="42">
        <v>6.3628623918985531E-3</v>
      </c>
      <c r="M58" s="42" t="str">
        <f t="shared" si="21"/>
        <v/>
      </c>
      <c r="N58" s="43" t="str">
        <f>IF($B58=0,"",COUNTIFS('PART III-DEMOGRAPHICS'!$E$17:$E$2010,Data!$G$4,'PART III-DEMOGRAPHICS'!$Q$17:$Q$2010,$A58))</f>
        <v/>
      </c>
      <c r="O58" s="42" t="str">
        <f t="shared" si="22"/>
        <v/>
      </c>
      <c r="P58" s="42">
        <v>1.0261235829188512E-2</v>
      </c>
      <c r="Q58" s="42" t="str">
        <f t="shared" si="23"/>
        <v/>
      </c>
      <c r="R58" s="43" t="str">
        <f>IF($B58=0,"",COUNTIFS('PART III-DEMOGRAPHICS'!$E$17:$E$2010,Data!$G$5,'PART III-DEMOGRAPHICS'!$Q$17:$Q$2010,$A58))</f>
        <v/>
      </c>
      <c r="S58" s="42" t="str">
        <f t="shared" si="24"/>
        <v/>
      </c>
      <c r="T58" s="42">
        <v>8.0656002150826728E-4</v>
      </c>
      <c r="U58" s="42" t="str">
        <f t="shared" si="25"/>
        <v/>
      </c>
      <c r="V58" s="43" t="str">
        <f>IF($B58=0,"",COUNTIFS('PART III-DEMOGRAPHICS'!$F$17:$F$2010,"=Yes",'PART III-DEMOGRAPHICS'!$Q$17:$Q$2010,$A58))</f>
        <v/>
      </c>
      <c r="W58" s="42" t="str">
        <f t="shared" si="26"/>
        <v/>
      </c>
      <c r="X58" s="42">
        <v>6.2284357216471749E-2</v>
      </c>
      <c r="Y58" s="42" t="str">
        <f t="shared" si="27"/>
        <v/>
      </c>
      <c r="Z58" s="43" t="str">
        <f>IF($B58=0,"",COUNTIFS('PART III-DEMOGRAPHICS'!$E$17:$E$2010,Data!$G$6,'PART III-DEMOGRAPHICS'!$Q$17:$Q$2010,$A58))</f>
        <v/>
      </c>
      <c r="AA58" s="42" t="str">
        <f t="shared" si="28"/>
        <v/>
      </c>
      <c r="AB58" s="42">
        <v>0.89702917058744458</v>
      </c>
      <c r="AC58" s="42" t="str">
        <f t="shared" si="29"/>
        <v/>
      </c>
      <c r="AD58" s="43" t="str">
        <f>IF($B58=0,"",COUNTIFS('PART III-DEMOGRAPHICS'!$E$17:$E$2010,Data!$G$8,'PART III-DEMOGRAPHICS'!$Q$17:$Q$2010,$A58))</f>
        <v/>
      </c>
      <c r="AE58" s="42" t="str">
        <f t="shared" si="30"/>
        <v/>
      </c>
      <c r="AF58" s="42">
        <v>1.0037191378769548E-2</v>
      </c>
      <c r="AG58" s="42" t="str">
        <f t="shared" si="31"/>
        <v/>
      </c>
      <c r="AH58" s="43" t="str">
        <f>IF($B58=0,"",COUNTIFS('PART III-DEMOGRAPHICS'!$E$17:$E$2010,Data!$G$7,'PART III-DEMOGRAPHICS'!$Q$17:$Q$2010,$A58))</f>
        <v/>
      </c>
      <c r="AI58" s="42" t="str">
        <f t="shared" si="32"/>
        <v/>
      </c>
      <c r="AJ58" s="42"/>
      <c r="AK58" s="3" t="str">
        <f>IF($B58=0,"",SUMIF('PART IV-V-SERVICES AND OUTCOMES'!$U$7:$U$2000,$A58,'PART IV-V-SERVICES AND OUTCOMES'!$T$7:$T$2000))</f>
        <v/>
      </c>
      <c r="AL58" s="2" t="e">
        <f t="shared" si="33"/>
        <v>#VALUE!</v>
      </c>
    </row>
    <row r="59" spans="1:38">
      <c r="A59" s="3" t="s">
        <v>339</v>
      </c>
      <c r="B59" s="3">
        <f>COUNTIF('PART III-DEMOGRAPHICS'!$Q$17:$Q$2010,A59)</f>
        <v>0</v>
      </c>
      <c r="C59" s="3" t="str" cm="1">
        <f t="array" ref="C59">IF(_xlfn.XLOOKUP('7-OB Report'!$C$2,Data!$C$51:$C$65,_xlfn.XLOOKUP($A59,Data!$F$50:$BM$50,Data!$F$51:$BM$65))=0,"",_xlfn.XLOOKUP('7-OB Report'!$C$2,Data!$C$51:$C$65,_xlfn.XLOOKUP($A59,Data!$F$50:$BM$50,Data!$F$51:$BM$65)))</f>
        <v/>
      </c>
      <c r="D59" s="42" t="str">
        <f t="shared" si="17"/>
        <v/>
      </c>
      <c r="F59" s="3" t="str">
        <f>IF($B59=0,"",COUNTIFS('PART III-DEMOGRAPHICS'!$E$17:$E$2010,Data!$G$2,'PART III-DEMOGRAPHICS'!$Q$17:$Q$2010,$A59))</f>
        <v/>
      </c>
      <c r="G59" s="42" t="str">
        <f t="shared" si="18"/>
        <v/>
      </c>
      <c r="H59" s="42">
        <v>3.5621711394291213E-3</v>
      </c>
      <c r="I59" s="42" t="str">
        <f t="shared" si="19"/>
        <v/>
      </c>
      <c r="J59" s="43" t="str">
        <f>IF($B59=0,"",COUNTIFS('PART III-DEMOGRAPHICS'!$E$17:$E$2010,Data!$G$3,'PART III-DEMOGRAPHICS'!$Q$17:$Q$2010,$A59))</f>
        <v/>
      </c>
      <c r="K59" s="42" t="str">
        <f t="shared" si="20"/>
        <v/>
      </c>
      <c r="L59" s="42">
        <v>7.5810607354059631E-2</v>
      </c>
      <c r="M59" s="42" t="str">
        <f t="shared" si="21"/>
        <v/>
      </c>
      <c r="N59" s="43" t="str">
        <f>IF($B59=0,"",COUNTIFS('PART III-DEMOGRAPHICS'!$E$17:$E$2010,Data!$G$4,'PART III-DEMOGRAPHICS'!$Q$17:$Q$2010,$A59))</f>
        <v/>
      </c>
      <c r="O59" s="42" t="str">
        <f t="shared" si="22"/>
        <v/>
      </c>
      <c r="P59" s="42">
        <v>1.5913359305881076E-2</v>
      </c>
      <c r="Q59" s="42" t="str">
        <f t="shared" si="23"/>
        <v/>
      </c>
      <c r="R59" s="43" t="str">
        <f>IF($B59=0,"",COUNTIFS('PART III-DEMOGRAPHICS'!$E$17:$E$2010,Data!$G$5,'PART III-DEMOGRAPHICS'!$Q$17:$Q$2010,$A59))</f>
        <v/>
      </c>
      <c r="S59" s="42" t="str">
        <f t="shared" si="24"/>
        <v/>
      </c>
      <c r="T59" s="42">
        <v>2.4756701382960562E-3</v>
      </c>
      <c r="U59" s="42" t="str">
        <f t="shared" si="25"/>
        <v/>
      </c>
      <c r="V59" s="43" t="str">
        <f>IF($B59=0,"",COUNTIFS('PART III-DEMOGRAPHICS'!$F$17:$F$2010,"=Yes",'PART III-DEMOGRAPHICS'!$Q$17:$Q$2010,$A59))</f>
        <v/>
      </c>
      <c r="W59" s="42" t="str">
        <f t="shared" si="26"/>
        <v/>
      </c>
      <c r="X59" s="42">
        <v>0.26458239557949309</v>
      </c>
      <c r="Y59" s="42" t="str">
        <f t="shared" si="27"/>
        <v/>
      </c>
      <c r="Z59" s="43" t="str">
        <f>IF($B59=0,"",COUNTIFS('PART III-DEMOGRAPHICS'!$E$17:$E$2010,Data!$G$6,'PART III-DEMOGRAPHICS'!$Q$17:$Q$2010,$A59))</f>
        <v/>
      </c>
      <c r="AA59" s="42" t="str">
        <f t="shared" si="28"/>
        <v/>
      </c>
      <c r="AB59" s="42">
        <v>0.63181585360175085</v>
      </c>
      <c r="AC59" s="42" t="str">
        <f t="shared" si="29"/>
        <v/>
      </c>
      <c r="AD59" s="43" t="str">
        <f>IF($B59=0,"",COUNTIFS('PART III-DEMOGRAPHICS'!$E$17:$E$2010,Data!$G$8,'PART III-DEMOGRAPHICS'!$Q$17:$Q$2010,$A59))</f>
        <v/>
      </c>
      <c r="AE59" s="42" t="str">
        <f t="shared" si="30"/>
        <v/>
      </c>
      <c r="AF59" s="42">
        <v>5.8399428810902258E-3</v>
      </c>
      <c r="AG59" s="42" t="str">
        <f t="shared" si="31"/>
        <v/>
      </c>
      <c r="AH59" s="43" t="str">
        <f>IF($B59=0,"",COUNTIFS('PART III-DEMOGRAPHICS'!$E$17:$E$2010,Data!$G$7,'PART III-DEMOGRAPHICS'!$Q$17:$Q$2010,$A59))</f>
        <v/>
      </c>
      <c r="AI59" s="42" t="str">
        <f t="shared" si="32"/>
        <v/>
      </c>
      <c r="AJ59" s="42"/>
      <c r="AK59" s="3" t="str">
        <f>IF($B59=0,"",SUMIF('PART IV-V-SERVICES AND OUTCOMES'!$U$7:$U$2000,$A59,'PART IV-V-SERVICES AND OUTCOMES'!$T$7:$T$2000))</f>
        <v/>
      </c>
      <c r="AL59" s="2" t="e">
        <f t="shared" si="33"/>
        <v>#VALUE!</v>
      </c>
    </row>
    <row r="60" spans="1:38">
      <c r="A60" s="3" t="s">
        <v>340</v>
      </c>
      <c r="B60" s="3">
        <f>COUNTIF('PART III-DEMOGRAPHICS'!$Q$17:$Q$2010,A60)</f>
        <v>0</v>
      </c>
      <c r="C60" s="3" cm="1">
        <f t="array" ref="C60">IF(_xlfn.XLOOKUP('7-OB Report'!$C$2,Data!$C$51:$C$65,_xlfn.XLOOKUP($A60,Data!$F$50:$BM$50,Data!$F$51:$BM$65))=0,"",_xlfn.XLOOKUP('7-OB Report'!$C$2,Data!$C$51:$C$65,_xlfn.XLOOKUP($A60,Data!$F$50:$BM$50,Data!$F$51:$BM$65)))</f>
        <v>26</v>
      </c>
      <c r="D60" s="42">
        <f t="shared" si="17"/>
        <v>0</v>
      </c>
      <c r="F60" s="3" t="str">
        <f>IF($B60=0,"",COUNTIFS('PART III-DEMOGRAPHICS'!$E$17:$E$2010,Data!$G$2,'PART III-DEMOGRAPHICS'!$Q$17:$Q$2010,$A60))</f>
        <v/>
      </c>
      <c r="G60" s="42" t="str">
        <f t="shared" si="18"/>
        <v/>
      </c>
      <c r="H60" s="42">
        <v>7.30194169427008E-3</v>
      </c>
      <c r="I60" s="42" t="str">
        <f t="shared" si="19"/>
        <v/>
      </c>
      <c r="J60" s="43" t="str">
        <f>IF($B60=0,"",COUNTIFS('PART III-DEMOGRAPHICS'!$E$17:$E$2010,Data!$G$3,'PART III-DEMOGRAPHICS'!$Q$17:$Q$2010,$A60))</f>
        <v/>
      </c>
      <c r="K60" s="42" t="str">
        <f t="shared" si="20"/>
        <v/>
      </c>
      <c r="L60" s="42">
        <v>8.4841608257233317E-2</v>
      </c>
      <c r="M60" s="42" t="str">
        <f t="shared" si="21"/>
        <v/>
      </c>
      <c r="N60" s="43" t="str">
        <f>IF($B60=0,"",COUNTIFS('PART III-DEMOGRAPHICS'!$E$17:$E$2010,Data!$G$4,'PART III-DEMOGRAPHICS'!$Q$17:$Q$2010,$A60))</f>
        <v/>
      </c>
      <c r="O60" s="42" t="str">
        <f t="shared" si="22"/>
        <v/>
      </c>
      <c r="P60" s="42">
        <v>2.5328038358069651E-2</v>
      </c>
      <c r="Q60" s="42" t="str">
        <f t="shared" si="23"/>
        <v/>
      </c>
      <c r="R60" s="43" t="str">
        <f>IF($B60=0,"",COUNTIFS('PART III-DEMOGRAPHICS'!$E$17:$E$2010,Data!$G$5,'PART III-DEMOGRAPHICS'!$Q$17:$Q$2010,$A60))</f>
        <v/>
      </c>
      <c r="S60" s="42" t="str">
        <f t="shared" si="24"/>
        <v/>
      </c>
      <c r="T60" s="42">
        <v>6.0758011090167085E-3</v>
      </c>
      <c r="U60" s="42" t="str">
        <f t="shared" si="25"/>
        <v/>
      </c>
      <c r="V60" s="43" t="str">
        <f>IF($B60=0,"",COUNTIFS('PART III-DEMOGRAPHICS'!$F$17:$F$2010,"=Yes",'PART III-DEMOGRAPHICS'!$Q$17:$Q$2010,$A60))</f>
        <v/>
      </c>
      <c r="W60" s="42" t="str">
        <f t="shared" si="26"/>
        <v/>
      </c>
      <c r="X60" s="42">
        <v>0.22224255622861117</v>
      </c>
      <c r="Y60" s="42" t="str">
        <f t="shared" si="27"/>
        <v/>
      </c>
      <c r="Z60" s="43" t="str">
        <f>IF($B60=0,"",COUNTIFS('PART III-DEMOGRAPHICS'!$E$17:$E$2010,Data!$G$6,'PART III-DEMOGRAPHICS'!$Q$17:$Q$2010,$A60))</f>
        <v/>
      </c>
      <c r="AA60" s="42" t="str">
        <f t="shared" si="28"/>
        <v/>
      </c>
      <c r="AB60" s="42">
        <v>0.63969767399300914</v>
      </c>
      <c r="AC60" s="42" t="str">
        <f t="shared" si="29"/>
        <v/>
      </c>
      <c r="AD60" s="43" t="str">
        <f>IF($B60=0,"",COUNTIFS('PART III-DEMOGRAPHICS'!$E$17:$E$2010,Data!$G$8,'PART III-DEMOGRAPHICS'!$Q$17:$Q$2010,$A60))</f>
        <v/>
      </c>
      <c r="AE60" s="42" t="str">
        <f t="shared" si="30"/>
        <v/>
      </c>
      <c r="AF60" s="42">
        <v>1.451238035978991E-2</v>
      </c>
      <c r="AG60" s="42" t="str">
        <f t="shared" si="31"/>
        <v/>
      </c>
      <c r="AH60" s="43" t="str">
        <f>IF($B60=0,"",COUNTIFS('PART III-DEMOGRAPHICS'!$E$17:$E$2010,Data!$G$7,'PART III-DEMOGRAPHICS'!$Q$17:$Q$2010,$A60))</f>
        <v/>
      </c>
      <c r="AI60" s="42" t="str">
        <f t="shared" si="32"/>
        <v/>
      </c>
      <c r="AJ60" s="42"/>
      <c r="AK60" s="3" t="str">
        <f>IF($B60=0,"",SUMIF('PART IV-V-SERVICES AND OUTCOMES'!$U$7:$U$2000,$A60,'PART IV-V-SERVICES AND OUTCOMES'!$T$7:$T$2000))</f>
        <v/>
      </c>
      <c r="AL60" s="2" t="e">
        <f t="shared" si="33"/>
        <v>#VALUE!</v>
      </c>
    </row>
    <row r="61" spans="1:38">
      <c r="A61" s="3" t="s">
        <v>341</v>
      </c>
      <c r="B61" s="3">
        <f>COUNTIF('PART III-DEMOGRAPHICS'!$Q$17:$Q$2010,A61)</f>
        <v>0</v>
      </c>
      <c r="C61" s="3" cm="1">
        <f t="array" ref="C61">IF(_xlfn.XLOOKUP('7-OB Report'!$C$2,Data!$C$51:$C$65,_xlfn.XLOOKUP($A61,Data!$F$50:$BM$50,Data!$F$51:$BM$65))=0,"",_xlfn.XLOOKUP('7-OB Report'!$C$2,Data!$C$51:$C$65,_xlfn.XLOOKUP($A61,Data!$F$50:$BM$50,Data!$F$51:$BM$65)))</f>
        <v>5</v>
      </c>
      <c r="D61" s="42">
        <f t="shared" si="17"/>
        <v>0</v>
      </c>
      <c r="F61" s="3" t="str">
        <f>IF($B61=0,"",COUNTIFS('PART III-DEMOGRAPHICS'!$E$17:$E$2010,Data!$G$2,'PART III-DEMOGRAPHICS'!$Q$17:$Q$2010,$A61))</f>
        <v/>
      </c>
      <c r="G61" s="42" t="str">
        <f t="shared" si="18"/>
        <v/>
      </c>
      <c r="H61" s="42">
        <v>2.1109181680052096E-2</v>
      </c>
      <c r="I61" s="42" t="str">
        <f t="shared" si="19"/>
        <v/>
      </c>
      <c r="J61" s="43" t="str">
        <f>IF($B61=0,"",COUNTIFS('PART III-DEMOGRAPHICS'!$E$17:$E$2010,Data!$G$3,'PART III-DEMOGRAPHICS'!$Q$17:$Q$2010,$A61))</f>
        <v/>
      </c>
      <c r="K61" s="42" t="str">
        <f t="shared" si="20"/>
        <v/>
      </c>
      <c r="L61" s="42">
        <v>5.1877577599305405E-2</v>
      </c>
      <c r="M61" s="42" t="str">
        <f t="shared" si="21"/>
        <v/>
      </c>
      <c r="N61" s="43" t="str">
        <f>IF($B61=0,"",COUNTIFS('PART III-DEMOGRAPHICS'!$E$17:$E$2010,Data!$G$4,'PART III-DEMOGRAPHICS'!$Q$17:$Q$2010,$A61))</f>
        <v/>
      </c>
      <c r="O61" s="42" t="str">
        <f t="shared" si="22"/>
        <v/>
      </c>
      <c r="P61" s="42">
        <v>2.3334056869980465E-2</v>
      </c>
      <c r="Q61" s="42" t="str">
        <f t="shared" si="23"/>
        <v/>
      </c>
      <c r="R61" s="43" t="str">
        <f>IF($B61=0,"",COUNTIFS('PART III-DEMOGRAPHICS'!$E$17:$E$2010,Data!$G$5,'PART III-DEMOGRAPHICS'!$Q$17:$Q$2010,$A61))</f>
        <v/>
      </c>
      <c r="S61" s="42" t="str">
        <f t="shared" si="24"/>
        <v/>
      </c>
      <c r="T61" s="42">
        <v>2.604731929672238E-3</v>
      </c>
      <c r="U61" s="42" t="str">
        <f t="shared" si="25"/>
        <v/>
      </c>
      <c r="V61" s="43" t="str">
        <f>IF($B61=0,"",COUNTIFS('PART III-DEMOGRAPHICS'!$F$17:$F$2010,"=Yes",'PART III-DEMOGRAPHICS'!$Q$17:$Q$2010,$A61))</f>
        <v/>
      </c>
      <c r="W61" s="42" t="str">
        <f t="shared" si="26"/>
        <v/>
      </c>
      <c r="X61" s="42">
        <v>0.16344692858693294</v>
      </c>
      <c r="Y61" s="42" t="str">
        <f t="shared" si="27"/>
        <v/>
      </c>
      <c r="Z61" s="43" t="str">
        <f>IF($B61=0,"",COUNTIFS('PART III-DEMOGRAPHICS'!$E$17:$E$2010,Data!$G$6,'PART III-DEMOGRAPHICS'!$Q$17:$Q$2010,$A61))</f>
        <v/>
      </c>
      <c r="AA61" s="42" t="str">
        <f t="shared" si="28"/>
        <v/>
      </c>
      <c r="AB61" s="42">
        <v>0.71733232038202732</v>
      </c>
      <c r="AC61" s="42" t="str">
        <f t="shared" si="29"/>
        <v/>
      </c>
      <c r="AD61" s="43" t="str">
        <f>IF($B61=0,"",COUNTIFS('PART III-DEMOGRAPHICS'!$E$17:$E$2010,Data!$G$8,'PART III-DEMOGRAPHICS'!$Q$17:$Q$2010,$A61))</f>
        <v/>
      </c>
      <c r="AE61" s="42" t="str">
        <f t="shared" si="30"/>
        <v/>
      </c>
      <c r="AF61" s="42">
        <v>2.0295202952029519E-2</v>
      </c>
      <c r="AG61" s="42" t="str">
        <f t="shared" si="31"/>
        <v/>
      </c>
      <c r="AH61" s="43" t="str">
        <f>IF($B61=0,"",COUNTIFS('PART III-DEMOGRAPHICS'!$E$17:$E$2010,Data!$G$7,'PART III-DEMOGRAPHICS'!$Q$17:$Q$2010,$A61))</f>
        <v/>
      </c>
      <c r="AI61" s="42" t="str">
        <f t="shared" si="32"/>
        <v/>
      </c>
      <c r="AJ61" s="42"/>
      <c r="AK61" s="3" t="str">
        <f>IF($B61=0,"",SUMIF('PART IV-V-SERVICES AND OUTCOMES'!$U$7:$U$2000,$A61,'PART IV-V-SERVICES AND OUTCOMES'!$T$7:$T$2000))</f>
        <v/>
      </c>
      <c r="AL61" s="2" t="e">
        <f t="shared" si="33"/>
        <v>#VALUE!</v>
      </c>
    </row>
    <row r="62" spans="1:38">
      <c r="A62" s="3" t="s">
        <v>342</v>
      </c>
      <c r="B62" s="3">
        <f>B5+B21+B28+B35+B48+B50+B55</f>
        <v>0</v>
      </c>
      <c r="C62" s="3" t="str" cm="1">
        <f t="array" ref="C62">IF(_xlfn.XLOOKUP('7-OB Report'!$C$2,Data!$C$51:$C$65,_xlfn.XLOOKUP($A62,Data!$F$50:$BM$50,Data!$F$51:$BM$65))=0,"",_xlfn.XLOOKUP('7-OB Report'!$C$2,Data!$C$51:$C$65,_xlfn.XLOOKUP($A62,Data!$F$50:$BM$50,Data!$F$51:$BM$65)))</f>
        <v/>
      </c>
      <c r="D62" s="42" t="str">
        <f t="shared" si="17"/>
        <v/>
      </c>
      <c r="G62" s="42"/>
      <c r="H62" s="42"/>
      <c r="I62" s="42"/>
      <c r="J62" s="43"/>
      <c r="K62" s="42"/>
      <c r="L62" s="42"/>
      <c r="M62" s="42"/>
      <c r="N62" s="43"/>
      <c r="O62" s="42"/>
      <c r="P62" s="42"/>
      <c r="Q62" s="42"/>
      <c r="R62" s="43"/>
      <c r="S62" s="42"/>
      <c r="T62" s="42"/>
      <c r="U62" s="42"/>
      <c r="V62" s="43"/>
      <c r="W62" s="42"/>
      <c r="X62" s="42"/>
      <c r="Y62" s="42"/>
      <c r="Z62" s="43"/>
      <c r="AA62" s="42"/>
      <c r="AB62" s="42"/>
      <c r="AC62" s="42"/>
      <c r="AD62" s="43"/>
      <c r="AE62" s="42"/>
      <c r="AF62" s="42"/>
      <c r="AG62" s="42"/>
      <c r="AH62" s="43"/>
      <c r="AI62" s="42"/>
      <c r="AJ62" s="42"/>
      <c r="AK62" s="3" t="str">
        <f>IF($B62=0,"",SUMIF('PART IV-V-SERVICES AND OUTCOMES'!$U$7:$U$2000,$A62,'PART IV-V-SERVICES AND OUTCOMES'!$T$7:$T$2000))</f>
        <v/>
      </c>
      <c r="AL62" s="2" t="e">
        <f t="shared" si="33"/>
        <v>#VALUE!</v>
      </c>
    </row>
    <row r="63" spans="1:38">
      <c r="A63" s="3" t="s">
        <v>343</v>
      </c>
      <c r="B63" s="3">
        <f>B17+B25+B27+B29</f>
        <v>0</v>
      </c>
      <c r="C63" s="3" t="str" cm="1">
        <f t="array" ref="C63">IF(_xlfn.XLOOKUP('7-OB Report'!$C$2,Data!$C$51:$C$65,_xlfn.XLOOKUP($A63,Data!$F$50:$BM$50,Data!$F$51:$BM$65))=0,"",_xlfn.XLOOKUP('7-OB Report'!$C$2,Data!$C$51:$C$65,_xlfn.XLOOKUP($A63,Data!$F$50:$BM$50,Data!$F$51:$BM$65)))</f>
        <v/>
      </c>
      <c r="D63" s="42" t="str">
        <f t="shared" si="17"/>
        <v/>
      </c>
      <c r="G63" s="42"/>
      <c r="H63" s="42"/>
      <c r="I63" s="42"/>
      <c r="J63" s="43"/>
      <c r="K63" s="42"/>
      <c r="L63" s="42"/>
      <c r="M63" s="42"/>
      <c r="N63" s="43"/>
      <c r="O63" s="42"/>
      <c r="P63" s="42"/>
      <c r="Q63" s="42"/>
      <c r="R63" s="43"/>
      <c r="S63" s="42"/>
      <c r="T63" s="42"/>
      <c r="U63" s="42"/>
      <c r="V63" s="43"/>
      <c r="W63" s="42"/>
      <c r="X63" s="42"/>
      <c r="Y63" s="42"/>
      <c r="Z63" s="43"/>
      <c r="AA63" s="42"/>
      <c r="AB63" s="42"/>
      <c r="AC63" s="42"/>
      <c r="AD63" s="43"/>
      <c r="AE63" s="42"/>
      <c r="AF63" s="42"/>
      <c r="AG63" s="42"/>
      <c r="AH63" s="43"/>
      <c r="AI63" s="42"/>
      <c r="AJ63" s="42"/>
      <c r="AK63" s="3" t="str">
        <f>IF($B63=0,"",SUMIF('PART IV-V-SERVICES AND OUTCOMES'!$U$7:$U$2000,$A63,'PART IV-V-SERVICES AND OUTCOMES'!$T$7:$T$2000))</f>
        <v/>
      </c>
      <c r="AL63" s="2" t="e">
        <f t="shared" si="33"/>
        <v>#VALUE!</v>
      </c>
    </row>
    <row r="64" spans="1:38">
      <c r="Q64" s="42"/>
      <c r="AL64" s="2"/>
    </row>
    <row r="65" spans="1:38">
      <c r="A65" s="3" t="s">
        <v>205</v>
      </c>
      <c r="B65" s="3">
        <f>SUM(B3:B61)</f>
        <v>0</v>
      </c>
      <c r="F65" s="3">
        <f>SUM(F3:F64)</f>
        <v>0</v>
      </c>
      <c r="G65" s="42" t="e">
        <f>F65/$B65</f>
        <v>#DIV/0!</v>
      </c>
      <c r="J65" s="3">
        <f>SUM(J3:J64)</f>
        <v>0</v>
      </c>
      <c r="K65" s="42" t="e">
        <f>J65/$B65</f>
        <v>#DIV/0!</v>
      </c>
      <c r="N65" s="3">
        <f>SUM(N3:N64)</f>
        <v>0</v>
      </c>
      <c r="O65" s="42" t="e">
        <f>N65/$B65</f>
        <v>#DIV/0!</v>
      </c>
      <c r="R65" s="3">
        <f>SUM(R3:R64)</f>
        <v>0</v>
      </c>
      <c r="S65" s="42" t="e">
        <f>R65/$B65</f>
        <v>#DIV/0!</v>
      </c>
      <c r="V65" s="3">
        <f>SUM(V3:V64)</f>
        <v>0</v>
      </c>
      <c r="W65" s="42" t="e">
        <f>V65/$B65</f>
        <v>#DIV/0!</v>
      </c>
      <c r="Z65" s="3">
        <f>SUM(Z3:Z64)</f>
        <v>0</v>
      </c>
      <c r="AA65" s="42" t="e">
        <f>Z65/$B65</f>
        <v>#DIV/0!</v>
      </c>
      <c r="AD65" s="3">
        <f>SUM(AD3:AD64)</f>
        <v>0</v>
      </c>
      <c r="AE65" s="42" t="e">
        <f>AD65/$B65</f>
        <v>#DIV/0!</v>
      </c>
      <c r="AH65" s="3">
        <f>SUM(AH3:AH64)</f>
        <v>0</v>
      </c>
      <c r="AI65" s="42" t="e">
        <f>AH65/$B65</f>
        <v>#DIV/0!</v>
      </c>
      <c r="AK65" s="3">
        <f>SUM(AK3:AK64)</f>
        <v>0</v>
      </c>
      <c r="AL65" s="2" t="e">
        <f>$AK65/$B65</f>
        <v>#DIV/0!</v>
      </c>
    </row>
    <row r="66" spans="1:38">
      <c r="A66" s="3" t="s">
        <v>344</v>
      </c>
      <c r="B66" s="3">
        <f>'PART III-DEMOGRAPHICS'!B16</f>
        <v>0</v>
      </c>
      <c r="AJ66" s="3">
        <f>F65+J65+N65+R65+Z65+AD65+AH65</f>
        <v>0</v>
      </c>
    </row>
    <row r="67" spans="1:38">
      <c r="A67" s="3" t="s">
        <v>345</v>
      </c>
      <c r="B67" s="3" t="str">
        <f>IF(B65=B66,"Accurate","Error")</f>
        <v>Accurate</v>
      </c>
    </row>
  </sheetData>
  <sheetProtection algorithmName="SHA-512" hashValue="zQs10/ecGKHraEpUAhi4Fs1t4vy6yTF/+aVtA7ekooIhKDDTbu1tSoUCWAWJlTzRiVuTFAjaZorXB1hCDZEjhw==" saltValue="Yq56DGvtKpMO4NbrW7W77g==" spinCount="100000" sheet="1" objects="1" scenarios="1"/>
  <mergeCells count="1">
    <mergeCell ref="A1:B1"/>
  </mergeCells>
  <conditionalFormatting sqref="A1:D63">
    <cfRule type="expression" dxfId="153" priority="5333">
      <formula>CELL("protect",A1:AK502)</formula>
    </cfRule>
  </conditionalFormatting>
  <conditionalFormatting sqref="A64:D1048077">
    <cfRule type="expression" dxfId="152" priority="5330">
      <formula>CELL("protect",A64:AK563)</formula>
    </cfRule>
  </conditionalFormatting>
  <conditionalFormatting sqref="A1048078:D1048079">
    <cfRule type="expression" dxfId="151" priority="5329">
      <formula>CELL("protect",A1:AK1048078)</formula>
    </cfRule>
  </conditionalFormatting>
  <conditionalFormatting sqref="A1048080:D1048576">
    <cfRule type="expression" dxfId="150" priority="5334">
      <formula>CELL("protect",A1:AK1048080)</formula>
    </cfRule>
  </conditionalFormatting>
  <conditionalFormatting sqref="E1:XDX63">
    <cfRule type="expression" dxfId="149" priority="5317">
      <formula>CELL("protect",E1:AM502)</formula>
    </cfRule>
  </conditionalFormatting>
  <conditionalFormatting sqref="E64:XDX64 E65:AK65 AM65:XDX65 E66:XDX1048077">
    <cfRule type="expression" dxfId="148" priority="2">
      <formula>CELL("protect",E64:AM563)</formula>
    </cfRule>
  </conditionalFormatting>
  <conditionalFormatting sqref="E1048078:XDX1048079">
    <cfRule type="expression" dxfId="147" priority="5320">
      <formula>CELL("protect",E1:AM1048078)</formula>
    </cfRule>
  </conditionalFormatting>
  <conditionalFormatting sqref="E1048080:XDX1048576">
    <cfRule type="expression" dxfId="146" priority="5318">
      <formula>CELL("protect",E1:AM1048080)</formula>
    </cfRule>
  </conditionalFormatting>
  <conditionalFormatting sqref="AL65">
    <cfRule type="expression" dxfId="145" priority="1">
      <formula>CELL("protect",AL65:BT566)</formula>
    </cfRule>
  </conditionalFormatting>
  <conditionalFormatting sqref="XDY1:XFD63">
    <cfRule type="expression" dxfId="144" priority="5332">
      <formula>CELL("protect",A1:XDY502)</formula>
    </cfRule>
  </conditionalFormatting>
  <conditionalFormatting sqref="XDY64:XFD1048576">
    <cfRule type="expression" dxfId="143" priority="5331">
      <formula>CELL("protect",A64:XDY563)</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CA407-0922-4E82-B071-E212F834031E}">
  <dimension ref="A1:BM66"/>
  <sheetViews>
    <sheetView zoomScale="88" workbookViewId="0">
      <pane ySplit="1" topLeftCell="A2" activePane="bottomLeft" state="frozen"/>
      <selection pane="bottomLeft"/>
    </sheetView>
  </sheetViews>
  <sheetFormatPr defaultColWidth="39.7109375" defaultRowHeight="14.45"/>
  <cols>
    <col min="1" max="1" width="52.7109375" customWidth="1"/>
    <col min="2" max="2" width="19.42578125" customWidth="1"/>
    <col min="3" max="3" width="29.7109375" bestFit="1" customWidth="1"/>
    <col min="4" max="4" width="14.7109375" bestFit="1" customWidth="1"/>
    <col min="5" max="5" width="23.85546875" bestFit="1" customWidth="1"/>
    <col min="6" max="6" width="19.28515625" bestFit="1" customWidth="1"/>
    <col min="7" max="7" width="41.140625" bestFit="1" customWidth="1"/>
    <col min="8" max="8" width="16.140625" bestFit="1" customWidth="1"/>
    <col min="9" max="9" width="22.85546875" bestFit="1" customWidth="1"/>
    <col min="10" max="10" width="20.7109375" bestFit="1" customWidth="1"/>
    <col min="11" max="11" width="40.85546875" bestFit="1" customWidth="1"/>
    <col min="12" max="12" width="17" bestFit="1" customWidth="1"/>
    <col min="13" max="13" width="48.28515625" bestFit="1" customWidth="1"/>
    <col min="14" max="14" width="17.85546875" bestFit="1" customWidth="1"/>
    <col min="15" max="15" width="45.28515625" bestFit="1" customWidth="1"/>
    <col min="16" max="16" width="29.28515625" bestFit="1" customWidth="1"/>
    <col min="17" max="17" width="30.5703125" bestFit="1" customWidth="1"/>
    <col min="18" max="18" width="23.28515625" bestFit="1" customWidth="1"/>
    <col min="19" max="19" width="32.7109375" bestFit="1" customWidth="1"/>
    <col min="20" max="20" width="19.7109375" bestFit="1" customWidth="1"/>
    <col min="21" max="21" width="36.7109375" bestFit="1" customWidth="1"/>
    <col min="22" max="22" width="10.7109375" bestFit="1" customWidth="1"/>
    <col min="23" max="23" width="35.5703125" bestFit="1" customWidth="1"/>
    <col min="24" max="24" width="15.7109375" bestFit="1" customWidth="1"/>
    <col min="25" max="25" width="27.7109375" bestFit="1" customWidth="1"/>
    <col min="26" max="26" width="17.140625" bestFit="1" customWidth="1"/>
    <col min="27" max="27" width="28.140625" bestFit="1" customWidth="1"/>
    <col min="28" max="28" width="14.140625" bestFit="1" customWidth="1"/>
    <col min="29" max="29" width="37.7109375" bestFit="1" customWidth="1"/>
    <col min="30" max="30" width="12.7109375" bestFit="1" customWidth="1"/>
    <col min="31" max="31" width="22.42578125" bestFit="1" customWidth="1"/>
    <col min="32" max="32" width="18.7109375" bestFit="1" customWidth="1"/>
    <col min="33" max="33" width="16.7109375" bestFit="1" customWidth="1"/>
    <col min="34" max="34" width="13.85546875" bestFit="1" customWidth="1"/>
    <col min="35" max="35" width="38.140625" bestFit="1" customWidth="1"/>
    <col min="36" max="36" width="16.28515625" customWidth="1"/>
    <col min="37" max="37" width="33.7109375" bestFit="1" customWidth="1"/>
    <col min="38" max="38" width="19.28515625" bestFit="1" customWidth="1"/>
    <col min="39" max="39" width="37.28515625" bestFit="1" customWidth="1"/>
    <col min="40" max="40" width="38.7109375" bestFit="1" customWidth="1"/>
    <col min="41" max="41" width="19.7109375" bestFit="1" customWidth="1"/>
    <col min="42" max="42" width="13.7109375" bestFit="1" customWidth="1"/>
    <col min="43" max="43" width="18.5703125" bestFit="1" customWidth="1"/>
    <col min="44" max="44" width="15.85546875" bestFit="1" customWidth="1"/>
    <col min="45" max="45" width="20.7109375" bestFit="1" customWidth="1"/>
    <col min="46" max="46" width="14.140625" bestFit="1" customWidth="1"/>
    <col min="47" max="47" width="18.5703125" bestFit="1" customWidth="1"/>
    <col min="48" max="48" width="15.28515625" bestFit="1" customWidth="1"/>
    <col min="49" max="49" width="14.28515625" bestFit="1" customWidth="1"/>
    <col min="50" max="50" width="9.42578125" bestFit="1" customWidth="1"/>
    <col min="51" max="51" width="8.28515625" bestFit="1" customWidth="1"/>
    <col min="52" max="52" width="11.140625" bestFit="1" customWidth="1"/>
    <col min="53" max="53" width="9.28515625" bestFit="1" customWidth="1"/>
    <col min="54" max="54" width="10.85546875" bestFit="1" customWidth="1"/>
    <col min="55" max="55" width="13.42578125" bestFit="1" customWidth="1"/>
    <col min="56" max="56" width="8.28515625" bestFit="1" customWidth="1"/>
    <col min="57" max="57" width="10.5703125" bestFit="1" customWidth="1"/>
    <col min="58" max="58" width="8.28515625" bestFit="1" customWidth="1"/>
    <col min="59" max="59" width="8.42578125" bestFit="1" customWidth="1"/>
    <col min="60" max="60" width="12.28515625" bestFit="1" customWidth="1"/>
    <col min="61" max="61" width="10.28515625" bestFit="1" customWidth="1"/>
    <col min="62" max="62" width="6.42578125" bestFit="1" customWidth="1"/>
    <col min="63" max="63" width="7.28515625" bestFit="1" customWidth="1"/>
    <col min="64" max="65" width="8.140625" bestFit="1" customWidth="1"/>
  </cols>
  <sheetData>
    <row r="1" spans="1:42" ht="52.15">
      <c r="A1" s="23" t="s">
        <v>223</v>
      </c>
      <c r="B1" s="29" t="s">
        <v>346</v>
      </c>
      <c r="C1" s="23" t="s">
        <v>224</v>
      </c>
      <c r="D1" s="23" t="s">
        <v>347</v>
      </c>
      <c r="E1" s="24" t="s">
        <v>63</v>
      </c>
      <c r="F1" s="24" t="s">
        <v>348</v>
      </c>
      <c r="G1" s="24" t="s">
        <v>225</v>
      </c>
      <c r="H1" s="24" t="s">
        <v>349</v>
      </c>
      <c r="I1" s="24" t="s">
        <v>77</v>
      </c>
      <c r="J1" s="24" t="s">
        <v>350</v>
      </c>
      <c r="K1" s="24" t="s">
        <v>79</v>
      </c>
      <c r="L1" s="24" t="s">
        <v>351</v>
      </c>
      <c r="M1" s="24" t="s">
        <v>226</v>
      </c>
      <c r="N1" s="23" t="s">
        <v>352</v>
      </c>
      <c r="O1" s="23" t="s">
        <v>227</v>
      </c>
      <c r="P1" s="23" t="s">
        <v>353</v>
      </c>
      <c r="Q1" s="24" t="s">
        <v>98</v>
      </c>
      <c r="R1" s="24" t="s">
        <v>354</v>
      </c>
      <c r="S1" s="24" t="s">
        <v>228</v>
      </c>
      <c r="T1" s="24" t="s">
        <v>355</v>
      </c>
      <c r="U1" s="29" t="s">
        <v>237</v>
      </c>
      <c r="V1" s="29" t="s">
        <v>356</v>
      </c>
      <c r="W1" s="30" t="s">
        <v>238</v>
      </c>
      <c r="X1" s="30" t="s">
        <v>357</v>
      </c>
      <c r="Y1" s="30" t="s">
        <v>239</v>
      </c>
      <c r="Z1" s="29" t="s">
        <v>358</v>
      </c>
      <c r="AA1" s="29" t="s">
        <v>240</v>
      </c>
      <c r="AB1" s="40" t="s">
        <v>359</v>
      </c>
      <c r="AC1" s="30" t="s">
        <v>241</v>
      </c>
      <c r="AD1" s="29" t="s">
        <v>360</v>
      </c>
      <c r="AE1" s="30" t="s">
        <v>242</v>
      </c>
      <c r="AF1" s="30" t="s">
        <v>361</v>
      </c>
      <c r="AG1" s="30" t="s">
        <v>243</v>
      </c>
      <c r="AH1" s="30" t="s">
        <v>362</v>
      </c>
      <c r="AI1" s="30" t="s">
        <v>244</v>
      </c>
      <c r="AJ1" s="30" t="s">
        <v>363</v>
      </c>
      <c r="AK1" s="30" t="s">
        <v>364</v>
      </c>
      <c r="AL1" s="30" t="s">
        <v>365</v>
      </c>
      <c r="AM1" s="30" t="s">
        <v>246</v>
      </c>
      <c r="AN1" s="30" t="s">
        <v>366</v>
      </c>
      <c r="AO1" t="s">
        <v>367</v>
      </c>
      <c r="AP1" t="s">
        <v>368</v>
      </c>
    </row>
    <row r="2" spans="1:42" ht="30">
      <c r="A2" s="20" t="s">
        <v>369</v>
      </c>
      <c r="B2" s="20">
        <f>COUNTIF('PART III-DEMOGRAPHICS'!$B$17:$B$2010,A2)</f>
        <v>0</v>
      </c>
      <c r="C2" s="20" t="s">
        <v>370</v>
      </c>
      <c r="D2" s="20">
        <f>COUNTIF('PART III-DEMOGRAPHICS'!$C$17:$C$2010,C2)</f>
        <v>0</v>
      </c>
      <c r="E2" s="20" t="s">
        <v>371</v>
      </c>
      <c r="F2" s="20">
        <f>COUNTIF('PART III-DEMOGRAPHICS'!$D$17:$D$2010,E2)</f>
        <v>0</v>
      </c>
      <c r="G2" s="20" t="s">
        <v>372</v>
      </c>
      <c r="H2" s="20">
        <f>COUNTIF('PART III-DEMOGRAPHICS'!$E$17:$E$2010,G2)</f>
        <v>0</v>
      </c>
      <c r="I2" s="20" t="s">
        <v>373</v>
      </c>
      <c r="J2" s="20">
        <f>COUNTIF('PART III-DEMOGRAPHICS'!$F$17:$F$2010,"Yes")</f>
        <v>0</v>
      </c>
      <c r="K2" s="20" t="s">
        <v>374</v>
      </c>
      <c r="L2" s="20">
        <f>COUNTIF('PART III-DEMOGRAPHICS'!$G$17:$G$2010,K2)</f>
        <v>0</v>
      </c>
      <c r="M2" s="20" t="s">
        <v>375</v>
      </c>
      <c r="N2" s="20">
        <f>COUNTIF('PART III-DEMOGRAPHICS'!$H$17:$H$2010,M2)</f>
        <v>0</v>
      </c>
      <c r="O2" s="20" t="s">
        <v>376</v>
      </c>
      <c r="P2" s="20">
        <f>COUNTIF('PART III-DEMOGRAPHICS'!$I$17:$I$2010,"Yes")</f>
        <v>0</v>
      </c>
      <c r="Q2" s="20" t="s">
        <v>377</v>
      </c>
      <c r="R2" s="20">
        <f>COUNTIF('PART III-DEMOGRAPHICS'!$O$17:$O$2010,Q2)</f>
        <v>0</v>
      </c>
      <c r="S2" s="20" t="s">
        <v>378</v>
      </c>
      <c r="T2" s="20">
        <f>COUNTIF('PART III-DEMOGRAPHICS'!$P$17:$P$2010,S2)</f>
        <v>0</v>
      </c>
      <c r="U2" s="87" t="s">
        <v>379</v>
      </c>
      <c r="V2" s="20">
        <f>COUNTIF('PART IV-V-SERVICES AND OUTCOMES'!$B$7:$B$1999,"Yes")</f>
        <v>0</v>
      </c>
      <c r="W2" s="87" t="s">
        <v>380</v>
      </c>
      <c r="X2" s="20">
        <f>COUNTIF('PART IV-V-SERVICES AND OUTCOMES'!$D$7:$D$1999,"Yes")</f>
        <v>0</v>
      </c>
      <c r="Y2" s="87" t="s">
        <v>381</v>
      </c>
      <c r="Z2" s="20">
        <f>COUNTIF('PART IV-V-SERVICES AND OUTCOMES'!$E$7:$E$1999,Y2)</f>
        <v>0</v>
      </c>
      <c r="AA2" s="87" t="s">
        <v>382</v>
      </c>
      <c r="AB2" s="20">
        <f>COUNTIF('PART IV-V-SERVICES AND OUTCOMES'!$F$7:$F$1999,"Did")</f>
        <v>0</v>
      </c>
      <c r="AC2" s="87" t="s">
        <v>381</v>
      </c>
      <c r="AD2" s="20">
        <f>COUNTIF('PART IV-V-SERVICES AND OUTCOMES'!$N$7:$N$1999,$AC2)</f>
        <v>0</v>
      </c>
      <c r="AE2" s="87" t="s">
        <v>383</v>
      </c>
      <c r="AF2" s="20">
        <f>COUNTIF('PART IV-V-SERVICES AND OUTCOMES'!$O$7:$O$1999,"Yes")</f>
        <v>0</v>
      </c>
      <c r="AG2" s="87" t="s">
        <v>384</v>
      </c>
      <c r="AH2" s="20">
        <f>COUNTIF('PART IV-V-SERVICES AND OUTCOMES'!$P$7:$P$1999,"Assessed")</f>
        <v>0</v>
      </c>
      <c r="AI2" s="87" t="s">
        <v>385</v>
      </c>
      <c r="AJ2" s="20">
        <f>COUNTIF('PART IV-V-SERVICES AND OUTCOMES'!$Q$7:$Q$1999,Data!$AI$2)</f>
        <v>0</v>
      </c>
      <c r="AK2" s="87" t="s">
        <v>385</v>
      </c>
      <c r="AL2" s="20">
        <f>COUNTIF('PART IV-V-SERVICES AND OUTCOMES'!$R$7:$R$1999,Data!$AK$2)</f>
        <v>0</v>
      </c>
      <c r="AM2" s="87" t="s">
        <v>385</v>
      </c>
      <c r="AN2" s="20">
        <f>COUNTIF('PART IV-V-SERVICES AND OUTCOMES'!$S$7:$S$1999,Data!$AM$2)</f>
        <v>0</v>
      </c>
      <c r="AO2" t="s">
        <v>386</v>
      </c>
      <c r="AP2">
        <f>COUNTIF('PART II-PROGRAM STAFFING'!$I$7:$I$2000,AO2)</f>
        <v>0</v>
      </c>
    </row>
    <row r="3" spans="1:42" ht="45">
      <c r="A3" s="20" t="s">
        <v>387</v>
      </c>
      <c r="B3" s="20">
        <f>COUNTIF('PART III-DEMOGRAPHICS'!$B$17:$B$2010,A3)</f>
        <v>0</v>
      </c>
      <c r="C3" s="20" t="s">
        <v>388</v>
      </c>
      <c r="D3" s="20">
        <f>COUNTIF('PART III-DEMOGRAPHICS'!$C$17:$C$2010,C3)</f>
        <v>0</v>
      </c>
      <c r="E3" s="20" t="s">
        <v>389</v>
      </c>
      <c r="F3" s="20">
        <f>COUNTIF('PART III-DEMOGRAPHICS'!$D$17:$D$2010,E3)</f>
        <v>0</v>
      </c>
      <c r="G3" s="20" t="s">
        <v>390</v>
      </c>
      <c r="H3" s="20">
        <f>COUNTIF('PART III-DEMOGRAPHICS'!$E$17:$E$2010,G3)</f>
        <v>0</v>
      </c>
      <c r="I3" s="26"/>
      <c r="J3" s="26"/>
      <c r="K3" s="20" t="s">
        <v>391</v>
      </c>
      <c r="L3" s="20">
        <f>COUNTIF('PART III-DEMOGRAPHICS'!$G$17:$G$2010,K3)</f>
        <v>0</v>
      </c>
      <c r="M3" s="20" t="s">
        <v>392</v>
      </c>
      <c r="N3" s="20">
        <f>COUNTIF('PART III-DEMOGRAPHICS'!$H$17:$H$2010,M3)</f>
        <v>0</v>
      </c>
      <c r="O3" s="20" t="s">
        <v>393</v>
      </c>
      <c r="P3" s="20">
        <f>COUNTIF('PART III-DEMOGRAPHICS'!$J$17:$J$2010,"Yes")</f>
        <v>0</v>
      </c>
      <c r="Q3" s="20" t="s">
        <v>394</v>
      </c>
      <c r="R3" s="20">
        <f>COUNTIF('PART III-DEMOGRAPHICS'!$O$17:$O$2010,Q3)</f>
        <v>0</v>
      </c>
      <c r="S3" s="20" t="s">
        <v>395</v>
      </c>
      <c r="T3" s="20">
        <f>COUNTIF('PART III-DEMOGRAPHICS'!$P$17:$P$2010,S3)</f>
        <v>0</v>
      </c>
      <c r="U3" s="87" t="s">
        <v>396</v>
      </c>
      <c r="V3" s="20">
        <f>COUNTIF('PART IV-V-SERVICES AND OUTCOMES'!$C$7:$C$1999,"Yes")</f>
        <v>0</v>
      </c>
      <c r="W3" s="87"/>
      <c r="X3" s="87"/>
      <c r="Y3" s="87" t="s">
        <v>397</v>
      </c>
      <c r="Z3" s="20">
        <f>COUNTIF('PART IV-V-SERVICES AND OUTCOMES'!$E$7:$E$1999,Y3)</f>
        <v>0</v>
      </c>
      <c r="AA3" s="87" t="s">
        <v>398</v>
      </c>
      <c r="AB3" s="20">
        <f>COUNTIF('PART IV-V-SERVICES AND OUTCOMES'!$G$7:$G$1999,"Yes")</f>
        <v>0</v>
      </c>
      <c r="AC3" s="87" t="s">
        <v>397</v>
      </c>
      <c r="AD3" s="20">
        <f>COUNTIF('PART IV-V-SERVICES AND OUTCOMES'!$N$7:$N$1999,$AC3)</f>
        <v>0</v>
      </c>
      <c r="AE3" s="87"/>
      <c r="AF3" s="87"/>
      <c r="AG3" s="87"/>
      <c r="AH3" s="87"/>
      <c r="AI3" s="87" t="s">
        <v>399</v>
      </c>
      <c r="AJ3" s="20">
        <f>COUNTIF('PART IV-V-SERVICES AND OUTCOMES'!$Q$7:$Q$1999,Data!$AI$3)</f>
        <v>0</v>
      </c>
      <c r="AK3" s="96" t="s">
        <v>400</v>
      </c>
      <c r="AL3" s="20">
        <f>COUNTIF('PART IV-V-SERVICES AND OUTCOMES'!$R$7:$R$1999,Data!$AK$3)</f>
        <v>0</v>
      </c>
      <c r="AM3" s="87" t="s">
        <v>401</v>
      </c>
      <c r="AN3" s="20">
        <f>COUNTIF('PART IV-V-SERVICES AND OUTCOMES'!$S$7:$S$1999,Data!$AM$3)</f>
        <v>0</v>
      </c>
      <c r="AO3" t="s">
        <v>208</v>
      </c>
      <c r="AP3">
        <f>COUNTIF('PART II-PROGRAM STAFFING'!$I$7:$I$2000,AO3)</f>
        <v>4</v>
      </c>
    </row>
    <row r="4" spans="1:42" ht="45">
      <c r="A4" s="20" t="s">
        <v>205</v>
      </c>
      <c r="B4" s="20">
        <f>SUM(B2:B3)</f>
        <v>0</v>
      </c>
      <c r="C4" s="20" t="s">
        <v>402</v>
      </c>
      <c r="D4" s="20">
        <f>COUNTIF('PART III-DEMOGRAPHICS'!$C$17:$C$2010,C4)</f>
        <v>0</v>
      </c>
      <c r="E4" s="20" t="s">
        <v>403</v>
      </c>
      <c r="F4" s="20">
        <f>COUNTIF('PART III-DEMOGRAPHICS'!$D$17:$D$2010,E4)</f>
        <v>0</v>
      </c>
      <c r="G4" s="20" t="s">
        <v>404</v>
      </c>
      <c r="H4" s="20">
        <f>COUNTIF('PART III-DEMOGRAPHICS'!$E$17:$E$2010,G4)</f>
        <v>0</v>
      </c>
      <c r="I4" s="26"/>
      <c r="J4" s="26"/>
      <c r="K4" s="20" t="s">
        <v>405</v>
      </c>
      <c r="L4" s="20">
        <f>COUNTIF('PART III-DEMOGRAPHICS'!$G$17:$G$2010,K4)</f>
        <v>0</v>
      </c>
      <c r="M4" s="20" t="s">
        <v>406</v>
      </c>
      <c r="N4" s="20">
        <f>COUNTIF('PART III-DEMOGRAPHICS'!$H$17:$H$2010,M4)</f>
        <v>0</v>
      </c>
      <c r="O4" s="20" t="s">
        <v>407</v>
      </c>
      <c r="P4" s="20">
        <f>COUNTIF('PART III-DEMOGRAPHICS'!$K$17:$K$2010,"Yes")</f>
        <v>0</v>
      </c>
      <c r="Q4" s="20" t="s">
        <v>408</v>
      </c>
      <c r="R4" s="20">
        <f>COUNTIF('PART III-DEMOGRAPHICS'!$O$17:$O$2010,Q4)</f>
        <v>0</v>
      </c>
      <c r="S4" s="20" t="s">
        <v>409</v>
      </c>
      <c r="T4" s="20">
        <f>COUNTIF('PART III-DEMOGRAPHICS'!$P$17:$P$2010,S4)</f>
        <v>0</v>
      </c>
      <c r="U4" s="87"/>
      <c r="V4" s="87"/>
      <c r="W4" s="87"/>
      <c r="X4" s="87"/>
      <c r="Y4" s="87" t="s">
        <v>410</v>
      </c>
      <c r="Z4" s="20">
        <f>COUNTIF('PART IV-V-SERVICES AND OUTCOMES'!$E$7:$E$1999,Y4)</f>
        <v>0</v>
      </c>
      <c r="AA4" s="87" t="s">
        <v>411</v>
      </c>
      <c r="AB4" s="20">
        <f>COUNTIF('PART IV-V-SERVICES AND OUTCOMES'!$H$7:$H$1999,"Yes")</f>
        <v>0</v>
      </c>
      <c r="AC4" s="87" t="s">
        <v>410</v>
      </c>
      <c r="AD4" s="20">
        <f>COUNTIF('PART IV-V-SERVICES AND OUTCOMES'!$N$7:$N$1999,$AC4)</f>
        <v>0</v>
      </c>
      <c r="AE4" s="87"/>
      <c r="AF4" s="87"/>
      <c r="AG4" s="87"/>
      <c r="AH4" s="87"/>
      <c r="AI4" s="87" t="s">
        <v>412</v>
      </c>
      <c r="AJ4" s="20">
        <f>COUNTIF('PART IV-V-SERVICES AND OUTCOMES'!$Q$7:$Q$1999,Data!$AI$4)</f>
        <v>0</v>
      </c>
      <c r="AK4" s="96" t="s">
        <v>413</v>
      </c>
      <c r="AL4" s="20">
        <f>COUNTIF('PART IV-V-SERVICES AND OUTCOMES'!$R$7:$R$1999,Data!$AK$4)</f>
        <v>0</v>
      </c>
      <c r="AM4" s="87" t="s">
        <v>414</v>
      </c>
      <c r="AN4" s="20">
        <f>COUNTIF('PART IV-V-SERVICES AND OUTCOMES'!$S$7:$S$1999,Data!$AM$4)</f>
        <v>0</v>
      </c>
      <c r="AO4" t="s">
        <v>211</v>
      </c>
      <c r="AP4">
        <f>COUNTIF('PART II-PROGRAM STAFFING'!$I$7:$I$2000,AO4)</f>
        <v>4</v>
      </c>
    </row>
    <row r="5" spans="1:42" ht="45">
      <c r="A5" s="26"/>
      <c r="B5" s="26"/>
      <c r="C5" s="20" t="s">
        <v>415</v>
      </c>
      <c r="D5" s="20">
        <f>COUNTIF('PART III-DEMOGRAPHICS'!$C$17:$C$2010,C5)</f>
        <v>0</v>
      </c>
      <c r="E5" s="20" t="s">
        <v>205</v>
      </c>
      <c r="F5" s="20">
        <f>SUM(F2:F4)</f>
        <v>0</v>
      </c>
      <c r="G5" s="20" t="s">
        <v>416</v>
      </c>
      <c r="H5" s="20">
        <f>COUNTIF('PART III-DEMOGRAPHICS'!$E$17:$E$2010,G5)</f>
        <v>0</v>
      </c>
      <c r="I5" s="26"/>
      <c r="J5" s="26"/>
      <c r="K5" s="20" t="s">
        <v>205</v>
      </c>
      <c r="L5" s="20">
        <f>SUM(L2:L4)</f>
        <v>0</v>
      </c>
      <c r="M5" s="20" t="s">
        <v>417</v>
      </c>
      <c r="N5" s="20">
        <f>COUNTIF('PART III-DEMOGRAPHICS'!$H$17:$H$2010,M5)</f>
        <v>0</v>
      </c>
      <c r="O5" s="20" t="s">
        <v>418</v>
      </c>
      <c r="P5" s="20">
        <f>COUNTIF('PART III-DEMOGRAPHICS'!$L$17:$L$2010,"Yes")</f>
        <v>0</v>
      </c>
      <c r="Q5" s="20" t="s">
        <v>419</v>
      </c>
      <c r="R5" s="20">
        <f>COUNTIF('PART III-DEMOGRAPHICS'!$O$17:$O$2010,Q5)</f>
        <v>0</v>
      </c>
      <c r="S5" s="20" t="s">
        <v>420</v>
      </c>
      <c r="T5" s="20">
        <f>COUNTIF('PART III-DEMOGRAPHICS'!$P$17:$P$2010,S5)</f>
        <v>0</v>
      </c>
      <c r="U5" s="87"/>
      <c r="V5" s="87"/>
      <c r="W5" s="87"/>
      <c r="X5" s="87"/>
      <c r="Y5" s="87" t="s">
        <v>421</v>
      </c>
      <c r="Z5" s="20">
        <f>COUNTIF('PART IV-V-SERVICES AND OUTCOMES'!$E$7:$E$1999,Y5)</f>
        <v>0</v>
      </c>
      <c r="AA5" s="87" t="s">
        <v>422</v>
      </c>
      <c r="AB5" s="20">
        <f>COUNTIF('PART IV-V-SERVICES AND OUTCOMES'!$I$7:$I$1999,"Yes")</f>
        <v>0</v>
      </c>
      <c r="AC5" s="87" t="s">
        <v>421</v>
      </c>
      <c r="AD5" s="20">
        <f>COUNTIF('PART IV-V-SERVICES AND OUTCOMES'!$N$7:$N$1999,$AC5)</f>
        <v>0</v>
      </c>
      <c r="AE5" s="87"/>
      <c r="AF5" s="87"/>
      <c r="AG5" s="87"/>
      <c r="AH5" s="87"/>
      <c r="AI5" s="87" t="s">
        <v>423</v>
      </c>
      <c r="AJ5" s="20">
        <f>COUNTIF('PART IV-V-SERVICES AND OUTCOMES'!$Q$7:$Q$1999,Data!$AI$5)</f>
        <v>0</v>
      </c>
      <c r="AK5" s="96" t="s">
        <v>424</v>
      </c>
      <c r="AL5" s="20">
        <f>COUNTIF('PART IV-V-SERVICES AND OUTCOMES'!$R$7:$R$1999,Data!$AK$5)</f>
        <v>0</v>
      </c>
      <c r="AM5" s="87" t="s">
        <v>425</v>
      </c>
      <c r="AN5" s="20">
        <f>COUNTIF('PART IV-V-SERVICES AND OUTCOMES'!$S$7:$S$1999,Data!$AM$5)</f>
        <v>0</v>
      </c>
    </row>
    <row r="6" spans="1:42" ht="30">
      <c r="A6" s="26"/>
      <c r="B6" s="26"/>
      <c r="C6" s="20" t="s">
        <v>205</v>
      </c>
      <c r="D6" s="26">
        <f>SUM(D2:D5)</f>
        <v>0</v>
      </c>
      <c r="E6" s="26"/>
      <c r="F6" s="26"/>
      <c r="G6" s="20" t="s">
        <v>426</v>
      </c>
      <c r="H6" s="20">
        <f>COUNTIF('PART III-DEMOGRAPHICS'!$E$17:$E$2010,G6)</f>
        <v>0</v>
      </c>
      <c r="I6" s="26"/>
      <c r="J6" s="26"/>
      <c r="K6" s="26"/>
      <c r="L6" s="26"/>
      <c r="M6" s="20" t="s">
        <v>427</v>
      </c>
      <c r="N6" s="20">
        <f>COUNTIF('PART III-DEMOGRAPHICS'!$H$17:$H$2010,M6)</f>
        <v>0</v>
      </c>
      <c r="O6" s="20" t="s">
        <v>428</v>
      </c>
      <c r="P6" s="20">
        <f>COUNTIF('PART III-DEMOGRAPHICS'!$M$17:$M$2010,"Yes")</f>
        <v>0</v>
      </c>
      <c r="Q6" s="20" t="s">
        <v>429</v>
      </c>
      <c r="R6" s="20">
        <f>COUNTIF('PART III-DEMOGRAPHICS'!$O$17:$O$2010,Q6)</f>
        <v>0</v>
      </c>
      <c r="S6" s="20" t="s">
        <v>430</v>
      </c>
      <c r="T6" s="20">
        <f>COUNTIF('PART III-DEMOGRAPHICS'!$P$17:$P$2010,S6)</f>
        <v>0</v>
      </c>
      <c r="Y6" s="87" t="s">
        <v>431</v>
      </c>
      <c r="Z6" s="87">
        <f>SUM(Z3:Z5)</f>
        <v>0</v>
      </c>
      <c r="AA6" s="87" t="s">
        <v>432</v>
      </c>
      <c r="AB6" s="20">
        <f>COUNTIF('PART IV-V-SERVICES AND OUTCOMES'!$J$7:$J$1999,"Yes")</f>
        <v>0</v>
      </c>
      <c r="AC6" s="87" t="s">
        <v>431</v>
      </c>
      <c r="AD6" s="87">
        <f>SUM(AD3:AD5)</f>
        <v>0</v>
      </c>
      <c r="AM6" s="87" t="s">
        <v>433</v>
      </c>
      <c r="AN6" s="20">
        <f>COUNTIF('PART IV-V-SERVICES AND OUTCOMES'!$S$7:$S$1999,Data!$AM$6)</f>
        <v>0</v>
      </c>
    </row>
    <row r="7" spans="1:42" ht="30">
      <c r="A7" s="26"/>
      <c r="B7" s="26"/>
      <c r="C7" s="26"/>
      <c r="D7" s="26"/>
      <c r="E7" s="26"/>
      <c r="F7" s="26"/>
      <c r="G7" s="20" t="s">
        <v>434</v>
      </c>
      <c r="H7" s="20">
        <f>COUNTIF('PART III-DEMOGRAPHICS'!$E$17:$E$2010,G7)</f>
        <v>0</v>
      </c>
      <c r="I7" s="26"/>
      <c r="J7" s="26"/>
      <c r="K7" s="26"/>
      <c r="L7" s="26"/>
      <c r="M7" s="20" t="s">
        <v>205</v>
      </c>
      <c r="N7" s="20">
        <f>SUM(N2:N6)</f>
        <v>0</v>
      </c>
      <c r="O7" s="20" t="s">
        <v>435</v>
      </c>
      <c r="P7" s="20">
        <f>COUNTIF('PART III-DEMOGRAPHICS'!$N$17:$N$2010,"Yes")</f>
        <v>0</v>
      </c>
      <c r="Q7" s="20" t="s">
        <v>205</v>
      </c>
      <c r="R7" s="20">
        <f>SUM(R2:R6)</f>
        <v>0</v>
      </c>
      <c r="S7" s="20" t="s">
        <v>436</v>
      </c>
      <c r="T7" s="20">
        <f>COUNTIF('PART III-DEMOGRAPHICS'!$P$17:$P$2010,S7)</f>
        <v>0</v>
      </c>
      <c r="AA7" s="87" t="s">
        <v>437</v>
      </c>
      <c r="AB7" s="20">
        <f>COUNTIF('PART IV-V-SERVICES AND OUTCOMES'!$K$7:$K$1999,"Yes")</f>
        <v>0</v>
      </c>
    </row>
    <row r="8" spans="1:42" ht="17.45">
      <c r="A8" s="26"/>
      <c r="B8" s="26"/>
      <c r="C8" s="26"/>
      <c r="D8" s="26"/>
      <c r="E8" s="26"/>
      <c r="F8" s="26"/>
      <c r="G8" s="20" t="s">
        <v>438</v>
      </c>
      <c r="H8" s="20">
        <f>COUNTIF('PART III-DEMOGRAPHICS'!$E$17:$E$2010,G8)</f>
        <v>0</v>
      </c>
      <c r="I8" s="26"/>
      <c r="J8" s="26"/>
      <c r="K8" s="26"/>
      <c r="L8" s="26"/>
      <c r="M8" s="26"/>
      <c r="N8" s="26"/>
      <c r="O8" s="26"/>
      <c r="P8" s="26"/>
      <c r="Q8" s="26"/>
      <c r="R8" s="26"/>
      <c r="S8" s="20" t="s">
        <v>408</v>
      </c>
      <c r="T8" s="20">
        <f>COUNTIF('PART III-DEMOGRAPHICS'!$P$17:$P$2010,S8)</f>
        <v>0</v>
      </c>
      <c r="AA8" s="87" t="s">
        <v>439</v>
      </c>
      <c r="AB8" s="20">
        <f>COUNTIF('PART IV-V-SERVICES AND OUTCOMES'!$L$7:$L$1999,"Yes")</f>
        <v>0</v>
      </c>
    </row>
    <row r="9" spans="1:42" ht="17.45">
      <c r="A9" s="26"/>
      <c r="B9" s="26"/>
      <c r="C9" s="26"/>
      <c r="D9" s="26"/>
      <c r="E9" s="26"/>
      <c r="F9" s="26"/>
      <c r="G9" s="20" t="s">
        <v>205</v>
      </c>
      <c r="H9" s="26">
        <f>SUM(H2:H8)</f>
        <v>0</v>
      </c>
      <c r="I9" s="26"/>
      <c r="J9" s="26"/>
      <c r="K9" s="26"/>
      <c r="L9" s="26"/>
      <c r="M9" s="26"/>
      <c r="N9" s="26"/>
      <c r="O9" s="26"/>
      <c r="P9" s="26"/>
      <c r="Q9" s="26"/>
      <c r="R9" s="26"/>
      <c r="S9" s="20" t="s">
        <v>419</v>
      </c>
      <c r="T9" s="20">
        <f>COUNTIF('PART III-DEMOGRAPHICS'!$P$17:$P$2010,S9)</f>
        <v>0</v>
      </c>
      <c r="AA9" s="87" t="s">
        <v>440</v>
      </c>
      <c r="AB9" s="20">
        <f>COUNTIF('PART IV-V-SERVICES AND OUTCOMES'!$M$7:$M$1999,"Yes")</f>
        <v>0</v>
      </c>
    </row>
    <row r="10" spans="1:42" ht="17.45">
      <c r="A10" s="26"/>
      <c r="B10" s="26"/>
      <c r="C10" s="26"/>
      <c r="D10" s="26"/>
      <c r="E10" s="26"/>
      <c r="F10" s="26"/>
      <c r="G10" s="26"/>
      <c r="H10" s="26"/>
      <c r="I10" s="26"/>
      <c r="J10" s="26"/>
      <c r="K10" s="26"/>
      <c r="L10" s="26"/>
      <c r="M10" s="26"/>
      <c r="N10" s="26"/>
      <c r="O10" s="26"/>
      <c r="P10" s="26"/>
      <c r="Q10" s="26"/>
      <c r="R10" s="26"/>
      <c r="S10" s="20" t="s">
        <v>441</v>
      </c>
      <c r="T10" s="20">
        <f>COUNTIF('PART III-DEMOGRAPHICS'!$P$17:$P$2010,S10)</f>
        <v>0</v>
      </c>
    </row>
    <row r="11" spans="1:42" ht="17.45">
      <c r="A11" s="26"/>
      <c r="B11" s="26"/>
      <c r="C11" s="26"/>
      <c r="D11" s="26"/>
      <c r="E11" s="26"/>
      <c r="F11" s="26"/>
      <c r="G11" s="26"/>
      <c r="H11" s="26"/>
      <c r="I11" s="26"/>
      <c r="J11" s="26"/>
      <c r="K11" s="26"/>
      <c r="L11" s="26"/>
      <c r="M11" s="26"/>
      <c r="N11" s="26"/>
      <c r="O11" s="26"/>
      <c r="P11" s="26"/>
      <c r="Q11" s="26"/>
      <c r="R11" s="26"/>
      <c r="S11" s="20" t="s">
        <v>442</v>
      </c>
      <c r="T11" s="20">
        <f>COUNTIF('PART III-DEMOGRAPHICS'!$P$17:$P$2010,S11)</f>
        <v>0</v>
      </c>
    </row>
    <row r="12" spans="1:42" ht="17.45">
      <c r="A12" s="26"/>
      <c r="B12" s="26"/>
      <c r="C12" s="26"/>
      <c r="D12" s="26"/>
      <c r="E12" s="26"/>
      <c r="F12" s="26"/>
      <c r="G12" s="26"/>
      <c r="H12" s="26"/>
      <c r="I12" s="26"/>
      <c r="J12" s="26"/>
      <c r="K12" s="26"/>
      <c r="L12" s="26"/>
      <c r="M12" s="26"/>
      <c r="N12" s="26"/>
      <c r="O12" s="26"/>
      <c r="P12" s="26"/>
      <c r="Q12" s="26"/>
      <c r="R12" s="26"/>
      <c r="S12" s="20" t="s">
        <v>443</v>
      </c>
      <c r="T12" s="20">
        <f>COUNTIF('PART III-DEMOGRAPHICS'!$P$17:$P$2010,S12)</f>
        <v>0</v>
      </c>
    </row>
    <row r="13" spans="1:42" ht="17.45">
      <c r="A13" s="26"/>
      <c r="B13" s="26"/>
      <c r="C13" s="26"/>
      <c r="D13" s="26"/>
      <c r="E13" s="26"/>
      <c r="F13" s="26"/>
      <c r="G13" s="26"/>
      <c r="H13" s="26"/>
      <c r="I13" s="26"/>
      <c r="J13" s="26"/>
      <c r="K13" s="26"/>
      <c r="L13" s="26"/>
      <c r="M13" s="26"/>
      <c r="N13" s="26"/>
      <c r="O13" s="26"/>
      <c r="P13" s="26"/>
      <c r="Q13" s="26"/>
      <c r="R13" s="26"/>
      <c r="S13" s="20" t="s">
        <v>444</v>
      </c>
      <c r="T13" s="20">
        <f>COUNTIF('PART III-DEMOGRAPHICS'!$P$17:$P$2010,S13)</f>
        <v>0</v>
      </c>
    </row>
    <row r="14" spans="1:42" ht="17.45">
      <c r="A14" s="26"/>
      <c r="B14" s="26"/>
      <c r="C14" s="26"/>
      <c r="D14" s="26"/>
      <c r="E14" s="26"/>
      <c r="F14" s="26"/>
      <c r="G14" s="26"/>
      <c r="H14" s="26"/>
      <c r="I14" s="26"/>
      <c r="J14" s="26"/>
      <c r="K14" s="26"/>
      <c r="L14" s="26"/>
      <c r="M14" s="26"/>
      <c r="N14" s="26"/>
      <c r="O14" s="26"/>
      <c r="P14" s="26"/>
      <c r="Q14" s="26"/>
      <c r="R14" s="26"/>
      <c r="S14" s="20" t="s">
        <v>205</v>
      </c>
      <c r="T14" s="20">
        <f>SUM(T2:T13)</f>
        <v>0</v>
      </c>
    </row>
    <row r="15" spans="1:42" s="39" customFormat="1" ht="20.45"/>
    <row r="50" spans="1:65" ht="17.45" hidden="1">
      <c r="A50" s="11" t="s">
        <v>445</v>
      </c>
      <c r="B50" s="11" t="s">
        <v>446</v>
      </c>
      <c r="C50" s="11" t="s">
        <v>447</v>
      </c>
      <c r="D50" s="11" t="s">
        <v>448</v>
      </c>
      <c r="E50" s="11" t="s">
        <v>449</v>
      </c>
      <c r="F50" s="3" t="s">
        <v>284</v>
      </c>
      <c r="G50" s="3" t="s">
        <v>285</v>
      </c>
      <c r="H50" s="3" t="s">
        <v>286</v>
      </c>
      <c r="I50" s="3" t="s">
        <v>287</v>
      </c>
      <c r="J50" s="3" t="s">
        <v>288</v>
      </c>
      <c r="K50" s="3" t="s">
        <v>289</v>
      </c>
      <c r="L50" s="3" t="s">
        <v>290</v>
      </c>
      <c r="M50" s="3" t="s">
        <v>291</v>
      </c>
      <c r="N50" s="3" t="s">
        <v>292</v>
      </c>
      <c r="O50" s="3" t="s">
        <v>293</v>
      </c>
      <c r="P50" s="3" t="s">
        <v>294</v>
      </c>
      <c r="Q50" s="3" t="s">
        <v>295</v>
      </c>
      <c r="R50" s="3" t="s">
        <v>296</v>
      </c>
      <c r="S50" s="3" t="s">
        <v>297</v>
      </c>
      <c r="T50" s="3" t="s">
        <v>298</v>
      </c>
      <c r="U50" s="3" t="s">
        <v>299</v>
      </c>
      <c r="V50" s="3" t="s">
        <v>300</v>
      </c>
      <c r="W50" s="3" t="s">
        <v>301</v>
      </c>
      <c r="X50" s="3" t="s">
        <v>302</v>
      </c>
      <c r="Y50" s="3" t="s">
        <v>303</v>
      </c>
      <c r="Z50" s="3" t="s">
        <v>304</v>
      </c>
      <c r="AA50" s="3" t="s">
        <v>305</v>
      </c>
      <c r="AB50" s="3" t="s">
        <v>306</v>
      </c>
      <c r="AC50" s="3" t="s">
        <v>307</v>
      </c>
      <c r="AD50" s="3" t="s">
        <v>308</v>
      </c>
      <c r="AE50" s="3" t="s">
        <v>309</v>
      </c>
      <c r="AF50" s="3" t="s">
        <v>310</v>
      </c>
      <c r="AG50" s="3" t="s">
        <v>311</v>
      </c>
      <c r="AH50" s="3" t="s">
        <v>312</v>
      </c>
      <c r="AI50" s="3" t="s">
        <v>313</v>
      </c>
      <c r="AJ50" s="3" t="s">
        <v>314</v>
      </c>
      <c r="AK50" s="3" t="s">
        <v>315</v>
      </c>
      <c r="AL50" s="3" t="s">
        <v>316</v>
      </c>
      <c r="AM50" s="3" t="s">
        <v>317</v>
      </c>
      <c r="AN50" s="3" t="s">
        <v>318</v>
      </c>
      <c r="AO50" s="3" t="s">
        <v>319</v>
      </c>
      <c r="AP50" s="3" t="s">
        <v>320</v>
      </c>
      <c r="AQ50" s="3" t="s">
        <v>321</v>
      </c>
      <c r="AR50" s="3" t="s">
        <v>322</v>
      </c>
      <c r="AS50" s="3" t="s">
        <v>323</v>
      </c>
      <c r="AT50" s="3" t="s">
        <v>324</v>
      </c>
      <c r="AU50" s="3" t="s">
        <v>325</v>
      </c>
      <c r="AV50" s="3" t="s">
        <v>326</v>
      </c>
      <c r="AW50" s="3" t="s">
        <v>327</v>
      </c>
      <c r="AX50" s="3" t="s">
        <v>328</v>
      </c>
      <c r="AY50" s="3" t="s">
        <v>329</v>
      </c>
      <c r="AZ50" s="3" t="s">
        <v>330</v>
      </c>
      <c r="BA50" s="3" t="s">
        <v>331</v>
      </c>
      <c r="BB50" s="3" t="s">
        <v>332</v>
      </c>
      <c r="BC50" s="3" t="s">
        <v>333</v>
      </c>
      <c r="BD50" s="3" t="s">
        <v>334</v>
      </c>
      <c r="BE50" s="3" t="s">
        <v>335</v>
      </c>
      <c r="BF50" s="3" t="s">
        <v>336</v>
      </c>
      <c r="BG50" s="3" t="s">
        <v>337</v>
      </c>
      <c r="BH50" s="3" t="s">
        <v>338</v>
      </c>
      <c r="BI50" s="3" t="s">
        <v>339</v>
      </c>
      <c r="BJ50" s="3" t="s">
        <v>340</v>
      </c>
      <c r="BK50" s="3" t="s">
        <v>341</v>
      </c>
      <c r="BL50" t="s">
        <v>342</v>
      </c>
      <c r="BM50" t="s">
        <v>343</v>
      </c>
    </row>
    <row r="51" spans="1:65" ht="17.45" hidden="1">
      <c r="A51" s="11" t="s">
        <v>450</v>
      </c>
      <c r="B51" s="11">
        <v>32544</v>
      </c>
      <c r="C51" s="11" t="s">
        <v>451</v>
      </c>
      <c r="D51" s="11">
        <v>44160</v>
      </c>
      <c r="E51" s="11">
        <v>17289</v>
      </c>
      <c r="R51">
        <v>80</v>
      </c>
    </row>
    <row r="52" spans="1:65" ht="17.45" hidden="1">
      <c r="A52" s="11" t="s">
        <v>452</v>
      </c>
      <c r="B52" s="11">
        <v>32537</v>
      </c>
      <c r="C52" s="11" t="s">
        <v>453</v>
      </c>
      <c r="D52" s="11">
        <v>120290</v>
      </c>
      <c r="E52" s="11">
        <v>131754</v>
      </c>
      <c r="AS52">
        <v>35</v>
      </c>
      <c r="AU52">
        <v>20</v>
      </c>
      <c r="BI52">
        <v>30</v>
      </c>
    </row>
    <row r="53" spans="1:65" ht="17.45" hidden="1">
      <c r="A53" s="11" t="s">
        <v>454</v>
      </c>
      <c r="B53" s="11">
        <v>32545</v>
      </c>
      <c r="C53" s="11" t="s">
        <v>455</v>
      </c>
      <c r="D53" s="11">
        <v>323373</v>
      </c>
      <c r="E53" s="11">
        <v>321737</v>
      </c>
      <c r="X53">
        <v>60</v>
      </c>
      <c r="AL53">
        <v>200</v>
      </c>
      <c r="AO53">
        <v>138</v>
      </c>
    </row>
    <row r="54" spans="1:65" ht="17.45" hidden="1">
      <c r="A54" s="11" t="s">
        <v>456</v>
      </c>
      <c r="B54" s="11">
        <v>32546</v>
      </c>
      <c r="C54" s="11" t="s">
        <v>457</v>
      </c>
      <c r="D54" s="11">
        <v>51446</v>
      </c>
      <c r="E54" s="11">
        <v>34721</v>
      </c>
      <c r="AF54">
        <v>230</v>
      </c>
    </row>
    <row r="55" spans="1:65" ht="17.45" hidden="1">
      <c r="A55" s="11" t="s">
        <v>458</v>
      </c>
      <c r="B55" s="11">
        <v>32627</v>
      </c>
      <c r="C55" s="11" t="s">
        <v>459</v>
      </c>
      <c r="D55" s="11">
        <v>80307</v>
      </c>
      <c r="E55" s="11">
        <v>45203</v>
      </c>
      <c r="BM55">
        <v>34</v>
      </c>
    </row>
    <row r="56" spans="1:65" ht="17.45" hidden="1">
      <c r="A56" s="11" t="s">
        <v>460</v>
      </c>
      <c r="B56" s="11">
        <v>32536</v>
      </c>
      <c r="C56" s="11" t="s">
        <v>461</v>
      </c>
      <c r="D56" s="11">
        <v>59358</v>
      </c>
      <c r="E56" s="11">
        <v>47142</v>
      </c>
      <c r="AR56">
        <v>60</v>
      </c>
    </row>
    <row r="57" spans="1:65" ht="17.45" hidden="1">
      <c r="A57" s="11" t="s">
        <v>462</v>
      </c>
      <c r="B57" s="11">
        <v>32549</v>
      </c>
      <c r="C57" s="41" t="s">
        <v>463</v>
      </c>
      <c r="D57" s="11">
        <v>173945</v>
      </c>
      <c r="E57" s="11">
        <v>217094</v>
      </c>
      <c r="AI57">
        <v>229</v>
      </c>
    </row>
    <row r="58" spans="1:65" ht="17.45" hidden="1">
      <c r="A58" s="11" t="s">
        <v>464</v>
      </c>
      <c r="B58" s="11">
        <v>32552</v>
      </c>
      <c r="C58" s="11" t="s">
        <v>465</v>
      </c>
      <c r="D58" s="11">
        <v>46465</v>
      </c>
      <c r="E58" s="11">
        <v>27652</v>
      </c>
      <c r="F58" s="11">
        <v>65</v>
      </c>
    </row>
    <row r="59" spans="1:65" ht="17.45" hidden="1">
      <c r="A59" s="11" t="s">
        <v>466</v>
      </c>
      <c r="B59" s="11">
        <v>32566</v>
      </c>
      <c r="C59" s="11" t="s">
        <v>467</v>
      </c>
      <c r="D59" s="11">
        <v>399305</v>
      </c>
      <c r="E59" s="11">
        <v>450129</v>
      </c>
      <c r="F59" s="11">
        <v>55</v>
      </c>
      <c r="K59">
        <v>5</v>
      </c>
      <c r="L59">
        <v>70</v>
      </c>
      <c r="M59">
        <v>5</v>
      </c>
      <c r="Q59">
        <v>37</v>
      </c>
      <c r="V59">
        <v>6</v>
      </c>
      <c r="Z59">
        <v>37</v>
      </c>
      <c r="AB59">
        <v>6</v>
      </c>
      <c r="AG59">
        <v>13</v>
      </c>
      <c r="AQ59">
        <v>83</v>
      </c>
      <c r="BB59">
        <v>55</v>
      </c>
      <c r="BF59">
        <v>4</v>
      </c>
      <c r="BL59">
        <v>59</v>
      </c>
    </row>
    <row r="60" spans="1:65" ht="17.45" hidden="1">
      <c r="A60" s="11" t="s">
        <v>468</v>
      </c>
      <c r="B60" s="11">
        <v>32538</v>
      </c>
      <c r="C60" s="41" t="s">
        <v>469</v>
      </c>
      <c r="D60" s="11">
        <v>176539</v>
      </c>
      <c r="E60" s="11">
        <v>214215</v>
      </c>
      <c r="AP60">
        <v>350</v>
      </c>
    </row>
    <row r="61" spans="1:65" ht="17.45" hidden="1">
      <c r="A61" s="11" t="s">
        <v>470</v>
      </c>
      <c r="B61" s="11">
        <v>32539</v>
      </c>
      <c r="C61" s="11" t="s">
        <v>2</v>
      </c>
      <c r="D61" s="11">
        <v>256836</v>
      </c>
      <c r="E61" s="11">
        <v>255693</v>
      </c>
      <c r="H61">
        <v>3</v>
      </c>
      <c r="I61">
        <v>16</v>
      </c>
      <c r="J61">
        <v>5</v>
      </c>
      <c r="N61">
        <v>24</v>
      </c>
      <c r="P61">
        <v>4</v>
      </c>
      <c r="AH61">
        <v>9</v>
      </c>
      <c r="AJ61">
        <v>52</v>
      </c>
      <c r="AM61">
        <v>199</v>
      </c>
      <c r="AY61">
        <v>4</v>
      </c>
      <c r="BA61">
        <v>49</v>
      </c>
      <c r="BD61">
        <v>5</v>
      </c>
      <c r="BJ61">
        <v>26</v>
      </c>
      <c r="BK61">
        <v>5</v>
      </c>
    </row>
    <row r="62" spans="1:65" ht="17.45" hidden="1">
      <c r="A62" s="11" t="s">
        <v>471</v>
      </c>
      <c r="B62" s="11">
        <v>32540</v>
      </c>
      <c r="C62" s="41" t="s">
        <v>472</v>
      </c>
      <c r="D62" s="11">
        <v>183286</v>
      </c>
      <c r="E62" s="11">
        <v>208373</v>
      </c>
      <c r="O62">
        <v>124</v>
      </c>
      <c r="T62">
        <v>68</v>
      </c>
      <c r="U62">
        <v>12</v>
      </c>
      <c r="Y62">
        <v>13</v>
      </c>
      <c r="BG62">
        <v>27</v>
      </c>
    </row>
    <row r="63" spans="1:65" ht="17.45" hidden="1">
      <c r="A63" s="11" t="s">
        <v>473</v>
      </c>
      <c r="B63" s="11">
        <v>32550</v>
      </c>
      <c r="C63" s="11" t="s">
        <v>474</v>
      </c>
      <c r="D63" s="11">
        <v>61528</v>
      </c>
      <c r="E63" s="11">
        <v>46254</v>
      </c>
      <c r="BC63">
        <v>70</v>
      </c>
      <c r="BH63">
        <v>10</v>
      </c>
    </row>
    <row r="64" spans="1:65" ht="17.45" hidden="1">
      <c r="A64" s="11" t="s">
        <v>475</v>
      </c>
      <c r="B64" s="11">
        <v>32541</v>
      </c>
      <c r="C64" s="41" t="s">
        <v>476</v>
      </c>
      <c r="D64" s="11">
        <v>181157</v>
      </c>
      <c r="E64" s="11">
        <v>190897</v>
      </c>
      <c r="AN64">
        <v>10</v>
      </c>
      <c r="AT64">
        <v>100</v>
      </c>
      <c r="AV64">
        <v>235</v>
      </c>
      <c r="AW64">
        <v>52</v>
      </c>
    </row>
    <row r="65" spans="1:24" ht="17.45" hidden="1">
      <c r="A65" s="11" t="s">
        <v>477</v>
      </c>
      <c r="B65" s="11">
        <v>32554</v>
      </c>
      <c r="C65" s="11" t="s">
        <v>478</v>
      </c>
      <c r="D65" s="11">
        <v>442005</v>
      </c>
      <c r="E65" s="11">
        <v>464492</v>
      </c>
      <c r="X65">
        <v>400</v>
      </c>
    </row>
    <row r="66" spans="1:24" ht="17.45">
      <c r="A66" s="11"/>
      <c r="B66" s="11"/>
      <c r="C66" s="11"/>
      <c r="D66" s="11"/>
      <c r="E66" s="11"/>
    </row>
  </sheetData>
  <sheetProtection algorithmName="SHA-512" hashValue="coztOB/1GRrOv+0edMNIqi1V5npEqLyMUwrHNMzPyJ4B+ktcbHRVTpN5n2b1YhNqIAT9LR3TqRixUa8mfbe1tw==" saltValue="DIaU8Zd+FpTJk4Q3TdklVw==" spinCount="100000" sheet="1" objects="1" scenarios="1"/>
  <conditionalFormatting sqref="A1:A2 H2:H8 A5:A6">
    <cfRule type="expression" dxfId="142" priority="2454">
      <formula>CELL("protect",A1:U509)</formula>
    </cfRule>
  </conditionalFormatting>
  <conditionalFormatting sqref="A3">
    <cfRule type="expression" dxfId="141" priority="2251">
      <formula>CELL("protect",C2:W510)</formula>
    </cfRule>
  </conditionalFormatting>
  <conditionalFormatting sqref="A4">
    <cfRule type="expression" dxfId="140" priority="2253">
      <formula>CELL("protect",C2:Y510)</formula>
    </cfRule>
  </conditionalFormatting>
  <conditionalFormatting sqref="A7:A9">
    <cfRule type="expression" dxfId="139" priority="2455">
      <formula>CELL("protect",A7:U511)</formula>
    </cfRule>
  </conditionalFormatting>
  <conditionalFormatting sqref="A10:A12">
    <cfRule type="expression" dxfId="138" priority="2456">
      <formula>CELL("protect",A10:U511)</formula>
    </cfRule>
  </conditionalFormatting>
  <conditionalFormatting sqref="A13">
    <cfRule type="expression" dxfId="137" priority="2452">
      <formula>CELL("protect",A13:U512)</formula>
    </cfRule>
  </conditionalFormatting>
  <conditionalFormatting sqref="A14">
    <cfRule type="expression" dxfId="136" priority="2453">
      <formula>CELL("protect",A14:U512)</formula>
    </cfRule>
  </conditionalFormatting>
  <conditionalFormatting sqref="A52">
    <cfRule type="expression" dxfId="135" priority="66">
      <formula>CELL("protect",A52:B257)</formula>
    </cfRule>
  </conditionalFormatting>
  <conditionalFormatting sqref="A50:E51">
    <cfRule type="expression" dxfId="134" priority="1">
      <formula>CELL("protect",A50:B255)</formula>
    </cfRule>
  </conditionalFormatting>
  <conditionalFormatting sqref="B1">
    <cfRule type="expression" dxfId="133" priority="2">
      <formula>CELL("protect",B1:V509)</formula>
    </cfRule>
  </conditionalFormatting>
  <conditionalFormatting sqref="B2:B3 B5:B6">
    <cfRule type="expression" dxfId="132" priority="2503">
      <formula>CELL("protect",B2:W510)</formula>
    </cfRule>
  </conditionalFormatting>
  <conditionalFormatting sqref="B4">
    <cfRule type="expression" dxfId="131" priority="2254">
      <formula>CELL("protect",E2:AA510)</formula>
    </cfRule>
  </conditionalFormatting>
  <conditionalFormatting sqref="B7:B9">
    <cfRule type="expression" dxfId="130" priority="2504">
      <formula>CELL("protect",B7:W511)</formula>
    </cfRule>
  </conditionalFormatting>
  <conditionalFormatting sqref="B10:B12">
    <cfRule type="expression" dxfId="129" priority="2505">
      <formula>CELL("protect",B10:W511)</formula>
    </cfRule>
  </conditionalFormatting>
  <conditionalFormatting sqref="B13">
    <cfRule type="expression" dxfId="128" priority="2501">
      <formula>CELL("protect",B13:W512)</formula>
    </cfRule>
  </conditionalFormatting>
  <conditionalFormatting sqref="B52 A53:E57">
    <cfRule type="expression" dxfId="127" priority="64">
      <formula>CELL("protect",A52:B256)</formula>
    </cfRule>
  </conditionalFormatting>
  <conditionalFormatting sqref="C1:C2">
    <cfRule type="expression" dxfId="126" priority="3196">
      <formula>CELL("protect",C1:AA509)</formula>
    </cfRule>
  </conditionalFormatting>
  <conditionalFormatting sqref="C3">
    <cfRule type="expression" dxfId="125" priority="5087">
      <formula>CELL("protect",E2:AB510)</formula>
    </cfRule>
  </conditionalFormatting>
  <conditionalFormatting sqref="C4">
    <cfRule type="expression" dxfId="124" priority="5149">
      <formula>CELL("protect",E2:AB510)</formula>
    </cfRule>
  </conditionalFormatting>
  <conditionalFormatting sqref="C5">
    <cfRule type="expression" dxfId="123" priority="5150">
      <formula>CELL("protect",E2:AB510)</formula>
    </cfRule>
  </conditionalFormatting>
  <conditionalFormatting sqref="C6">
    <cfRule type="expression" dxfId="122" priority="5151">
      <formula>CELL("protect",E2:AB510)</formula>
    </cfRule>
  </conditionalFormatting>
  <conditionalFormatting sqref="C7:D9">
    <cfRule type="expression" dxfId="121" priority="3197">
      <formula>CELL("protect",C7:AA511)</formula>
    </cfRule>
  </conditionalFormatting>
  <conditionalFormatting sqref="C10:D12">
    <cfRule type="expression" dxfId="120" priority="3198">
      <formula>CELL("protect",C10:AA511)</formula>
    </cfRule>
  </conditionalFormatting>
  <conditionalFormatting sqref="C13:D13">
    <cfRule type="expression" dxfId="119" priority="3195">
      <formula>CELL("protect",C13:AA512)</formula>
    </cfRule>
  </conditionalFormatting>
  <conditionalFormatting sqref="C14:D14 G14">
    <cfRule type="expression" dxfId="118" priority="4950">
      <formula>CELL("protect",C14:AA512)</formula>
    </cfRule>
  </conditionalFormatting>
  <conditionalFormatting sqref="C52:E52 F58:F59 A58:E66">
    <cfRule type="expression" dxfId="117" priority="65">
      <formula>CELL("protect",A52:B257)</formula>
    </cfRule>
  </conditionalFormatting>
  <conditionalFormatting sqref="D1">
    <cfRule type="expression" dxfId="116" priority="3256">
      <formula>CELL("protect",D1:AB509)</formula>
    </cfRule>
  </conditionalFormatting>
  <conditionalFormatting sqref="D2:D5">
    <cfRule type="expression" dxfId="115" priority="107">
      <formula>CELL("protect",D2:Y510)</formula>
    </cfRule>
  </conditionalFormatting>
  <conditionalFormatting sqref="D6">
    <cfRule type="expression" dxfId="114" priority="5160">
      <formula>CELL("protect",G2:AB510)</formula>
    </cfRule>
  </conditionalFormatting>
  <conditionalFormatting sqref="E1:E2 E6">
    <cfRule type="expression" dxfId="113" priority="5101">
      <formula>CELL("protect",E1:AB509)</formula>
    </cfRule>
  </conditionalFormatting>
  <conditionalFormatting sqref="E3">
    <cfRule type="expression" dxfId="112" priority="5161">
      <formula>CELL("protect",G2:AB510)</formula>
    </cfRule>
  </conditionalFormatting>
  <conditionalFormatting sqref="E4">
    <cfRule type="expression" dxfId="111" priority="5162">
      <formula>CELL("protect",G2:AB510)</formula>
    </cfRule>
  </conditionalFormatting>
  <conditionalFormatting sqref="E5">
    <cfRule type="expression" dxfId="110" priority="2282">
      <formula>CELL("protect",G2:AC510)</formula>
    </cfRule>
  </conditionalFormatting>
  <conditionalFormatting sqref="E7:E9">
    <cfRule type="expression" dxfId="109" priority="5088">
      <formula>CELL("protect",E7:AB511)</formula>
    </cfRule>
  </conditionalFormatting>
  <conditionalFormatting sqref="E10:E12">
    <cfRule type="expression" dxfId="108" priority="5089">
      <formula>CELL("protect",E10:AB511)</formula>
    </cfRule>
  </conditionalFormatting>
  <conditionalFormatting sqref="E13">
    <cfRule type="expression" dxfId="107" priority="5090">
      <formula>CELL("protect",E13:AB512)</formula>
    </cfRule>
  </conditionalFormatting>
  <conditionalFormatting sqref="E14">
    <cfRule type="expression" dxfId="106" priority="4601">
      <formula>CELL("protect",E14:AB512)</formula>
    </cfRule>
  </conditionalFormatting>
  <conditionalFormatting sqref="F1 F6">
    <cfRule type="expression" dxfId="105" priority="5198">
      <formula>CELL("protect",F1:AB509)</formula>
    </cfRule>
  </conditionalFormatting>
  <conditionalFormatting sqref="F2:F4">
    <cfRule type="expression" dxfId="104" priority="106">
      <formula>CELL("protect",F2:AA510)</formula>
    </cfRule>
  </conditionalFormatting>
  <conditionalFormatting sqref="F5">
    <cfRule type="expression" dxfId="103" priority="2283">
      <formula>CELL("protect",I2:AE510)</formula>
    </cfRule>
  </conditionalFormatting>
  <conditionalFormatting sqref="F7:F9">
    <cfRule type="expression" dxfId="102" priority="5195">
      <formula>CELL("protect",F7:AB511)</formula>
    </cfRule>
  </conditionalFormatting>
  <conditionalFormatting sqref="F10:F12">
    <cfRule type="expression" dxfId="101" priority="5196">
      <formula>CELL("protect",F10:AB511)</formula>
    </cfRule>
  </conditionalFormatting>
  <conditionalFormatting sqref="F13">
    <cfRule type="expression" dxfId="100" priority="5197">
      <formula>CELL("protect",F13:AB512)</formula>
    </cfRule>
  </conditionalFormatting>
  <conditionalFormatting sqref="F50:BK50">
    <cfRule type="expression" dxfId="99" priority="6">
      <formula>CELL("protect",F50:AN549)</formula>
    </cfRule>
  </conditionalFormatting>
  <conditionalFormatting sqref="G1:G2">
    <cfRule type="expression" dxfId="98" priority="3585">
      <formula>CELL("protect",G1:AE509)</formula>
    </cfRule>
  </conditionalFormatting>
  <conditionalFormatting sqref="G3">
    <cfRule type="expression" dxfId="97" priority="2298">
      <formula>CELL("protect",I2:AG510)</formula>
    </cfRule>
  </conditionalFormatting>
  <conditionalFormatting sqref="G4">
    <cfRule type="expression" dxfId="96" priority="2300">
      <formula>CELL("protect",I2:AI510)</formula>
    </cfRule>
  </conditionalFormatting>
  <conditionalFormatting sqref="G5">
    <cfRule type="expression" dxfId="95" priority="2302">
      <formula>CELL("protect",I2:AK510)</formula>
    </cfRule>
  </conditionalFormatting>
  <conditionalFormatting sqref="G6">
    <cfRule type="expression" dxfId="94" priority="2304">
      <formula>CELL("protect",I2:AM510)</formula>
    </cfRule>
  </conditionalFormatting>
  <conditionalFormatting sqref="G7">
    <cfRule type="expression" dxfId="93" priority="2306">
      <formula>CELL("protect",I2:AN510)</formula>
    </cfRule>
  </conditionalFormatting>
  <conditionalFormatting sqref="G8">
    <cfRule type="expression" dxfId="92" priority="2308">
      <formula>CELL("protect",I2:AO510)</formula>
    </cfRule>
  </conditionalFormatting>
  <conditionalFormatting sqref="G9">
    <cfRule type="expression" dxfId="91" priority="2310">
      <formula>CELL("protect",I2:AP510)</formula>
    </cfRule>
  </conditionalFormatting>
  <conditionalFormatting sqref="G10:G12">
    <cfRule type="expression" dxfId="90" priority="3586">
      <formula>CELL("protect",G10:AE511)</formula>
    </cfRule>
  </conditionalFormatting>
  <conditionalFormatting sqref="G13">
    <cfRule type="expression" dxfId="89" priority="3584">
      <formula>CELL("protect",G13:AE512)</formula>
    </cfRule>
  </conditionalFormatting>
  <conditionalFormatting sqref="H1">
    <cfRule type="expression" dxfId="88" priority="3642">
      <formula>CELL("protect",H1:AG509)</formula>
    </cfRule>
  </conditionalFormatting>
  <conditionalFormatting sqref="H9">
    <cfRule type="expression" dxfId="87" priority="2311">
      <formula>CELL("protect",K2:AQ510)</formula>
    </cfRule>
  </conditionalFormatting>
  <conditionalFormatting sqref="H10:H12">
    <cfRule type="expression" dxfId="86" priority="3644">
      <formula>CELL("protect",H10:AG511)</formula>
    </cfRule>
  </conditionalFormatting>
  <conditionalFormatting sqref="H13">
    <cfRule type="expression" dxfId="85" priority="3640">
      <formula>CELL("protect",H13:AG512)</formula>
    </cfRule>
  </conditionalFormatting>
  <conditionalFormatting sqref="H14">
    <cfRule type="expression" dxfId="84" priority="4992">
      <formula>CELL("protect",H14:AG512)</formula>
    </cfRule>
  </conditionalFormatting>
  <conditionalFormatting sqref="I1:J1 I2 I3:J6">
    <cfRule type="expression" dxfId="83" priority="3776">
      <formula>CELL("protect",I1:AQ509)</formula>
    </cfRule>
  </conditionalFormatting>
  <conditionalFormatting sqref="I7:J9">
    <cfRule type="expression" dxfId="82" priority="5114">
      <formula>CELL("protect",I7:AQ511)</formula>
    </cfRule>
  </conditionalFormatting>
  <conditionalFormatting sqref="I13:J13">
    <cfRule type="expression" dxfId="81" priority="5116">
      <formula>CELL("protect",I13:AQ512)</formula>
    </cfRule>
  </conditionalFormatting>
  <conditionalFormatting sqref="I14:J14">
    <cfRule type="expression" dxfId="80" priority="5117">
      <formula>CELL("protect",I14:AQ512)</formula>
    </cfRule>
  </conditionalFormatting>
  <conditionalFormatting sqref="J2">
    <cfRule type="expression" dxfId="79" priority="5194">
      <formula>CELL("protect",J2:AB510)</formula>
    </cfRule>
  </conditionalFormatting>
  <conditionalFormatting sqref="K3">
    <cfRule type="expression" dxfId="78" priority="2373">
      <formula>CELL("protect",M2:AS510)</formula>
    </cfRule>
  </conditionalFormatting>
  <conditionalFormatting sqref="K4">
    <cfRule type="expression" dxfId="77" priority="2375">
      <formula>CELL("protect",M2:AT510)</formula>
    </cfRule>
  </conditionalFormatting>
  <conditionalFormatting sqref="K5">
    <cfRule type="expression" dxfId="76" priority="2377">
      <formula>CELL("protect",M2:AU510)</formula>
    </cfRule>
  </conditionalFormatting>
  <conditionalFormatting sqref="K1:L2 X2 AF2 AH2 V2:V3 Z2:Z5 AD2:AD5 AJ2:AJ5 AL2:AL5 N2:N6 R2:R6 P2:P7 AB2:AB9 T2:T13 L3:L4 K6:L6">
    <cfRule type="expression" dxfId="75" priority="3727">
      <formula>CELL("protect",K1:AR509)</formula>
    </cfRule>
  </conditionalFormatting>
  <conditionalFormatting sqref="K7:L9">
    <cfRule type="expression" dxfId="74" priority="5200">
      <formula>CELL("protect",K7:AR511)</formula>
    </cfRule>
  </conditionalFormatting>
  <conditionalFormatting sqref="K10:L12">
    <cfRule type="expression" dxfId="73" priority="5201">
      <formula>CELL("protect",K10:AR511)</formula>
    </cfRule>
  </conditionalFormatting>
  <conditionalFormatting sqref="K13:L13">
    <cfRule type="expression" dxfId="72" priority="5202">
      <formula>CELL("protect",K13:AR512)</formula>
    </cfRule>
  </conditionalFormatting>
  <conditionalFormatting sqref="K14:L14">
    <cfRule type="expression" dxfId="71" priority="5203">
      <formula>CELL("protect",K14:AR512)</formula>
    </cfRule>
  </conditionalFormatting>
  <conditionalFormatting sqref="L5">
    <cfRule type="expression" dxfId="70" priority="2378">
      <formula>CELL("protect",O2:AV510)</formula>
    </cfRule>
  </conditionalFormatting>
  <conditionalFormatting sqref="M3">
    <cfRule type="expression" dxfId="69" priority="2410">
      <formula>CELL("protect",O2:AW510)</formula>
    </cfRule>
  </conditionalFormatting>
  <conditionalFormatting sqref="M4">
    <cfRule type="expression" dxfId="68" priority="2412">
      <formula>CELL("protect",O2:AX510)</formula>
    </cfRule>
  </conditionalFormatting>
  <conditionalFormatting sqref="M5">
    <cfRule type="expression" dxfId="67" priority="2414">
      <formula>CELL("protect",O2:AY510)</formula>
    </cfRule>
  </conditionalFormatting>
  <conditionalFormatting sqref="M6">
    <cfRule type="expression" dxfId="66" priority="2416">
      <formula>CELL("protect",O2:AZ510)</formula>
    </cfRule>
  </conditionalFormatting>
  <conditionalFormatting sqref="M7">
    <cfRule type="expression" dxfId="65" priority="2418">
      <formula>CELL("protect",O2:BA510)</formula>
    </cfRule>
  </conditionalFormatting>
  <conditionalFormatting sqref="M1:N1 M2">
    <cfRule type="expression" dxfId="64" priority="3827">
      <formula>CELL("protect",M1:AV509)</formula>
    </cfRule>
  </conditionalFormatting>
  <conditionalFormatting sqref="M8:N9">
    <cfRule type="expression" dxfId="63" priority="5005">
      <formula>CELL("protect",M8:AV512)</formula>
    </cfRule>
  </conditionalFormatting>
  <conditionalFormatting sqref="M10:N12">
    <cfRule type="expression" dxfId="62" priority="5006">
      <formula>CELL("protect",M10:AV511)</formula>
    </cfRule>
  </conditionalFormatting>
  <conditionalFormatting sqref="M13:N13">
    <cfRule type="expression" dxfId="61" priority="5007">
      <formula>CELL("protect",M13:AV512)</formula>
    </cfRule>
  </conditionalFormatting>
  <conditionalFormatting sqref="M14:N14">
    <cfRule type="expression" dxfId="60" priority="5008">
      <formula>CELL("protect",M14:AV512)</formula>
    </cfRule>
  </conditionalFormatting>
  <conditionalFormatting sqref="N7">
    <cfRule type="expression" dxfId="59" priority="2419">
      <formula>CELL("protect",Q2:BB510)</formula>
    </cfRule>
  </conditionalFormatting>
  <conditionalFormatting sqref="O3">
    <cfRule type="expression" dxfId="58" priority="2459">
      <formula>CELL("protect",Q2:BC510)</formula>
    </cfRule>
  </conditionalFormatting>
  <conditionalFormatting sqref="O4">
    <cfRule type="expression" dxfId="57" priority="2461">
      <formula>CELL("protect",Q2:BD510)</formula>
    </cfRule>
  </conditionalFormatting>
  <conditionalFormatting sqref="O5">
    <cfRule type="expression" dxfId="56" priority="2463">
      <formula>CELL("protect",Q2:BE510)</formula>
    </cfRule>
  </conditionalFormatting>
  <conditionalFormatting sqref="O6">
    <cfRule type="expression" dxfId="55" priority="2465">
      <formula>CELL("protect",Q2:BF510)</formula>
    </cfRule>
  </conditionalFormatting>
  <conditionalFormatting sqref="O7">
    <cfRule type="expression" dxfId="54" priority="2467">
      <formula>CELL("protect",Q2:BG510)</formula>
    </cfRule>
  </conditionalFormatting>
  <conditionalFormatting sqref="O1:P1 O2">
    <cfRule type="expression" dxfId="53" priority="3824">
      <formula>CELL("protect",O1:BB509)</formula>
    </cfRule>
  </conditionalFormatting>
  <conditionalFormatting sqref="O8:P14 I10:J12">
    <cfRule type="expression" dxfId="52" priority="5115">
      <formula>CELL("protect",I8:AQ509)</formula>
    </cfRule>
  </conditionalFormatting>
  <conditionalFormatting sqref="Q3">
    <cfRule type="expression" dxfId="51" priority="3817">
      <formula>CELL("protect",S2:BI510)</formula>
    </cfRule>
  </conditionalFormatting>
  <conditionalFormatting sqref="Q4">
    <cfRule type="expression" dxfId="50" priority="3818">
      <formula>CELL("protect",S2:BJ510)</formula>
    </cfRule>
  </conditionalFormatting>
  <conditionalFormatting sqref="Q5">
    <cfRule type="expression" dxfId="49" priority="3814">
      <formula>CELL("protect",S2:BK510)</formula>
    </cfRule>
  </conditionalFormatting>
  <conditionalFormatting sqref="Q6">
    <cfRule type="expression" dxfId="48" priority="3819">
      <formula>CELL("protect",S2:BL510)</formula>
    </cfRule>
  </conditionalFormatting>
  <conditionalFormatting sqref="Q1:R1 Q2">
    <cfRule type="expression" dxfId="47" priority="3821">
      <formula>CELL("protect",Q1:BH509)</formula>
    </cfRule>
  </conditionalFormatting>
  <conditionalFormatting sqref="Q7:R7">
    <cfRule type="expression" dxfId="46" priority="5204">
      <formula>CELL("protect",S2:BM510)</formula>
    </cfRule>
  </conditionalFormatting>
  <conditionalFormatting sqref="Q8:R9">
    <cfRule type="expression" dxfId="45" priority="5205">
      <formula>CELL("protect",Q8:BH512)</formula>
    </cfRule>
  </conditionalFormatting>
  <conditionalFormatting sqref="Q10:R12">
    <cfRule type="expression" dxfId="44" priority="5206">
      <formula>CELL("protect",Q10:BH511)</formula>
    </cfRule>
  </conditionalFormatting>
  <conditionalFormatting sqref="Q13:R13">
    <cfRule type="expression" dxfId="43" priority="5207">
      <formula>CELL("protect",Q13:BH512)</formula>
    </cfRule>
  </conditionalFormatting>
  <conditionalFormatting sqref="Q14:R14">
    <cfRule type="expression" dxfId="42" priority="5208">
      <formula>CELL("protect",Q14:BH512)</formula>
    </cfRule>
  </conditionalFormatting>
  <conditionalFormatting sqref="S1:S2">
    <cfRule type="expression" dxfId="41" priority="208">
      <formula>CELL("protect",S1:BN509)</formula>
    </cfRule>
  </conditionalFormatting>
  <conditionalFormatting sqref="S3">
    <cfRule type="expression" dxfId="40" priority="183">
      <formula>CELL("protect",T2:BO510)</formula>
    </cfRule>
  </conditionalFormatting>
  <conditionalFormatting sqref="S4">
    <cfRule type="expression" dxfId="39" priority="184">
      <formula>CELL("protect",T2:BP510)</formula>
    </cfRule>
  </conditionalFormatting>
  <conditionalFormatting sqref="S5">
    <cfRule type="expression" dxfId="38" priority="185">
      <formula>CELL("protect",T2:BQ510)</formula>
    </cfRule>
  </conditionalFormatting>
  <conditionalFormatting sqref="S6">
    <cfRule type="expression" dxfId="37" priority="186">
      <formula>CELL("protect",T2:BR510)</formula>
    </cfRule>
  </conditionalFormatting>
  <conditionalFormatting sqref="S7">
    <cfRule type="expression" dxfId="36" priority="179">
      <formula>CELL("protect",T2:BS510)</formula>
    </cfRule>
  </conditionalFormatting>
  <conditionalFormatting sqref="S8">
    <cfRule type="expression" dxfId="35" priority="187">
      <formula>CELL("protect",T2:BT510)</formula>
    </cfRule>
  </conditionalFormatting>
  <conditionalFormatting sqref="S9">
    <cfRule type="expression" dxfId="34" priority="188">
      <formula>CELL("protect",T2:BU510)</formula>
    </cfRule>
  </conditionalFormatting>
  <conditionalFormatting sqref="S10">
    <cfRule type="expression" dxfId="33" priority="189">
      <formula>CELL("protect",T2:BV510)</formula>
    </cfRule>
  </conditionalFormatting>
  <conditionalFormatting sqref="S11">
    <cfRule type="expression" dxfId="32" priority="190">
      <formula>CELL("protect",T2:BW510)</formula>
    </cfRule>
  </conditionalFormatting>
  <conditionalFormatting sqref="S12">
    <cfRule type="expression" dxfId="31" priority="178">
      <formula>CELL("protect",T2:BX510)</formula>
    </cfRule>
  </conditionalFormatting>
  <conditionalFormatting sqref="S13">
    <cfRule type="expression" dxfId="30" priority="191">
      <formula>CELL("protect",T2:BY510)</formula>
    </cfRule>
  </conditionalFormatting>
  <conditionalFormatting sqref="S14:T14">
    <cfRule type="expression" dxfId="29" priority="192">
      <formula>CELL("protect",T2:BZ510)</formula>
    </cfRule>
  </conditionalFormatting>
  <conditionalFormatting sqref="T1">
    <cfRule type="expression" dxfId="28" priority="5">
      <formula>CELL("protect",T1:BO509)</formula>
    </cfRule>
  </conditionalFormatting>
  <conditionalFormatting sqref="U3 AA4">
    <cfRule type="expression" dxfId="27" priority="3116">
      <formula>CELL("protect",W2:AQ500)</formula>
    </cfRule>
  </conditionalFormatting>
  <conditionalFormatting sqref="U1:X1 U2 W2 AA3 W3:X5 U4:V5 B14">
    <cfRule type="expression" dxfId="26" priority="2502">
      <formula>CELL("protect",B1:W499)</formula>
    </cfRule>
  </conditionalFormatting>
  <conditionalFormatting sqref="Y3 AC3">
    <cfRule type="expression" dxfId="25" priority="3200">
      <formula>CELL("protect",AA2:AT500)</formula>
    </cfRule>
  </conditionalFormatting>
  <conditionalFormatting sqref="Y4 AC4">
    <cfRule type="expression" dxfId="24" priority="3202">
      <formula>CELL("protect",AA2:AU500)</formula>
    </cfRule>
  </conditionalFormatting>
  <conditionalFormatting sqref="Y1:Z1 AD1 Y2 AC2">
    <cfRule type="expression" dxfId="23" priority="5002">
      <formula>CELL("protect",Y1:AS499)</formula>
    </cfRule>
  </conditionalFormatting>
  <conditionalFormatting sqref="Z6">
    <cfRule type="expression" dxfId="22" priority="3">
      <formula>CELL("protect",AB3:AW501)</formula>
    </cfRule>
  </conditionalFormatting>
  <conditionalFormatting sqref="AA5">
    <cfRule type="expression" dxfId="21" priority="5209">
      <formula>CELL("protect",AC3:AX501)</formula>
    </cfRule>
  </conditionalFormatting>
  <conditionalFormatting sqref="AA6">
    <cfRule type="expression" dxfId="20" priority="5210">
      <formula>CELL("protect",AC3:AY501)</formula>
    </cfRule>
  </conditionalFormatting>
  <conditionalFormatting sqref="AA7">
    <cfRule type="expression" dxfId="19" priority="5211">
      <formula>CELL("protect",AC3:AZ501)</formula>
    </cfRule>
  </conditionalFormatting>
  <conditionalFormatting sqref="AA8">
    <cfRule type="expression" dxfId="18" priority="5212">
      <formula>CELL("protect",AC3:BA501)</formula>
    </cfRule>
  </conditionalFormatting>
  <conditionalFormatting sqref="AA9">
    <cfRule type="expression" dxfId="17" priority="5213">
      <formula>CELL("protect",AC3:BB501)</formula>
    </cfRule>
  </conditionalFormatting>
  <conditionalFormatting sqref="AA1:AB1 AA2 F14">
    <cfRule type="expression" dxfId="16" priority="5184">
      <formula>CELL("protect",F1:AB499)</formula>
    </cfRule>
  </conditionalFormatting>
  <conditionalFormatting sqref="AC1 AI1:AJ1 AI2 AK2">
    <cfRule type="expression" dxfId="15" priority="127">
      <formula>CELL("protect",AC1:BE499)</formula>
    </cfRule>
  </conditionalFormatting>
  <conditionalFormatting sqref="AC5 Y5:Y6">
    <cfRule type="expression" dxfId="14" priority="3204">
      <formula>CELL("protect",AA2:AV500)</formula>
    </cfRule>
  </conditionalFormatting>
  <conditionalFormatting sqref="AC6:AD6">
    <cfRule type="expression" dxfId="13" priority="4">
      <formula>CELL("protect",AE3:AZ501)</formula>
    </cfRule>
  </conditionalFormatting>
  <conditionalFormatting sqref="AE1:AF1 AK1:AL1 AE2 AE3:AF5">
    <cfRule type="expression" dxfId="12" priority="126">
      <formula>CELL("protect",AE1:BI499)</formula>
    </cfRule>
  </conditionalFormatting>
  <conditionalFormatting sqref="AG1:AH1 AG2 AG3:AH5">
    <cfRule type="expression" dxfId="11" priority="3738">
      <formula>CELL("protect",AG1:BJ499)</formula>
    </cfRule>
  </conditionalFormatting>
  <conditionalFormatting sqref="AI3">
    <cfRule type="expression" dxfId="10" priority="3587">
      <formula>CELL("protect",AK2:BL500)</formula>
    </cfRule>
  </conditionalFormatting>
  <conditionalFormatting sqref="AI4">
    <cfRule type="expression" dxfId="9" priority="3589">
      <formula>CELL("protect",AK2:BM500)</formula>
    </cfRule>
  </conditionalFormatting>
  <conditionalFormatting sqref="AI5">
    <cfRule type="expression" dxfId="8" priority="3591">
      <formula>CELL("protect",AK2:BN500)</formula>
    </cfRule>
  </conditionalFormatting>
  <conditionalFormatting sqref="AK3:AK5">
    <cfRule type="expression" dxfId="7" priority="72">
      <formula>CELL("protect",AK3:BT499)</formula>
    </cfRule>
  </conditionalFormatting>
  <conditionalFormatting sqref="AM2">
    <cfRule type="expression" dxfId="6" priority="68">
      <formula>CELL("protect",AM2:BO500)</formula>
    </cfRule>
  </conditionalFormatting>
  <conditionalFormatting sqref="AM3">
    <cfRule type="expression" dxfId="5" priority="5313">
      <formula>CELL("protect",AM2:BS500)</formula>
    </cfRule>
  </conditionalFormatting>
  <conditionalFormatting sqref="AM4">
    <cfRule type="expression" dxfId="4" priority="121">
      <formula>CELL("protect",AN2:BT500)</formula>
    </cfRule>
  </conditionalFormatting>
  <conditionalFormatting sqref="AM5">
    <cfRule type="expression" dxfId="3" priority="122">
      <formula>CELL("protect",AN2:BU500)</formula>
    </cfRule>
  </conditionalFormatting>
  <conditionalFormatting sqref="AM6">
    <cfRule type="expression" dxfId="2" priority="123">
      <formula>CELL("protect",AN2:BV500)</formula>
    </cfRule>
  </conditionalFormatting>
  <conditionalFormatting sqref="AM1:AN1">
    <cfRule type="expression" dxfId="1" priority="128">
      <formula>CELL("protect",AM1:BS499)</formula>
    </cfRule>
  </conditionalFormatting>
  <conditionalFormatting sqref="AN2:AN6">
    <cfRule type="expression" dxfId="0" priority="67">
      <formula>CELL("protect",AN2:BU510)</formula>
    </cfRule>
  </conditionalFormatting>
  <hyperlinks>
    <hyperlink ref="C57" r:id="rId1" xr:uid="{743249C5-A390-4E23-B574-7E560FC9BD7F}"/>
    <hyperlink ref="C60" r:id="rId2" xr:uid="{B55708FD-697F-4B6E-91EF-EA889DE260E5}"/>
    <hyperlink ref="C62" r:id="rId3" xr:uid="{EC8563B3-0681-4A64-AFE3-0AFCB81B7CB4}"/>
    <hyperlink ref="C64" r:id="rId4" xr:uid="{1EC0FFED-1197-4D9A-A7DC-D78962CE1788}"/>
  </hyperlinks>
  <pageMargins left="0.7" right="0.7" top="0.75" bottom="0.75" header="0.3" footer="0.3"/>
</worksheet>
</file>

<file path=docMetadata/LabelInfo.xml><?xml version="1.0" encoding="utf-8"?>
<clbl:labelList xmlns:clbl="http://schemas.microsoft.com/office/2020/mipLabelMetadata">
  <clbl:label id="{daa842e6-9257-4536-8577-77b8f34f9507}" enabled="1" method="Standard" siteId="{19ed7054-9d97-43c7-92b1-6781b6b95b68}"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Farrow, Kendra</dc:creator>
  <cp:keywords/>
  <dc:description/>
  <cp:lastModifiedBy>Attila Gulyas</cp:lastModifiedBy>
  <cp:revision/>
  <dcterms:created xsi:type="dcterms:W3CDTF">2019-11-08T16:56:34Z</dcterms:created>
  <dcterms:modified xsi:type="dcterms:W3CDTF">2026-01-19T14:31:58Z</dcterms:modified>
  <cp:category/>
  <cp:contentStatus/>
</cp:coreProperties>
</file>